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Fs - data moments\"/>
    </mc:Choice>
  </mc:AlternateContent>
  <xr:revisionPtr revIDLastSave="0" documentId="13_ncr:1_{058380C7-D3F0-4E5C-B2E7-A1952DE2AA74}" xr6:coauthVersionLast="47" xr6:coauthVersionMax="47" xr10:uidLastSave="{00000000-0000-0000-0000-000000000000}"/>
  <bookViews>
    <workbookView xWindow="-93" yWindow="-93" windowWidth="25786" windowHeight="13866" activeTab="2" xr2:uid="{00000000-000D-0000-FFFF-FFFF00000000}"/>
  </bookViews>
  <sheets>
    <sheet name="raw data" sheetId="1" r:id="rId1"/>
    <sheet name="results" sheetId="2" r:id="rId2"/>
    <sheet name="results_new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46" i="4" l="1"/>
  <c r="T45" i="4"/>
  <c r="S45" i="4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" i="2"/>
  <c r="S46" i="4"/>
  <c r="S47" i="4"/>
  <c r="T47" i="4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320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K6" i="4"/>
  <c r="K18" i="4"/>
  <c r="K30" i="4"/>
  <c r="K42" i="4"/>
  <c r="K54" i="4"/>
  <c r="K66" i="4"/>
  <c r="K78" i="4"/>
  <c r="K90" i="4"/>
  <c r="K102" i="4"/>
  <c r="K114" i="4"/>
  <c r="K126" i="4"/>
  <c r="K138" i="4"/>
  <c r="K150" i="4"/>
  <c r="K162" i="4"/>
  <c r="K174" i="4"/>
  <c r="K186" i="4"/>
  <c r="K198" i="4"/>
  <c r="K210" i="4"/>
  <c r="K222" i="4"/>
  <c r="K234" i="4"/>
  <c r="K246" i="4"/>
  <c r="K258" i="4"/>
  <c r="J11" i="4"/>
  <c r="J23" i="4"/>
  <c r="J35" i="4"/>
  <c r="J47" i="4"/>
  <c r="J59" i="4"/>
  <c r="J107" i="4"/>
  <c r="J131" i="4"/>
  <c r="J143" i="4"/>
  <c r="J155" i="4"/>
  <c r="J167" i="4"/>
  <c r="J179" i="4"/>
  <c r="J191" i="4"/>
  <c r="J203" i="4"/>
  <c r="J215" i="4"/>
  <c r="J227" i="4"/>
  <c r="J239" i="4"/>
  <c r="J251" i="4"/>
  <c r="P21" i="4"/>
  <c r="P177" i="4"/>
  <c r="F3" i="4"/>
  <c r="J3" i="4" s="1"/>
  <c r="F4" i="4"/>
  <c r="J4" i="4" s="1"/>
  <c r="F5" i="4"/>
  <c r="J5" i="4" s="1"/>
  <c r="F6" i="4"/>
  <c r="J6" i="4" s="1"/>
  <c r="F7" i="4"/>
  <c r="J7" i="4" s="1"/>
  <c r="F8" i="4"/>
  <c r="J8" i="4" s="1"/>
  <c r="F9" i="4"/>
  <c r="J9" i="4" s="1"/>
  <c r="F10" i="4"/>
  <c r="J10" i="4" s="1"/>
  <c r="F11" i="4"/>
  <c r="F12" i="4"/>
  <c r="J12" i="4" s="1"/>
  <c r="F13" i="4"/>
  <c r="J13" i="4" s="1"/>
  <c r="F14" i="4"/>
  <c r="J14" i="4" s="1"/>
  <c r="F15" i="4"/>
  <c r="J15" i="4" s="1"/>
  <c r="F16" i="4"/>
  <c r="J16" i="4" s="1"/>
  <c r="F17" i="4"/>
  <c r="J17" i="4" s="1"/>
  <c r="F18" i="4"/>
  <c r="J18" i="4" s="1"/>
  <c r="F19" i="4"/>
  <c r="J19" i="4" s="1"/>
  <c r="F20" i="4"/>
  <c r="J20" i="4" s="1"/>
  <c r="F21" i="4"/>
  <c r="J21" i="4" s="1"/>
  <c r="F22" i="4"/>
  <c r="J22" i="4" s="1"/>
  <c r="F23" i="4"/>
  <c r="F24" i="4"/>
  <c r="J24" i="4" s="1"/>
  <c r="F25" i="4"/>
  <c r="J25" i="4" s="1"/>
  <c r="F26" i="4"/>
  <c r="J26" i="4" s="1"/>
  <c r="F27" i="4"/>
  <c r="J27" i="4" s="1"/>
  <c r="F28" i="4"/>
  <c r="J28" i="4" s="1"/>
  <c r="F29" i="4"/>
  <c r="J29" i="4" s="1"/>
  <c r="F30" i="4"/>
  <c r="J30" i="4" s="1"/>
  <c r="F31" i="4"/>
  <c r="J31" i="4" s="1"/>
  <c r="F32" i="4"/>
  <c r="J32" i="4" s="1"/>
  <c r="F33" i="4"/>
  <c r="J33" i="4" s="1"/>
  <c r="F34" i="4"/>
  <c r="J34" i="4" s="1"/>
  <c r="F35" i="4"/>
  <c r="F36" i="4"/>
  <c r="J36" i="4" s="1"/>
  <c r="F37" i="4"/>
  <c r="J37" i="4" s="1"/>
  <c r="F38" i="4"/>
  <c r="J38" i="4" s="1"/>
  <c r="F39" i="4"/>
  <c r="J39" i="4" s="1"/>
  <c r="F40" i="4"/>
  <c r="J40" i="4" s="1"/>
  <c r="F41" i="4"/>
  <c r="J41" i="4" s="1"/>
  <c r="F42" i="4"/>
  <c r="J42" i="4" s="1"/>
  <c r="F43" i="4"/>
  <c r="J43" i="4" s="1"/>
  <c r="F44" i="4"/>
  <c r="J44" i="4" s="1"/>
  <c r="F45" i="4"/>
  <c r="J45" i="4" s="1"/>
  <c r="F46" i="4"/>
  <c r="J46" i="4" s="1"/>
  <c r="F47" i="4"/>
  <c r="F48" i="4"/>
  <c r="J48" i="4" s="1"/>
  <c r="F49" i="4"/>
  <c r="J49" i="4" s="1"/>
  <c r="F50" i="4"/>
  <c r="J50" i="4" s="1"/>
  <c r="F51" i="4"/>
  <c r="J51" i="4" s="1"/>
  <c r="F52" i="4"/>
  <c r="J52" i="4" s="1"/>
  <c r="F53" i="4"/>
  <c r="J53" i="4" s="1"/>
  <c r="F54" i="4"/>
  <c r="J54" i="4" s="1"/>
  <c r="F55" i="4"/>
  <c r="J55" i="4" s="1"/>
  <c r="F56" i="4"/>
  <c r="J56" i="4" s="1"/>
  <c r="F57" i="4"/>
  <c r="J57" i="4" s="1"/>
  <c r="F58" i="4"/>
  <c r="J58" i="4" s="1"/>
  <c r="F59" i="4"/>
  <c r="F60" i="4"/>
  <c r="J60" i="4" s="1"/>
  <c r="F61" i="4"/>
  <c r="J61" i="4" s="1"/>
  <c r="F62" i="4"/>
  <c r="J62" i="4" s="1"/>
  <c r="F63" i="4"/>
  <c r="J63" i="4" s="1"/>
  <c r="F64" i="4"/>
  <c r="J64" i="4" s="1"/>
  <c r="F65" i="4"/>
  <c r="F66" i="4"/>
  <c r="J66" i="4" s="1"/>
  <c r="F67" i="4"/>
  <c r="J67" i="4" s="1"/>
  <c r="F68" i="4"/>
  <c r="F69" i="4"/>
  <c r="J69" i="4" s="1"/>
  <c r="F70" i="4"/>
  <c r="J70" i="4" s="1"/>
  <c r="F71" i="4"/>
  <c r="F72" i="4"/>
  <c r="J72" i="4" s="1"/>
  <c r="F73" i="4"/>
  <c r="J73" i="4" s="1"/>
  <c r="F74" i="4"/>
  <c r="F75" i="4"/>
  <c r="J75" i="4" s="1"/>
  <c r="F76" i="4"/>
  <c r="J76" i="4" s="1"/>
  <c r="F77" i="4"/>
  <c r="F78" i="4"/>
  <c r="J78" i="4" s="1"/>
  <c r="F79" i="4"/>
  <c r="J79" i="4" s="1"/>
  <c r="F80" i="4"/>
  <c r="F81" i="4"/>
  <c r="J81" i="4" s="1"/>
  <c r="F82" i="4"/>
  <c r="J82" i="4" s="1"/>
  <c r="F83" i="4"/>
  <c r="F84" i="4"/>
  <c r="J84" i="4" s="1"/>
  <c r="F85" i="4"/>
  <c r="J85" i="4" s="1"/>
  <c r="F86" i="4"/>
  <c r="F87" i="4"/>
  <c r="J87" i="4" s="1"/>
  <c r="F88" i="4"/>
  <c r="J88" i="4" s="1"/>
  <c r="F89" i="4"/>
  <c r="J89" i="4" s="1"/>
  <c r="F90" i="4"/>
  <c r="J90" i="4" s="1"/>
  <c r="F91" i="4"/>
  <c r="J91" i="4" s="1"/>
  <c r="F92" i="4"/>
  <c r="F93" i="4"/>
  <c r="J93" i="4" s="1"/>
  <c r="F94" i="4"/>
  <c r="J94" i="4" s="1"/>
  <c r="F95" i="4"/>
  <c r="F96" i="4"/>
  <c r="J96" i="4" s="1"/>
  <c r="F97" i="4"/>
  <c r="J97" i="4" s="1"/>
  <c r="F98" i="4"/>
  <c r="F99" i="4"/>
  <c r="J99" i="4" s="1"/>
  <c r="F100" i="4"/>
  <c r="J100" i="4" s="1"/>
  <c r="F101" i="4"/>
  <c r="J101" i="4" s="1"/>
  <c r="F102" i="4"/>
  <c r="J102" i="4" s="1"/>
  <c r="F103" i="4"/>
  <c r="J103" i="4" s="1"/>
  <c r="F104" i="4"/>
  <c r="F105" i="4"/>
  <c r="J105" i="4" s="1"/>
  <c r="F106" i="4"/>
  <c r="J106" i="4" s="1"/>
  <c r="F107" i="4"/>
  <c r="F108" i="4"/>
  <c r="J108" i="4" s="1"/>
  <c r="F109" i="4"/>
  <c r="J109" i="4" s="1"/>
  <c r="F110" i="4"/>
  <c r="F111" i="4"/>
  <c r="J111" i="4" s="1"/>
  <c r="F112" i="4"/>
  <c r="J112" i="4" s="1"/>
  <c r="F113" i="4"/>
  <c r="J113" i="4" s="1"/>
  <c r="F114" i="4"/>
  <c r="J114" i="4" s="1"/>
  <c r="F115" i="4"/>
  <c r="J115" i="4" s="1"/>
  <c r="F116" i="4"/>
  <c r="F117" i="4"/>
  <c r="J117" i="4" s="1"/>
  <c r="F118" i="4"/>
  <c r="J118" i="4" s="1"/>
  <c r="F119" i="4"/>
  <c r="F120" i="4"/>
  <c r="J120" i="4" s="1"/>
  <c r="F121" i="4"/>
  <c r="J121" i="4" s="1"/>
  <c r="F122" i="4"/>
  <c r="F123" i="4"/>
  <c r="J123" i="4" s="1"/>
  <c r="F124" i="4"/>
  <c r="J124" i="4" s="1"/>
  <c r="F125" i="4"/>
  <c r="J125" i="4" s="1"/>
  <c r="F126" i="4"/>
  <c r="J126" i="4" s="1"/>
  <c r="F127" i="4"/>
  <c r="J127" i="4" s="1"/>
  <c r="F128" i="4"/>
  <c r="F129" i="4"/>
  <c r="J129" i="4" s="1"/>
  <c r="F130" i="4"/>
  <c r="J130" i="4" s="1"/>
  <c r="F131" i="4"/>
  <c r="F132" i="4"/>
  <c r="J132" i="4" s="1"/>
  <c r="F133" i="4"/>
  <c r="J133" i="4" s="1"/>
  <c r="F134" i="4"/>
  <c r="J134" i="4" s="1"/>
  <c r="F135" i="4"/>
  <c r="J135" i="4" s="1"/>
  <c r="F136" i="4"/>
  <c r="J136" i="4" s="1"/>
  <c r="F137" i="4"/>
  <c r="J137" i="4" s="1"/>
  <c r="F138" i="4"/>
  <c r="J138" i="4" s="1"/>
  <c r="F139" i="4"/>
  <c r="J139" i="4" s="1"/>
  <c r="F140" i="4"/>
  <c r="J140" i="4" s="1"/>
  <c r="F141" i="4"/>
  <c r="J141" i="4" s="1"/>
  <c r="F142" i="4"/>
  <c r="J142" i="4" s="1"/>
  <c r="F143" i="4"/>
  <c r="F144" i="4"/>
  <c r="J144" i="4" s="1"/>
  <c r="F145" i="4"/>
  <c r="J145" i="4" s="1"/>
  <c r="F146" i="4"/>
  <c r="J146" i="4" s="1"/>
  <c r="F147" i="4"/>
  <c r="J147" i="4" s="1"/>
  <c r="F148" i="4"/>
  <c r="J148" i="4" s="1"/>
  <c r="F149" i="4"/>
  <c r="J149" i="4" s="1"/>
  <c r="F150" i="4"/>
  <c r="J150" i="4" s="1"/>
  <c r="F151" i="4"/>
  <c r="J151" i="4" s="1"/>
  <c r="F152" i="4"/>
  <c r="J152" i="4" s="1"/>
  <c r="F153" i="4"/>
  <c r="J153" i="4" s="1"/>
  <c r="F154" i="4"/>
  <c r="J154" i="4" s="1"/>
  <c r="F155" i="4"/>
  <c r="F156" i="4"/>
  <c r="J156" i="4" s="1"/>
  <c r="F157" i="4"/>
  <c r="J157" i="4" s="1"/>
  <c r="F158" i="4"/>
  <c r="J158" i="4" s="1"/>
  <c r="F159" i="4"/>
  <c r="J159" i="4" s="1"/>
  <c r="F160" i="4"/>
  <c r="J160" i="4" s="1"/>
  <c r="F161" i="4"/>
  <c r="J161" i="4" s="1"/>
  <c r="F162" i="4"/>
  <c r="J162" i="4" s="1"/>
  <c r="F163" i="4"/>
  <c r="J163" i="4" s="1"/>
  <c r="F164" i="4"/>
  <c r="J164" i="4" s="1"/>
  <c r="F165" i="4"/>
  <c r="J165" i="4" s="1"/>
  <c r="F166" i="4"/>
  <c r="J166" i="4" s="1"/>
  <c r="F167" i="4"/>
  <c r="F168" i="4"/>
  <c r="J168" i="4" s="1"/>
  <c r="F169" i="4"/>
  <c r="J169" i="4" s="1"/>
  <c r="F170" i="4"/>
  <c r="J170" i="4" s="1"/>
  <c r="F171" i="4"/>
  <c r="J171" i="4" s="1"/>
  <c r="F172" i="4"/>
  <c r="J172" i="4" s="1"/>
  <c r="F173" i="4"/>
  <c r="J173" i="4" s="1"/>
  <c r="F174" i="4"/>
  <c r="J174" i="4" s="1"/>
  <c r="F175" i="4"/>
  <c r="J175" i="4" s="1"/>
  <c r="F176" i="4"/>
  <c r="J176" i="4" s="1"/>
  <c r="F177" i="4"/>
  <c r="J177" i="4" s="1"/>
  <c r="F178" i="4"/>
  <c r="J178" i="4" s="1"/>
  <c r="F179" i="4"/>
  <c r="F180" i="4"/>
  <c r="J180" i="4" s="1"/>
  <c r="F181" i="4"/>
  <c r="J181" i="4" s="1"/>
  <c r="F182" i="4"/>
  <c r="J182" i="4" s="1"/>
  <c r="F183" i="4"/>
  <c r="J183" i="4" s="1"/>
  <c r="F184" i="4"/>
  <c r="J184" i="4" s="1"/>
  <c r="F185" i="4"/>
  <c r="J185" i="4" s="1"/>
  <c r="F186" i="4"/>
  <c r="J186" i="4" s="1"/>
  <c r="F187" i="4"/>
  <c r="J187" i="4" s="1"/>
  <c r="F188" i="4"/>
  <c r="J188" i="4" s="1"/>
  <c r="F189" i="4"/>
  <c r="J189" i="4" s="1"/>
  <c r="F190" i="4"/>
  <c r="J190" i="4" s="1"/>
  <c r="F191" i="4"/>
  <c r="F192" i="4"/>
  <c r="J192" i="4" s="1"/>
  <c r="F193" i="4"/>
  <c r="J193" i="4" s="1"/>
  <c r="F194" i="4"/>
  <c r="J194" i="4" s="1"/>
  <c r="F195" i="4"/>
  <c r="J195" i="4" s="1"/>
  <c r="F196" i="4"/>
  <c r="J196" i="4" s="1"/>
  <c r="F197" i="4"/>
  <c r="J197" i="4" s="1"/>
  <c r="F198" i="4"/>
  <c r="J198" i="4" s="1"/>
  <c r="F199" i="4"/>
  <c r="J199" i="4" s="1"/>
  <c r="F200" i="4"/>
  <c r="J200" i="4" s="1"/>
  <c r="F201" i="4"/>
  <c r="J201" i="4" s="1"/>
  <c r="F202" i="4"/>
  <c r="J202" i="4" s="1"/>
  <c r="F203" i="4"/>
  <c r="F204" i="4"/>
  <c r="J204" i="4" s="1"/>
  <c r="F205" i="4"/>
  <c r="J205" i="4" s="1"/>
  <c r="F206" i="4"/>
  <c r="J206" i="4" s="1"/>
  <c r="F207" i="4"/>
  <c r="J207" i="4" s="1"/>
  <c r="F208" i="4"/>
  <c r="J208" i="4" s="1"/>
  <c r="F209" i="4"/>
  <c r="J209" i="4" s="1"/>
  <c r="F210" i="4"/>
  <c r="J210" i="4" s="1"/>
  <c r="F211" i="4"/>
  <c r="J211" i="4" s="1"/>
  <c r="F212" i="4"/>
  <c r="J212" i="4" s="1"/>
  <c r="F213" i="4"/>
  <c r="J213" i="4" s="1"/>
  <c r="F214" i="4"/>
  <c r="J214" i="4" s="1"/>
  <c r="F215" i="4"/>
  <c r="F216" i="4"/>
  <c r="J216" i="4" s="1"/>
  <c r="F217" i="4"/>
  <c r="J217" i="4" s="1"/>
  <c r="F218" i="4"/>
  <c r="J218" i="4" s="1"/>
  <c r="F219" i="4"/>
  <c r="J219" i="4" s="1"/>
  <c r="F220" i="4"/>
  <c r="J220" i="4" s="1"/>
  <c r="F221" i="4"/>
  <c r="J221" i="4" s="1"/>
  <c r="F222" i="4"/>
  <c r="J222" i="4" s="1"/>
  <c r="F223" i="4"/>
  <c r="J223" i="4" s="1"/>
  <c r="F224" i="4"/>
  <c r="J224" i="4" s="1"/>
  <c r="F225" i="4"/>
  <c r="J225" i="4" s="1"/>
  <c r="F226" i="4"/>
  <c r="J226" i="4" s="1"/>
  <c r="F227" i="4"/>
  <c r="F228" i="4"/>
  <c r="J228" i="4" s="1"/>
  <c r="F229" i="4"/>
  <c r="J229" i="4" s="1"/>
  <c r="F230" i="4"/>
  <c r="J230" i="4" s="1"/>
  <c r="F231" i="4"/>
  <c r="J231" i="4" s="1"/>
  <c r="F232" i="4"/>
  <c r="J232" i="4" s="1"/>
  <c r="F233" i="4"/>
  <c r="J233" i="4" s="1"/>
  <c r="F234" i="4"/>
  <c r="J234" i="4" s="1"/>
  <c r="F235" i="4"/>
  <c r="J235" i="4" s="1"/>
  <c r="F236" i="4"/>
  <c r="J236" i="4" s="1"/>
  <c r="F237" i="4"/>
  <c r="J237" i="4" s="1"/>
  <c r="F238" i="4"/>
  <c r="J238" i="4" s="1"/>
  <c r="F239" i="4"/>
  <c r="F240" i="4"/>
  <c r="J240" i="4" s="1"/>
  <c r="F241" i="4"/>
  <c r="J241" i="4" s="1"/>
  <c r="F242" i="4"/>
  <c r="J242" i="4" s="1"/>
  <c r="F243" i="4"/>
  <c r="J243" i="4" s="1"/>
  <c r="F244" i="4"/>
  <c r="J244" i="4" s="1"/>
  <c r="F245" i="4"/>
  <c r="J245" i="4" s="1"/>
  <c r="F246" i="4"/>
  <c r="J246" i="4" s="1"/>
  <c r="F247" i="4"/>
  <c r="J247" i="4" s="1"/>
  <c r="F248" i="4"/>
  <c r="J248" i="4" s="1"/>
  <c r="F249" i="4"/>
  <c r="J249" i="4" s="1"/>
  <c r="F250" i="4"/>
  <c r="J250" i="4" s="1"/>
  <c r="F251" i="4"/>
  <c r="F252" i="4"/>
  <c r="J252" i="4" s="1"/>
  <c r="F253" i="4"/>
  <c r="J253" i="4" s="1"/>
  <c r="F254" i="4"/>
  <c r="J254" i="4" s="1"/>
  <c r="F255" i="4"/>
  <c r="J255" i="4" s="1"/>
  <c r="F256" i="4"/>
  <c r="J256" i="4" s="1"/>
  <c r="F257" i="4"/>
  <c r="J257" i="4" s="1"/>
  <c r="F258" i="4"/>
  <c r="J258" i="4" s="1"/>
  <c r="F259" i="4"/>
  <c r="J259" i="4" s="1"/>
  <c r="F260" i="4"/>
  <c r="J260" i="4" s="1"/>
  <c r="F261" i="4"/>
  <c r="J261" i="4" s="1"/>
  <c r="F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" i="4"/>
  <c r="G261" i="4"/>
  <c r="E261" i="4"/>
  <c r="H261" i="4" s="1"/>
  <c r="C261" i="4"/>
  <c r="K261" i="4" s="1"/>
  <c r="A261" i="4"/>
  <c r="G260" i="4"/>
  <c r="O260" i="4" s="1"/>
  <c r="E260" i="4"/>
  <c r="I260" i="4" s="1"/>
  <c r="C260" i="4"/>
  <c r="K260" i="4" s="1"/>
  <c r="A260" i="4"/>
  <c r="G259" i="4"/>
  <c r="E259" i="4"/>
  <c r="I259" i="4" s="1"/>
  <c r="C259" i="4"/>
  <c r="K259" i="4" s="1"/>
  <c r="A259" i="4"/>
  <c r="G258" i="4"/>
  <c r="E258" i="4"/>
  <c r="P258" i="4" s="1"/>
  <c r="C258" i="4"/>
  <c r="A258" i="4"/>
  <c r="G257" i="4"/>
  <c r="E257" i="4"/>
  <c r="C257" i="4"/>
  <c r="K257" i="4" s="1"/>
  <c r="A257" i="4"/>
  <c r="G256" i="4"/>
  <c r="E256" i="4"/>
  <c r="P256" i="4" s="1"/>
  <c r="C256" i="4"/>
  <c r="K256" i="4" s="1"/>
  <c r="A256" i="4"/>
  <c r="G255" i="4"/>
  <c r="E255" i="4"/>
  <c r="P255" i="4" s="1"/>
  <c r="C255" i="4"/>
  <c r="K255" i="4" s="1"/>
  <c r="A255" i="4"/>
  <c r="G254" i="4"/>
  <c r="E254" i="4"/>
  <c r="C254" i="4"/>
  <c r="K254" i="4" s="1"/>
  <c r="A254" i="4"/>
  <c r="G253" i="4"/>
  <c r="E253" i="4"/>
  <c r="I253" i="4" s="1"/>
  <c r="Q253" i="4" s="1"/>
  <c r="C253" i="4"/>
  <c r="K253" i="4" s="1"/>
  <c r="A253" i="4"/>
  <c r="G252" i="4"/>
  <c r="E252" i="4"/>
  <c r="P252" i="4" s="1"/>
  <c r="C252" i="4"/>
  <c r="K252" i="4" s="1"/>
  <c r="A252" i="4"/>
  <c r="G251" i="4"/>
  <c r="E251" i="4"/>
  <c r="C251" i="4"/>
  <c r="K251" i="4" s="1"/>
  <c r="A251" i="4"/>
  <c r="G250" i="4"/>
  <c r="E250" i="4"/>
  <c r="I250" i="4" s="1"/>
  <c r="C250" i="4"/>
  <c r="K250" i="4" s="1"/>
  <c r="A250" i="4"/>
  <c r="G249" i="4"/>
  <c r="E249" i="4"/>
  <c r="I249" i="4" s="1"/>
  <c r="C249" i="4"/>
  <c r="K249" i="4" s="1"/>
  <c r="A249" i="4"/>
  <c r="G248" i="4"/>
  <c r="E248" i="4"/>
  <c r="P248" i="4" s="1"/>
  <c r="C248" i="4"/>
  <c r="K248" i="4" s="1"/>
  <c r="A248" i="4"/>
  <c r="G247" i="4"/>
  <c r="E247" i="4"/>
  <c r="I247" i="4" s="1"/>
  <c r="C247" i="4"/>
  <c r="K247" i="4" s="1"/>
  <c r="A247" i="4"/>
  <c r="G246" i="4"/>
  <c r="N246" i="4" s="1"/>
  <c r="E246" i="4"/>
  <c r="P246" i="4" s="1"/>
  <c r="C246" i="4"/>
  <c r="A246" i="4"/>
  <c r="G245" i="4"/>
  <c r="E245" i="4"/>
  <c r="P245" i="4" s="1"/>
  <c r="C245" i="4"/>
  <c r="K245" i="4" s="1"/>
  <c r="A245" i="4"/>
  <c r="G244" i="4"/>
  <c r="E244" i="4"/>
  <c r="P244" i="4" s="1"/>
  <c r="C244" i="4"/>
  <c r="K244" i="4" s="1"/>
  <c r="A244" i="4"/>
  <c r="G243" i="4"/>
  <c r="E243" i="4"/>
  <c r="P243" i="4" s="1"/>
  <c r="C243" i="4"/>
  <c r="K243" i="4" s="1"/>
  <c r="A243" i="4"/>
  <c r="G242" i="4"/>
  <c r="E242" i="4"/>
  <c r="I242" i="4" s="1"/>
  <c r="C242" i="4"/>
  <c r="K242" i="4" s="1"/>
  <c r="A242" i="4"/>
  <c r="G241" i="4"/>
  <c r="E241" i="4"/>
  <c r="D241" i="4" s="1"/>
  <c r="L241" i="4" s="1"/>
  <c r="C241" i="4"/>
  <c r="K241" i="4" s="1"/>
  <c r="A241" i="4"/>
  <c r="G240" i="4"/>
  <c r="E240" i="4"/>
  <c r="I240" i="4" s="1"/>
  <c r="Q240" i="4" s="1"/>
  <c r="C240" i="4"/>
  <c r="K240" i="4" s="1"/>
  <c r="A240" i="4"/>
  <c r="G239" i="4"/>
  <c r="E239" i="4"/>
  <c r="C239" i="4"/>
  <c r="K239" i="4" s="1"/>
  <c r="A239" i="4"/>
  <c r="G238" i="4"/>
  <c r="E238" i="4"/>
  <c r="I238" i="4" s="1"/>
  <c r="C238" i="4"/>
  <c r="K238" i="4" s="1"/>
  <c r="A238" i="4"/>
  <c r="G237" i="4"/>
  <c r="E237" i="4"/>
  <c r="I237" i="4" s="1"/>
  <c r="C237" i="4"/>
  <c r="K237" i="4" s="1"/>
  <c r="A237" i="4"/>
  <c r="G236" i="4"/>
  <c r="E236" i="4"/>
  <c r="P236" i="4" s="1"/>
  <c r="C236" i="4"/>
  <c r="M236" i="4" s="1"/>
  <c r="A236" i="4"/>
  <c r="G235" i="4"/>
  <c r="E235" i="4"/>
  <c r="M235" i="4" s="1"/>
  <c r="C235" i="4"/>
  <c r="K235" i="4" s="1"/>
  <c r="A235" i="4"/>
  <c r="G234" i="4"/>
  <c r="E234" i="4"/>
  <c r="P234" i="4" s="1"/>
  <c r="C234" i="4"/>
  <c r="A234" i="4"/>
  <c r="G233" i="4"/>
  <c r="E233" i="4"/>
  <c r="P233" i="4" s="1"/>
  <c r="C233" i="4"/>
  <c r="K233" i="4" s="1"/>
  <c r="A233" i="4"/>
  <c r="G232" i="4"/>
  <c r="E232" i="4"/>
  <c r="I232" i="4" s="1"/>
  <c r="C232" i="4"/>
  <c r="N232" i="4" s="1"/>
  <c r="A232" i="4"/>
  <c r="G231" i="4"/>
  <c r="E231" i="4"/>
  <c r="C231" i="4"/>
  <c r="K231" i="4" s="1"/>
  <c r="A231" i="4"/>
  <c r="G230" i="4"/>
  <c r="E230" i="4"/>
  <c r="I230" i="4" s="1"/>
  <c r="C230" i="4"/>
  <c r="K230" i="4" s="1"/>
  <c r="A230" i="4"/>
  <c r="G229" i="4"/>
  <c r="E229" i="4"/>
  <c r="I229" i="4" s="1"/>
  <c r="Q229" i="4" s="1"/>
  <c r="C229" i="4"/>
  <c r="K229" i="4" s="1"/>
  <c r="A229" i="4"/>
  <c r="G228" i="4"/>
  <c r="E228" i="4"/>
  <c r="I228" i="4" s="1"/>
  <c r="Q228" i="4" s="1"/>
  <c r="C228" i="4"/>
  <c r="K228" i="4" s="1"/>
  <c r="A228" i="4"/>
  <c r="G227" i="4"/>
  <c r="E227" i="4"/>
  <c r="P227" i="4" s="1"/>
  <c r="C227" i="4"/>
  <c r="K227" i="4" s="1"/>
  <c r="A227" i="4"/>
  <c r="G226" i="4"/>
  <c r="E226" i="4"/>
  <c r="I226" i="4" s="1"/>
  <c r="C226" i="4"/>
  <c r="K226" i="4" s="1"/>
  <c r="A226" i="4"/>
  <c r="G225" i="4"/>
  <c r="E225" i="4"/>
  <c r="I225" i="4" s="1"/>
  <c r="C225" i="4"/>
  <c r="K225" i="4" s="1"/>
  <c r="A225" i="4"/>
  <c r="G224" i="4"/>
  <c r="E224" i="4"/>
  <c r="I224" i="4" s="1"/>
  <c r="C224" i="4"/>
  <c r="K224" i="4" s="1"/>
  <c r="A224" i="4"/>
  <c r="G223" i="4"/>
  <c r="E223" i="4"/>
  <c r="P223" i="4" s="1"/>
  <c r="C223" i="4"/>
  <c r="K223" i="4" s="1"/>
  <c r="A223" i="4"/>
  <c r="G222" i="4"/>
  <c r="E222" i="4"/>
  <c r="P222" i="4" s="1"/>
  <c r="C222" i="4"/>
  <c r="A222" i="4"/>
  <c r="G221" i="4"/>
  <c r="E221" i="4"/>
  <c r="P221" i="4" s="1"/>
  <c r="C221" i="4"/>
  <c r="K221" i="4" s="1"/>
  <c r="A221" i="4"/>
  <c r="G220" i="4"/>
  <c r="E220" i="4"/>
  <c r="P220" i="4" s="1"/>
  <c r="C220" i="4"/>
  <c r="K220" i="4" s="1"/>
  <c r="A220" i="4"/>
  <c r="G219" i="4"/>
  <c r="O219" i="4" s="1"/>
  <c r="E219" i="4"/>
  <c r="I219" i="4" s="1"/>
  <c r="C219" i="4"/>
  <c r="K219" i="4" s="1"/>
  <c r="A219" i="4"/>
  <c r="G218" i="4"/>
  <c r="E218" i="4"/>
  <c r="I218" i="4" s="1"/>
  <c r="C218" i="4"/>
  <c r="K218" i="4" s="1"/>
  <c r="A218" i="4"/>
  <c r="G217" i="4"/>
  <c r="E217" i="4"/>
  <c r="I217" i="4" s="1"/>
  <c r="Q217" i="4" s="1"/>
  <c r="C217" i="4"/>
  <c r="K217" i="4" s="1"/>
  <c r="A217" i="4"/>
  <c r="G216" i="4"/>
  <c r="E216" i="4"/>
  <c r="I216" i="4" s="1"/>
  <c r="Q216" i="4" s="1"/>
  <c r="C216" i="4"/>
  <c r="K216" i="4" s="1"/>
  <c r="A216" i="4"/>
  <c r="G215" i="4"/>
  <c r="E215" i="4"/>
  <c r="C215" i="4"/>
  <c r="K215" i="4" s="1"/>
  <c r="A215" i="4"/>
  <c r="G214" i="4"/>
  <c r="E214" i="4"/>
  <c r="I214" i="4" s="1"/>
  <c r="C214" i="4"/>
  <c r="K214" i="4" s="1"/>
  <c r="A214" i="4"/>
  <c r="G213" i="4"/>
  <c r="E213" i="4"/>
  <c r="I213" i="4" s="1"/>
  <c r="C213" i="4"/>
  <c r="K213" i="4" s="1"/>
  <c r="A213" i="4"/>
  <c r="G212" i="4"/>
  <c r="E212" i="4"/>
  <c r="P212" i="4" s="1"/>
  <c r="C212" i="4"/>
  <c r="K212" i="4" s="1"/>
  <c r="A212" i="4"/>
  <c r="G211" i="4"/>
  <c r="E211" i="4"/>
  <c r="I211" i="4" s="1"/>
  <c r="C211" i="4"/>
  <c r="K211" i="4" s="1"/>
  <c r="A211" i="4"/>
  <c r="G210" i="4"/>
  <c r="E210" i="4"/>
  <c r="P210" i="4" s="1"/>
  <c r="C210" i="4"/>
  <c r="M210" i="4" s="1"/>
  <c r="A210" i="4"/>
  <c r="G209" i="4"/>
  <c r="E209" i="4"/>
  <c r="P209" i="4" s="1"/>
  <c r="C209" i="4"/>
  <c r="K209" i="4" s="1"/>
  <c r="A209" i="4"/>
  <c r="G208" i="4"/>
  <c r="E208" i="4"/>
  <c r="C208" i="4"/>
  <c r="K208" i="4" s="1"/>
  <c r="A208" i="4"/>
  <c r="G207" i="4"/>
  <c r="E207" i="4"/>
  <c r="C207" i="4"/>
  <c r="K207" i="4" s="1"/>
  <c r="A207" i="4"/>
  <c r="G206" i="4"/>
  <c r="E206" i="4"/>
  <c r="P206" i="4" s="1"/>
  <c r="C206" i="4"/>
  <c r="K206" i="4" s="1"/>
  <c r="A206" i="4"/>
  <c r="G205" i="4"/>
  <c r="E205" i="4"/>
  <c r="C205" i="4"/>
  <c r="K205" i="4" s="1"/>
  <c r="A205" i="4"/>
  <c r="G204" i="4"/>
  <c r="E204" i="4"/>
  <c r="I204" i="4" s="1"/>
  <c r="Q204" i="4" s="1"/>
  <c r="C204" i="4"/>
  <c r="K204" i="4" s="1"/>
  <c r="A204" i="4"/>
  <c r="G203" i="4"/>
  <c r="E203" i="4"/>
  <c r="P203" i="4" s="1"/>
  <c r="C203" i="4"/>
  <c r="K203" i="4" s="1"/>
  <c r="A203" i="4"/>
  <c r="G202" i="4"/>
  <c r="E202" i="4"/>
  <c r="I202" i="4" s="1"/>
  <c r="C202" i="4"/>
  <c r="K202" i="4" s="1"/>
  <c r="A202" i="4"/>
  <c r="G201" i="4"/>
  <c r="E201" i="4"/>
  <c r="I201" i="4" s="1"/>
  <c r="C201" i="4"/>
  <c r="K201" i="4" s="1"/>
  <c r="A201" i="4"/>
  <c r="G200" i="4"/>
  <c r="E200" i="4"/>
  <c r="P200" i="4" s="1"/>
  <c r="C200" i="4"/>
  <c r="K200" i="4" s="1"/>
  <c r="A200" i="4"/>
  <c r="G199" i="4"/>
  <c r="E199" i="4"/>
  <c r="I199" i="4" s="1"/>
  <c r="C199" i="4"/>
  <c r="K199" i="4" s="1"/>
  <c r="A199" i="4"/>
  <c r="G198" i="4"/>
  <c r="E198" i="4"/>
  <c r="P198" i="4" s="1"/>
  <c r="C198" i="4"/>
  <c r="A198" i="4"/>
  <c r="G197" i="4"/>
  <c r="E197" i="4"/>
  <c r="P197" i="4" s="1"/>
  <c r="C197" i="4"/>
  <c r="D197" i="4" s="1"/>
  <c r="L197" i="4" s="1"/>
  <c r="A197" i="4"/>
  <c r="G196" i="4"/>
  <c r="E196" i="4"/>
  <c r="C196" i="4"/>
  <c r="K196" i="4" s="1"/>
  <c r="A196" i="4"/>
  <c r="G195" i="4"/>
  <c r="E195" i="4"/>
  <c r="P195" i="4" s="1"/>
  <c r="C195" i="4"/>
  <c r="K195" i="4" s="1"/>
  <c r="A195" i="4"/>
  <c r="G194" i="4"/>
  <c r="E194" i="4"/>
  <c r="I194" i="4" s="1"/>
  <c r="C194" i="4"/>
  <c r="K194" i="4" s="1"/>
  <c r="A194" i="4"/>
  <c r="G193" i="4"/>
  <c r="E193" i="4"/>
  <c r="I193" i="4" s="1"/>
  <c r="Q193" i="4" s="1"/>
  <c r="C193" i="4"/>
  <c r="K193" i="4" s="1"/>
  <c r="A193" i="4"/>
  <c r="G192" i="4"/>
  <c r="E192" i="4"/>
  <c r="P192" i="4" s="1"/>
  <c r="C192" i="4"/>
  <c r="K192" i="4" s="1"/>
  <c r="A192" i="4"/>
  <c r="G191" i="4"/>
  <c r="E191" i="4"/>
  <c r="C191" i="4"/>
  <c r="K191" i="4" s="1"/>
  <c r="A191" i="4"/>
  <c r="G190" i="4"/>
  <c r="E190" i="4"/>
  <c r="I190" i="4" s="1"/>
  <c r="C190" i="4"/>
  <c r="K190" i="4" s="1"/>
  <c r="A190" i="4"/>
  <c r="G189" i="4"/>
  <c r="E189" i="4"/>
  <c r="I189" i="4" s="1"/>
  <c r="C189" i="4"/>
  <c r="K189" i="4" s="1"/>
  <c r="A189" i="4"/>
  <c r="G188" i="4"/>
  <c r="E188" i="4"/>
  <c r="P188" i="4" s="1"/>
  <c r="C188" i="4"/>
  <c r="K188" i="4" s="1"/>
  <c r="A188" i="4"/>
  <c r="G187" i="4"/>
  <c r="E187" i="4"/>
  <c r="I187" i="4" s="1"/>
  <c r="C187" i="4"/>
  <c r="K187" i="4" s="1"/>
  <c r="A187" i="4"/>
  <c r="G186" i="4"/>
  <c r="E186" i="4"/>
  <c r="P186" i="4" s="1"/>
  <c r="C186" i="4"/>
  <c r="A186" i="4"/>
  <c r="G185" i="4"/>
  <c r="E185" i="4"/>
  <c r="P185" i="4" s="1"/>
  <c r="C185" i="4"/>
  <c r="K185" i="4" s="1"/>
  <c r="A185" i="4"/>
  <c r="G184" i="4"/>
  <c r="E184" i="4"/>
  <c r="C184" i="4"/>
  <c r="K184" i="4" s="1"/>
  <c r="A184" i="4"/>
  <c r="G183" i="4"/>
  <c r="E183" i="4"/>
  <c r="P183" i="4" s="1"/>
  <c r="C183" i="4"/>
  <c r="K183" i="4" s="1"/>
  <c r="A183" i="4"/>
  <c r="G182" i="4"/>
  <c r="E182" i="4"/>
  <c r="O182" i="4" s="1"/>
  <c r="C182" i="4"/>
  <c r="K182" i="4" s="1"/>
  <c r="A182" i="4"/>
  <c r="G181" i="4"/>
  <c r="E181" i="4"/>
  <c r="C181" i="4"/>
  <c r="K181" i="4" s="1"/>
  <c r="A181" i="4"/>
  <c r="G180" i="4"/>
  <c r="E180" i="4"/>
  <c r="I180" i="4" s="1"/>
  <c r="Q180" i="4" s="1"/>
  <c r="C180" i="4"/>
  <c r="K180" i="4" s="1"/>
  <c r="A180" i="4"/>
  <c r="G179" i="4"/>
  <c r="E179" i="4"/>
  <c r="C179" i="4"/>
  <c r="K179" i="4" s="1"/>
  <c r="A179" i="4"/>
  <c r="G178" i="4"/>
  <c r="E178" i="4"/>
  <c r="I178" i="4" s="1"/>
  <c r="C178" i="4"/>
  <c r="K178" i="4" s="1"/>
  <c r="A178" i="4"/>
  <c r="G177" i="4"/>
  <c r="E177" i="4"/>
  <c r="I177" i="4" s="1"/>
  <c r="C177" i="4"/>
  <c r="K177" i="4" s="1"/>
  <c r="A177" i="4"/>
  <c r="G176" i="4"/>
  <c r="E176" i="4"/>
  <c r="C176" i="4"/>
  <c r="K176" i="4" s="1"/>
  <c r="A176" i="4"/>
  <c r="G175" i="4"/>
  <c r="E175" i="4"/>
  <c r="I175" i="4" s="1"/>
  <c r="C175" i="4"/>
  <c r="K175" i="4" s="1"/>
  <c r="A175" i="4"/>
  <c r="G174" i="4"/>
  <c r="E174" i="4"/>
  <c r="P174" i="4" s="1"/>
  <c r="C174" i="4"/>
  <c r="A174" i="4"/>
  <c r="G173" i="4"/>
  <c r="E173" i="4"/>
  <c r="C173" i="4"/>
  <c r="K173" i="4" s="1"/>
  <c r="A173" i="4"/>
  <c r="G172" i="4"/>
  <c r="E172" i="4"/>
  <c r="C172" i="4"/>
  <c r="K172" i="4" s="1"/>
  <c r="A172" i="4"/>
  <c r="G171" i="4"/>
  <c r="E171" i="4"/>
  <c r="I171" i="4" s="1"/>
  <c r="C171" i="4"/>
  <c r="K171" i="4" s="1"/>
  <c r="A171" i="4"/>
  <c r="G170" i="4"/>
  <c r="E170" i="4"/>
  <c r="I170" i="4" s="1"/>
  <c r="C170" i="4"/>
  <c r="K170" i="4" s="1"/>
  <c r="A170" i="4"/>
  <c r="G169" i="4"/>
  <c r="E169" i="4"/>
  <c r="C169" i="4"/>
  <c r="K169" i="4" s="1"/>
  <c r="A169" i="4"/>
  <c r="G168" i="4"/>
  <c r="E168" i="4"/>
  <c r="I168" i="4" s="1"/>
  <c r="Q168" i="4" s="1"/>
  <c r="C168" i="4"/>
  <c r="D168" i="4" s="1"/>
  <c r="L168" i="4" s="1"/>
  <c r="A168" i="4"/>
  <c r="G167" i="4"/>
  <c r="E167" i="4"/>
  <c r="C167" i="4"/>
  <c r="D167" i="4" s="1"/>
  <c r="L167" i="4" s="1"/>
  <c r="A167" i="4"/>
  <c r="G166" i="4"/>
  <c r="N166" i="4" s="1"/>
  <c r="E166" i="4"/>
  <c r="I166" i="4" s="1"/>
  <c r="C166" i="4"/>
  <c r="K166" i="4" s="1"/>
  <c r="A166" i="4"/>
  <c r="G165" i="4"/>
  <c r="E165" i="4"/>
  <c r="I165" i="4" s="1"/>
  <c r="C165" i="4"/>
  <c r="K165" i="4" s="1"/>
  <c r="A165" i="4"/>
  <c r="G164" i="4"/>
  <c r="E164" i="4"/>
  <c r="I164" i="4" s="1"/>
  <c r="C164" i="4"/>
  <c r="D164" i="4" s="1"/>
  <c r="L164" i="4" s="1"/>
  <c r="A164" i="4"/>
  <c r="G163" i="4"/>
  <c r="N163" i="4" s="1"/>
  <c r="E163" i="4"/>
  <c r="I163" i="4" s="1"/>
  <c r="C163" i="4"/>
  <c r="K163" i="4" s="1"/>
  <c r="A163" i="4"/>
  <c r="G162" i="4"/>
  <c r="E162" i="4"/>
  <c r="P162" i="4" s="1"/>
  <c r="C162" i="4"/>
  <c r="A162" i="4"/>
  <c r="G161" i="4"/>
  <c r="E161" i="4"/>
  <c r="I161" i="4" s="1"/>
  <c r="C161" i="4"/>
  <c r="K161" i="4" s="1"/>
  <c r="A161" i="4"/>
  <c r="G160" i="4"/>
  <c r="O160" i="4" s="1"/>
  <c r="E160" i="4"/>
  <c r="I160" i="4" s="1"/>
  <c r="C160" i="4"/>
  <c r="K160" i="4" s="1"/>
  <c r="A160" i="4"/>
  <c r="G159" i="4"/>
  <c r="E159" i="4"/>
  <c r="P159" i="4" s="1"/>
  <c r="C159" i="4"/>
  <c r="K159" i="4" s="1"/>
  <c r="A159" i="4"/>
  <c r="G158" i="4"/>
  <c r="E158" i="4"/>
  <c r="I158" i="4" s="1"/>
  <c r="C158" i="4"/>
  <c r="K158" i="4" s="1"/>
  <c r="A158" i="4"/>
  <c r="G157" i="4"/>
  <c r="E157" i="4"/>
  <c r="C157" i="4"/>
  <c r="M157" i="4" s="1"/>
  <c r="A157" i="4"/>
  <c r="G156" i="4"/>
  <c r="E156" i="4"/>
  <c r="C156" i="4"/>
  <c r="K156" i="4" s="1"/>
  <c r="A156" i="4"/>
  <c r="G155" i="4"/>
  <c r="E155" i="4"/>
  <c r="C155" i="4"/>
  <c r="K155" i="4" s="1"/>
  <c r="A155" i="4"/>
  <c r="G154" i="4"/>
  <c r="E154" i="4"/>
  <c r="I154" i="4" s="1"/>
  <c r="C154" i="4"/>
  <c r="K154" i="4" s="1"/>
  <c r="A154" i="4"/>
  <c r="G153" i="4"/>
  <c r="E153" i="4"/>
  <c r="I153" i="4" s="1"/>
  <c r="C153" i="4"/>
  <c r="K153" i="4" s="1"/>
  <c r="A153" i="4"/>
  <c r="G152" i="4"/>
  <c r="E152" i="4"/>
  <c r="O152" i="4" s="1"/>
  <c r="C152" i="4"/>
  <c r="K152" i="4" s="1"/>
  <c r="A152" i="4"/>
  <c r="G151" i="4"/>
  <c r="E151" i="4"/>
  <c r="I151" i="4" s="1"/>
  <c r="C151" i="4"/>
  <c r="K151" i="4" s="1"/>
  <c r="A151" i="4"/>
  <c r="G150" i="4"/>
  <c r="E150" i="4"/>
  <c r="P150" i="4" s="1"/>
  <c r="C150" i="4"/>
  <c r="A150" i="4"/>
  <c r="G149" i="4"/>
  <c r="E149" i="4"/>
  <c r="P149" i="4" s="1"/>
  <c r="C149" i="4"/>
  <c r="K149" i="4" s="1"/>
  <c r="A149" i="4"/>
  <c r="G148" i="4"/>
  <c r="E148" i="4"/>
  <c r="C148" i="4"/>
  <c r="K148" i="4" s="1"/>
  <c r="A148" i="4"/>
  <c r="G147" i="4"/>
  <c r="E147" i="4"/>
  <c r="I147" i="4" s="1"/>
  <c r="C147" i="4"/>
  <c r="K147" i="4" s="1"/>
  <c r="A147" i="4"/>
  <c r="G146" i="4"/>
  <c r="E146" i="4"/>
  <c r="I146" i="4" s="1"/>
  <c r="C146" i="4"/>
  <c r="K146" i="4" s="1"/>
  <c r="A146" i="4"/>
  <c r="M145" i="4"/>
  <c r="G145" i="4"/>
  <c r="E145" i="4"/>
  <c r="I145" i="4" s="1"/>
  <c r="Q145" i="4" s="1"/>
  <c r="C145" i="4"/>
  <c r="K145" i="4" s="1"/>
  <c r="A145" i="4"/>
  <c r="G144" i="4"/>
  <c r="E144" i="4"/>
  <c r="I144" i="4" s="1"/>
  <c r="Q144" i="4" s="1"/>
  <c r="C144" i="4"/>
  <c r="K144" i="4" s="1"/>
  <c r="A144" i="4"/>
  <c r="G143" i="4"/>
  <c r="E143" i="4"/>
  <c r="P143" i="4" s="1"/>
  <c r="C143" i="4"/>
  <c r="K143" i="4" s="1"/>
  <c r="A143" i="4"/>
  <c r="G142" i="4"/>
  <c r="E142" i="4"/>
  <c r="I142" i="4" s="1"/>
  <c r="C142" i="4"/>
  <c r="D142" i="4" s="1"/>
  <c r="L142" i="4" s="1"/>
  <c r="A142" i="4"/>
  <c r="G141" i="4"/>
  <c r="E141" i="4"/>
  <c r="I141" i="4" s="1"/>
  <c r="C141" i="4"/>
  <c r="K141" i="4" s="1"/>
  <c r="A141" i="4"/>
  <c r="G140" i="4"/>
  <c r="E140" i="4"/>
  <c r="C140" i="4"/>
  <c r="K140" i="4" s="1"/>
  <c r="A140" i="4"/>
  <c r="G139" i="4"/>
  <c r="E139" i="4"/>
  <c r="I139" i="4" s="1"/>
  <c r="C139" i="4"/>
  <c r="K139" i="4" s="1"/>
  <c r="A139" i="4"/>
  <c r="G138" i="4"/>
  <c r="E138" i="4"/>
  <c r="I138" i="4" s="1"/>
  <c r="C138" i="4"/>
  <c r="A138" i="4"/>
  <c r="G137" i="4"/>
  <c r="E137" i="4"/>
  <c r="C137" i="4"/>
  <c r="K137" i="4" s="1"/>
  <c r="A137" i="4"/>
  <c r="G136" i="4"/>
  <c r="E136" i="4"/>
  <c r="C136" i="4"/>
  <c r="K136" i="4" s="1"/>
  <c r="A136" i="4"/>
  <c r="G135" i="4"/>
  <c r="E135" i="4"/>
  <c r="P135" i="4" s="1"/>
  <c r="C135" i="4"/>
  <c r="D135" i="4" s="1"/>
  <c r="L135" i="4" s="1"/>
  <c r="A135" i="4"/>
  <c r="G134" i="4"/>
  <c r="E134" i="4"/>
  <c r="C134" i="4"/>
  <c r="K134" i="4" s="1"/>
  <c r="A134" i="4"/>
  <c r="G133" i="4"/>
  <c r="E133" i="4"/>
  <c r="I133" i="4" s="1"/>
  <c r="Q133" i="4" s="1"/>
  <c r="C133" i="4"/>
  <c r="K133" i="4" s="1"/>
  <c r="A133" i="4"/>
  <c r="G132" i="4"/>
  <c r="E132" i="4"/>
  <c r="H132" i="4" s="1"/>
  <c r="C132" i="4"/>
  <c r="N132" i="4" s="1"/>
  <c r="A132" i="4"/>
  <c r="G131" i="4"/>
  <c r="E131" i="4"/>
  <c r="C131" i="4"/>
  <c r="N131" i="4" s="1"/>
  <c r="A131" i="4"/>
  <c r="G130" i="4"/>
  <c r="E130" i="4"/>
  <c r="P130" i="4" s="1"/>
  <c r="C130" i="4"/>
  <c r="K130" i="4" s="1"/>
  <c r="A130" i="4"/>
  <c r="G129" i="4"/>
  <c r="E129" i="4"/>
  <c r="I129" i="4" s="1"/>
  <c r="C129" i="4"/>
  <c r="K129" i="4" s="1"/>
  <c r="A129" i="4"/>
  <c r="G128" i="4"/>
  <c r="N128" i="4" s="1"/>
  <c r="E128" i="4"/>
  <c r="I128" i="4" s="1"/>
  <c r="C128" i="4"/>
  <c r="K128" i="4" s="1"/>
  <c r="A128" i="4"/>
  <c r="G127" i="4"/>
  <c r="E127" i="4"/>
  <c r="M127" i="4" s="1"/>
  <c r="C127" i="4"/>
  <c r="K127" i="4" s="1"/>
  <c r="A127" i="4"/>
  <c r="G126" i="4"/>
  <c r="E126" i="4"/>
  <c r="P126" i="4" s="1"/>
  <c r="C126" i="4"/>
  <c r="A126" i="4"/>
  <c r="G125" i="4"/>
  <c r="E125" i="4"/>
  <c r="H125" i="4" s="1"/>
  <c r="C125" i="4"/>
  <c r="K125" i="4" s="1"/>
  <c r="A125" i="4"/>
  <c r="G124" i="4"/>
  <c r="E124" i="4"/>
  <c r="D124" i="4" s="1"/>
  <c r="L124" i="4" s="1"/>
  <c r="C124" i="4"/>
  <c r="K124" i="4" s="1"/>
  <c r="A124" i="4"/>
  <c r="G123" i="4"/>
  <c r="N123" i="4" s="1"/>
  <c r="E123" i="4"/>
  <c r="P123" i="4" s="1"/>
  <c r="C123" i="4"/>
  <c r="K123" i="4" s="1"/>
  <c r="A123" i="4"/>
  <c r="G122" i="4"/>
  <c r="E122" i="4"/>
  <c r="O122" i="4" s="1"/>
  <c r="C122" i="4"/>
  <c r="K122" i="4" s="1"/>
  <c r="A122" i="4"/>
  <c r="G121" i="4"/>
  <c r="E121" i="4"/>
  <c r="I121" i="4" s="1"/>
  <c r="Q121" i="4" s="1"/>
  <c r="C121" i="4"/>
  <c r="K121" i="4" s="1"/>
  <c r="A121" i="4"/>
  <c r="G120" i="4"/>
  <c r="E120" i="4"/>
  <c r="I120" i="4" s="1"/>
  <c r="Q120" i="4" s="1"/>
  <c r="C120" i="4"/>
  <c r="K120" i="4" s="1"/>
  <c r="A120" i="4"/>
  <c r="G119" i="4"/>
  <c r="E119" i="4"/>
  <c r="C119" i="4"/>
  <c r="K119" i="4" s="1"/>
  <c r="A119" i="4"/>
  <c r="G118" i="4"/>
  <c r="E118" i="4"/>
  <c r="M118" i="4" s="1"/>
  <c r="C118" i="4"/>
  <c r="K118" i="4" s="1"/>
  <c r="A118" i="4"/>
  <c r="G117" i="4"/>
  <c r="E117" i="4"/>
  <c r="I117" i="4" s="1"/>
  <c r="C117" i="4"/>
  <c r="K117" i="4" s="1"/>
  <c r="A117" i="4"/>
  <c r="G116" i="4"/>
  <c r="E116" i="4"/>
  <c r="C116" i="4"/>
  <c r="K116" i="4" s="1"/>
  <c r="A116" i="4"/>
  <c r="G115" i="4"/>
  <c r="E115" i="4"/>
  <c r="M115" i="4" s="1"/>
  <c r="C115" i="4"/>
  <c r="K115" i="4" s="1"/>
  <c r="A115" i="4"/>
  <c r="G114" i="4"/>
  <c r="E114" i="4"/>
  <c r="P114" i="4" s="1"/>
  <c r="C114" i="4"/>
  <c r="A114" i="4"/>
  <c r="G113" i="4"/>
  <c r="E113" i="4"/>
  <c r="C113" i="4"/>
  <c r="K113" i="4" s="1"/>
  <c r="A113" i="4"/>
  <c r="G112" i="4"/>
  <c r="E112" i="4"/>
  <c r="C112" i="4"/>
  <c r="K112" i="4" s="1"/>
  <c r="A112" i="4"/>
  <c r="G111" i="4"/>
  <c r="N111" i="4" s="1"/>
  <c r="E111" i="4"/>
  <c r="M111" i="4" s="1"/>
  <c r="C111" i="4"/>
  <c r="K111" i="4" s="1"/>
  <c r="A111" i="4"/>
  <c r="G110" i="4"/>
  <c r="E110" i="4"/>
  <c r="I110" i="4" s="1"/>
  <c r="C110" i="4"/>
  <c r="K110" i="4" s="1"/>
  <c r="A110" i="4"/>
  <c r="G109" i="4"/>
  <c r="E109" i="4"/>
  <c r="C109" i="4"/>
  <c r="K109" i="4" s="1"/>
  <c r="A109" i="4"/>
  <c r="G108" i="4"/>
  <c r="E108" i="4"/>
  <c r="I108" i="4" s="1"/>
  <c r="Q108" i="4" s="1"/>
  <c r="C108" i="4"/>
  <c r="A108" i="4"/>
  <c r="G107" i="4"/>
  <c r="E107" i="4"/>
  <c r="C107" i="4"/>
  <c r="A107" i="4"/>
  <c r="G106" i="4"/>
  <c r="E106" i="4"/>
  <c r="M106" i="4" s="1"/>
  <c r="C106" i="4"/>
  <c r="K106" i="4" s="1"/>
  <c r="A106" i="4"/>
  <c r="G105" i="4"/>
  <c r="E105" i="4"/>
  <c r="I105" i="4" s="1"/>
  <c r="C105" i="4"/>
  <c r="K105" i="4" s="1"/>
  <c r="A105" i="4"/>
  <c r="G104" i="4"/>
  <c r="E104" i="4"/>
  <c r="C104" i="4"/>
  <c r="K104" i="4" s="1"/>
  <c r="A104" i="4"/>
  <c r="G103" i="4"/>
  <c r="E103" i="4"/>
  <c r="I103" i="4" s="1"/>
  <c r="C103" i="4"/>
  <c r="K103" i="4" s="1"/>
  <c r="A103" i="4"/>
  <c r="G102" i="4"/>
  <c r="E102" i="4"/>
  <c r="P102" i="4" s="1"/>
  <c r="C102" i="4"/>
  <c r="A102" i="4"/>
  <c r="G101" i="4"/>
  <c r="E101" i="4"/>
  <c r="I101" i="4" s="1"/>
  <c r="C101" i="4"/>
  <c r="K101" i="4" s="1"/>
  <c r="A101" i="4"/>
  <c r="G100" i="4"/>
  <c r="E100" i="4"/>
  <c r="H100" i="4" s="1"/>
  <c r="C100" i="4"/>
  <c r="K100" i="4" s="1"/>
  <c r="A100" i="4"/>
  <c r="G99" i="4"/>
  <c r="E99" i="4"/>
  <c r="I99" i="4" s="1"/>
  <c r="C99" i="4"/>
  <c r="K99" i="4" s="1"/>
  <c r="A99" i="4"/>
  <c r="G98" i="4"/>
  <c r="E98" i="4"/>
  <c r="I98" i="4" s="1"/>
  <c r="C98" i="4"/>
  <c r="K98" i="4" s="1"/>
  <c r="A98" i="4"/>
  <c r="G97" i="4"/>
  <c r="E97" i="4"/>
  <c r="I97" i="4" s="1"/>
  <c r="Q97" i="4" s="1"/>
  <c r="C97" i="4"/>
  <c r="K97" i="4" s="1"/>
  <c r="A97" i="4"/>
  <c r="G96" i="4"/>
  <c r="E96" i="4"/>
  <c r="I96" i="4" s="1"/>
  <c r="Q96" i="4" s="1"/>
  <c r="C96" i="4"/>
  <c r="K96" i="4" s="1"/>
  <c r="A96" i="4"/>
  <c r="G95" i="4"/>
  <c r="E95" i="4"/>
  <c r="C95" i="4"/>
  <c r="K95" i="4" s="1"/>
  <c r="A95" i="4"/>
  <c r="G94" i="4"/>
  <c r="E94" i="4"/>
  <c r="P94" i="4" s="1"/>
  <c r="C94" i="4"/>
  <c r="K94" i="4" s="1"/>
  <c r="A94" i="4"/>
  <c r="G93" i="4"/>
  <c r="E93" i="4"/>
  <c r="P93" i="4" s="1"/>
  <c r="C93" i="4"/>
  <c r="K93" i="4" s="1"/>
  <c r="A93" i="4"/>
  <c r="G92" i="4"/>
  <c r="E92" i="4"/>
  <c r="I92" i="4" s="1"/>
  <c r="C92" i="4"/>
  <c r="K92" i="4" s="1"/>
  <c r="A92" i="4"/>
  <c r="G91" i="4"/>
  <c r="E91" i="4"/>
  <c r="P91" i="4" s="1"/>
  <c r="C91" i="4"/>
  <c r="K91" i="4" s="1"/>
  <c r="A91" i="4"/>
  <c r="G90" i="4"/>
  <c r="E90" i="4"/>
  <c r="P90" i="4" s="1"/>
  <c r="C90" i="4"/>
  <c r="A90" i="4"/>
  <c r="G89" i="4"/>
  <c r="E89" i="4"/>
  <c r="I89" i="4" s="1"/>
  <c r="C89" i="4"/>
  <c r="K89" i="4" s="1"/>
  <c r="A89" i="4"/>
  <c r="G88" i="4"/>
  <c r="E88" i="4"/>
  <c r="C88" i="4"/>
  <c r="K88" i="4" s="1"/>
  <c r="A88" i="4"/>
  <c r="G87" i="4"/>
  <c r="E87" i="4"/>
  <c r="P87" i="4" s="1"/>
  <c r="C87" i="4"/>
  <c r="K87" i="4" s="1"/>
  <c r="A87" i="4"/>
  <c r="G86" i="4"/>
  <c r="E86" i="4"/>
  <c r="I86" i="4" s="1"/>
  <c r="C86" i="4"/>
  <c r="K86" i="4" s="1"/>
  <c r="A86" i="4"/>
  <c r="G85" i="4"/>
  <c r="E85" i="4"/>
  <c r="I85" i="4" s="1"/>
  <c r="Q85" i="4" s="1"/>
  <c r="C85" i="4"/>
  <c r="K85" i="4" s="1"/>
  <c r="A85" i="4"/>
  <c r="G84" i="4"/>
  <c r="E84" i="4"/>
  <c r="I84" i="4" s="1"/>
  <c r="Q84" i="4" s="1"/>
  <c r="C84" i="4"/>
  <c r="K84" i="4" s="1"/>
  <c r="A84" i="4"/>
  <c r="G83" i="4"/>
  <c r="E83" i="4"/>
  <c r="H83" i="4" s="1"/>
  <c r="C83" i="4"/>
  <c r="K83" i="4" s="1"/>
  <c r="A83" i="4"/>
  <c r="G82" i="4"/>
  <c r="E82" i="4"/>
  <c r="D82" i="4" s="1"/>
  <c r="L82" i="4" s="1"/>
  <c r="C82" i="4"/>
  <c r="K82" i="4" s="1"/>
  <c r="A82" i="4"/>
  <c r="G81" i="4"/>
  <c r="E81" i="4"/>
  <c r="I81" i="4" s="1"/>
  <c r="C81" i="4"/>
  <c r="K81" i="4" s="1"/>
  <c r="A81" i="4"/>
  <c r="G80" i="4"/>
  <c r="E80" i="4"/>
  <c r="H80" i="4" s="1"/>
  <c r="C80" i="4"/>
  <c r="K80" i="4" s="1"/>
  <c r="A80" i="4"/>
  <c r="G79" i="4"/>
  <c r="E79" i="4"/>
  <c r="I79" i="4" s="1"/>
  <c r="C79" i="4"/>
  <c r="K79" i="4" s="1"/>
  <c r="A79" i="4"/>
  <c r="G78" i="4"/>
  <c r="E78" i="4"/>
  <c r="P78" i="4" s="1"/>
  <c r="C78" i="4"/>
  <c r="A78" i="4"/>
  <c r="G77" i="4"/>
  <c r="E77" i="4"/>
  <c r="H77" i="4" s="1"/>
  <c r="C77" i="4"/>
  <c r="K77" i="4" s="1"/>
  <c r="A77" i="4"/>
  <c r="G76" i="4"/>
  <c r="E76" i="4"/>
  <c r="C76" i="4"/>
  <c r="K76" i="4" s="1"/>
  <c r="A76" i="4"/>
  <c r="G75" i="4"/>
  <c r="E75" i="4"/>
  <c r="I75" i="4" s="1"/>
  <c r="C75" i="4"/>
  <c r="K75" i="4" s="1"/>
  <c r="A75" i="4"/>
  <c r="G74" i="4"/>
  <c r="E74" i="4"/>
  <c r="C74" i="4"/>
  <c r="K74" i="4" s="1"/>
  <c r="A74" i="4"/>
  <c r="G73" i="4"/>
  <c r="E73" i="4"/>
  <c r="I73" i="4" s="1"/>
  <c r="Q73" i="4" s="1"/>
  <c r="C73" i="4"/>
  <c r="K73" i="4" s="1"/>
  <c r="A73" i="4"/>
  <c r="G72" i="4"/>
  <c r="E72" i="4"/>
  <c r="P72" i="4" s="1"/>
  <c r="C72" i="4"/>
  <c r="K72" i="4" s="1"/>
  <c r="A72" i="4"/>
  <c r="G71" i="4"/>
  <c r="E71" i="4"/>
  <c r="C71" i="4"/>
  <c r="K71" i="4" s="1"/>
  <c r="A71" i="4"/>
  <c r="G70" i="4"/>
  <c r="E70" i="4"/>
  <c r="I70" i="4" s="1"/>
  <c r="C70" i="4"/>
  <c r="K70" i="4" s="1"/>
  <c r="A70" i="4"/>
  <c r="G69" i="4"/>
  <c r="E69" i="4"/>
  <c r="I69" i="4" s="1"/>
  <c r="C69" i="4"/>
  <c r="K69" i="4" s="1"/>
  <c r="A69" i="4"/>
  <c r="G68" i="4"/>
  <c r="E68" i="4"/>
  <c r="I68" i="4" s="1"/>
  <c r="C68" i="4"/>
  <c r="K68" i="4" s="1"/>
  <c r="A68" i="4"/>
  <c r="G67" i="4"/>
  <c r="E67" i="4"/>
  <c r="I67" i="4" s="1"/>
  <c r="C67" i="4"/>
  <c r="K67" i="4" s="1"/>
  <c r="A67" i="4"/>
  <c r="G66" i="4"/>
  <c r="E66" i="4"/>
  <c r="P66" i="4" s="1"/>
  <c r="C66" i="4"/>
  <c r="A66" i="4"/>
  <c r="G65" i="4"/>
  <c r="E65" i="4"/>
  <c r="O65" i="4" s="1"/>
  <c r="C65" i="4"/>
  <c r="K65" i="4" s="1"/>
  <c r="A65" i="4"/>
  <c r="G64" i="4"/>
  <c r="N64" i="4" s="1"/>
  <c r="E64" i="4"/>
  <c r="I64" i="4" s="1"/>
  <c r="C64" i="4"/>
  <c r="K64" i="4" s="1"/>
  <c r="A64" i="4"/>
  <c r="G63" i="4"/>
  <c r="E63" i="4"/>
  <c r="P63" i="4" s="1"/>
  <c r="C63" i="4"/>
  <c r="K63" i="4" s="1"/>
  <c r="A63" i="4"/>
  <c r="G62" i="4"/>
  <c r="E62" i="4"/>
  <c r="P62" i="4" s="1"/>
  <c r="C62" i="4"/>
  <c r="A62" i="4"/>
  <c r="G61" i="4"/>
  <c r="E61" i="4"/>
  <c r="I61" i="4" s="1"/>
  <c r="Q61" i="4" s="1"/>
  <c r="C61" i="4"/>
  <c r="K61" i="4" s="1"/>
  <c r="A61" i="4"/>
  <c r="G60" i="4"/>
  <c r="E60" i="4"/>
  <c r="C60" i="4"/>
  <c r="A60" i="4"/>
  <c r="G59" i="4"/>
  <c r="E59" i="4"/>
  <c r="C59" i="4"/>
  <c r="A59" i="4"/>
  <c r="H58" i="4"/>
  <c r="G58" i="4"/>
  <c r="E58" i="4"/>
  <c r="P58" i="4" s="1"/>
  <c r="C58" i="4"/>
  <c r="K58" i="4" s="1"/>
  <c r="A58" i="4"/>
  <c r="G57" i="4"/>
  <c r="E57" i="4"/>
  <c r="M57" i="4" s="1"/>
  <c r="C57" i="4"/>
  <c r="K57" i="4" s="1"/>
  <c r="A57" i="4"/>
  <c r="G56" i="4"/>
  <c r="E56" i="4"/>
  <c r="C56" i="4"/>
  <c r="K56" i="4" s="1"/>
  <c r="A56" i="4"/>
  <c r="G55" i="4"/>
  <c r="E55" i="4"/>
  <c r="I55" i="4" s="1"/>
  <c r="C55" i="4"/>
  <c r="K55" i="4" s="1"/>
  <c r="A55" i="4"/>
  <c r="G54" i="4"/>
  <c r="E54" i="4"/>
  <c r="P54" i="4" s="1"/>
  <c r="C54" i="4"/>
  <c r="A54" i="4"/>
  <c r="G53" i="4"/>
  <c r="E53" i="4"/>
  <c r="P53" i="4" s="1"/>
  <c r="C53" i="4"/>
  <c r="K53" i="4" s="1"/>
  <c r="A53" i="4"/>
  <c r="G52" i="4"/>
  <c r="E52" i="4"/>
  <c r="C52" i="4"/>
  <c r="K52" i="4" s="1"/>
  <c r="A52" i="4"/>
  <c r="G51" i="4"/>
  <c r="E51" i="4"/>
  <c r="P51" i="4" s="1"/>
  <c r="C51" i="4"/>
  <c r="K51" i="4" s="1"/>
  <c r="A51" i="4"/>
  <c r="G50" i="4"/>
  <c r="E50" i="4"/>
  <c r="I50" i="4" s="1"/>
  <c r="C50" i="4"/>
  <c r="K50" i="4" s="1"/>
  <c r="A50" i="4"/>
  <c r="G49" i="4"/>
  <c r="E49" i="4"/>
  <c r="O49" i="4" s="1"/>
  <c r="C49" i="4"/>
  <c r="K49" i="4" s="1"/>
  <c r="A49" i="4"/>
  <c r="G48" i="4"/>
  <c r="E48" i="4"/>
  <c r="I48" i="4" s="1"/>
  <c r="Q48" i="4" s="1"/>
  <c r="C48" i="4"/>
  <c r="K48" i="4" s="1"/>
  <c r="A48" i="4"/>
  <c r="G47" i="4"/>
  <c r="E47" i="4"/>
  <c r="C47" i="4"/>
  <c r="K47" i="4" s="1"/>
  <c r="A47" i="4"/>
  <c r="G46" i="4"/>
  <c r="E46" i="4"/>
  <c r="I46" i="4" s="1"/>
  <c r="C46" i="4"/>
  <c r="K46" i="4" s="1"/>
  <c r="A46" i="4"/>
  <c r="G45" i="4"/>
  <c r="E45" i="4"/>
  <c r="P45" i="4" s="1"/>
  <c r="C45" i="4"/>
  <c r="K45" i="4" s="1"/>
  <c r="A45" i="4"/>
  <c r="G44" i="4"/>
  <c r="E44" i="4"/>
  <c r="I44" i="4" s="1"/>
  <c r="C44" i="4"/>
  <c r="K44" i="4" s="1"/>
  <c r="A44" i="4"/>
  <c r="G43" i="4"/>
  <c r="E43" i="4"/>
  <c r="D43" i="4" s="1"/>
  <c r="L43" i="4" s="1"/>
  <c r="C43" i="4"/>
  <c r="K43" i="4" s="1"/>
  <c r="A43" i="4"/>
  <c r="G42" i="4"/>
  <c r="E42" i="4"/>
  <c r="P42" i="4" s="1"/>
  <c r="C42" i="4"/>
  <c r="A42" i="4"/>
  <c r="G41" i="4"/>
  <c r="E41" i="4"/>
  <c r="P41" i="4" s="1"/>
  <c r="C41" i="4"/>
  <c r="K41" i="4" s="1"/>
  <c r="A41" i="4"/>
  <c r="G40" i="4"/>
  <c r="E40" i="4"/>
  <c r="H40" i="4" s="1"/>
  <c r="C40" i="4"/>
  <c r="N40" i="4" s="1"/>
  <c r="A40" i="4"/>
  <c r="G39" i="4"/>
  <c r="E39" i="4"/>
  <c r="C39" i="4"/>
  <c r="K39" i="4" s="1"/>
  <c r="A39" i="4"/>
  <c r="G38" i="4"/>
  <c r="E38" i="4"/>
  <c r="I38" i="4" s="1"/>
  <c r="C38" i="4"/>
  <c r="K38" i="4" s="1"/>
  <c r="A38" i="4"/>
  <c r="G37" i="4"/>
  <c r="E37" i="4"/>
  <c r="C37" i="4"/>
  <c r="K37" i="4" s="1"/>
  <c r="A37" i="4"/>
  <c r="G36" i="4"/>
  <c r="E36" i="4"/>
  <c r="C36" i="4"/>
  <c r="K36" i="4" s="1"/>
  <c r="A36" i="4"/>
  <c r="G35" i="4"/>
  <c r="E35" i="4"/>
  <c r="C35" i="4"/>
  <c r="K35" i="4" s="1"/>
  <c r="A35" i="4"/>
  <c r="G34" i="4"/>
  <c r="E34" i="4"/>
  <c r="I34" i="4" s="1"/>
  <c r="C34" i="4"/>
  <c r="D34" i="4" s="1"/>
  <c r="L34" i="4" s="1"/>
  <c r="A34" i="4"/>
  <c r="G33" i="4"/>
  <c r="E33" i="4"/>
  <c r="P33" i="4" s="1"/>
  <c r="C33" i="4"/>
  <c r="K33" i="4" s="1"/>
  <c r="A33" i="4"/>
  <c r="G32" i="4"/>
  <c r="E32" i="4"/>
  <c r="I32" i="4" s="1"/>
  <c r="C32" i="4"/>
  <c r="K32" i="4" s="1"/>
  <c r="A32" i="4"/>
  <c r="G31" i="4"/>
  <c r="E31" i="4"/>
  <c r="I31" i="4" s="1"/>
  <c r="C31" i="4"/>
  <c r="K31" i="4" s="1"/>
  <c r="A31" i="4"/>
  <c r="G30" i="4"/>
  <c r="E30" i="4"/>
  <c r="P30" i="4" s="1"/>
  <c r="C30" i="4"/>
  <c r="A30" i="4"/>
  <c r="G29" i="4"/>
  <c r="E29" i="4"/>
  <c r="C29" i="4"/>
  <c r="K29" i="4" s="1"/>
  <c r="A29" i="4"/>
  <c r="G28" i="4"/>
  <c r="E28" i="4"/>
  <c r="C28" i="4"/>
  <c r="K28" i="4" s="1"/>
  <c r="A28" i="4"/>
  <c r="G27" i="4"/>
  <c r="E27" i="4"/>
  <c r="P27" i="4" s="1"/>
  <c r="C27" i="4"/>
  <c r="K27" i="4" s="1"/>
  <c r="A27" i="4"/>
  <c r="G26" i="4"/>
  <c r="E26" i="4"/>
  <c r="I26" i="4" s="1"/>
  <c r="C26" i="4"/>
  <c r="K26" i="4" s="1"/>
  <c r="A26" i="4"/>
  <c r="G25" i="4"/>
  <c r="E25" i="4"/>
  <c r="I25" i="4" s="1"/>
  <c r="Q25" i="4" s="1"/>
  <c r="C25" i="4"/>
  <c r="K25" i="4" s="1"/>
  <c r="A25" i="4"/>
  <c r="G24" i="4"/>
  <c r="E24" i="4"/>
  <c r="I24" i="4" s="1"/>
  <c r="Q24" i="4" s="1"/>
  <c r="C24" i="4"/>
  <c r="M24" i="4" s="1"/>
  <c r="A24" i="4"/>
  <c r="G23" i="4"/>
  <c r="E23" i="4"/>
  <c r="C23" i="4"/>
  <c r="K23" i="4" s="1"/>
  <c r="A23" i="4"/>
  <c r="G22" i="4"/>
  <c r="E22" i="4"/>
  <c r="C22" i="4"/>
  <c r="K22" i="4" s="1"/>
  <c r="A22" i="4"/>
  <c r="G21" i="4"/>
  <c r="E21" i="4"/>
  <c r="I21" i="4" s="1"/>
  <c r="C21" i="4"/>
  <c r="K21" i="4" s="1"/>
  <c r="A21" i="4"/>
  <c r="G20" i="4"/>
  <c r="E20" i="4"/>
  <c r="C20" i="4"/>
  <c r="N20" i="4" s="1"/>
  <c r="A20" i="4"/>
  <c r="G19" i="4"/>
  <c r="E19" i="4"/>
  <c r="C19" i="4"/>
  <c r="K19" i="4" s="1"/>
  <c r="A19" i="4"/>
  <c r="G18" i="4"/>
  <c r="E18" i="4"/>
  <c r="P18" i="4" s="1"/>
  <c r="C18" i="4"/>
  <c r="A18" i="4"/>
  <c r="G17" i="4"/>
  <c r="E17" i="4"/>
  <c r="C17" i="4"/>
  <c r="K17" i="4" s="1"/>
  <c r="A17" i="4"/>
  <c r="G16" i="4"/>
  <c r="E16" i="4"/>
  <c r="C16" i="4"/>
  <c r="K16" i="4" s="1"/>
  <c r="A16" i="4"/>
  <c r="G15" i="4"/>
  <c r="E15" i="4"/>
  <c r="P15" i="4" s="1"/>
  <c r="C15" i="4"/>
  <c r="K15" i="4" s="1"/>
  <c r="A15" i="4"/>
  <c r="G14" i="4"/>
  <c r="E14" i="4"/>
  <c r="C14" i="4"/>
  <c r="K14" i="4" s="1"/>
  <c r="A14" i="4"/>
  <c r="G13" i="4"/>
  <c r="E13" i="4"/>
  <c r="C13" i="4"/>
  <c r="K13" i="4" s="1"/>
  <c r="A13" i="4"/>
  <c r="G12" i="4"/>
  <c r="E12" i="4"/>
  <c r="C12" i="4"/>
  <c r="N12" i="4" s="1"/>
  <c r="A12" i="4"/>
  <c r="G11" i="4"/>
  <c r="E11" i="4"/>
  <c r="C11" i="4"/>
  <c r="K11" i="4" s="1"/>
  <c r="A11" i="4"/>
  <c r="G10" i="4"/>
  <c r="E10" i="4"/>
  <c r="I10" i="4" s="1"/>
  <c r="C10" i="4"/>
  <c r="K10" i="4" s="1"/>
  <c r="A10" i="4"/>
  <c r="G9" i="4"/>
  <c r="E9" i="4"/>
  <c r="P9" i="4" s="1"/>
  <c r="C9" i="4"/>
  <c r="K9" i="4" s="1"/>
  <c r="A9" i="4"/>
  <c r="G8" i="4"/>
  <c r="H8" i="4" s="1"/>
  <c r="E8" i="4"/>
  <c r="I8" i="4" s="1"/>
  <c r="C8" i="4"/>
  <c r="K8" i="4" s="1"/>
  <c r="A8" i="4"/>
  <c r="G7" i="4"/>
  <c r="E7" i="4"/>
  <c r="P7" i="4" s="1"/>
  <c r="C7" i="4"/>
  <c r="K7" i="4" s="1"/>
  <c r="A7" i="4"/>
  <c r="G6" i="4"/>
  <c r="E6" i="4"/>
  <c r="P6" i="4" s="1"/>
  <c r="C6" i="4"/>
  <c r="A6" i="4"/>
  <c r="G5" i="4"/>
  <c r="E5" i="4"/>
  <c r="C5" i="4"/>
  <c r="K5" i="4" s="1"/>
  <c r="A5" i="4"/>
  <c r="G4" i="4"/>
  <c r="E4" i="4"/>
  <c r="C4" i="4"/>
  <c r="K4" i="4" s="1"/>
  <c r="A4" i="4"/>
  <c r="G3" i="4"/>
  <c r="E3" i="4"/>
  <c r="P3" i="4" s="1"/>
  <c r="C3" i="4"/>
  <c r="K3" i="4" s="1"/>
  <c r="A3" i="4"/>
  <c r="G2" i="4"/>
  <c r="E2" i="4"/>
  <c r="I2" i="4" s="1"/>
  <c r="C2" i="4"/>
  <c r="K2" i="4" s="1"/>
  <c r="A2" i="4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" i="2"/>
  <c r="J212" i="2"/>
  <c r="E3" i="2"/>
  <c r="F3" i="2"/>
  <c r="E4" i="2"/>
  <c r="F4" i="2"/>
  <c r="E5" i="2"/>
  <c r="F5" i="2"/>
  <c r="E6" i="2"/>
  <c r="F6" i="2"/>
  <c r="E7" i="2"/>
  <c r="F7" i="2"/>
  <c r="E8" i="2"/>
  <c r="F8" i="2"/>
  <c r="E9" i="2"/>
  <c r="N9" i="2" s="1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N23" i="2" s="1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N33" i="2" s="1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N47" i="2" s="1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N57" i="2" s="1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N71" i="2" s="1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N79" i="2" s="1"/>
  <c r="F79" i="2"/>
  <c r="E80" i="2"/>
  <c r="F80" i="2"/>
  <c r="E81" i="2"/>
  <c r="N81" i="2" s="1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N95" i="2" s="1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N105" i="2" s="1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N119" i="2" s="1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N129" i="2" s="1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N143" i="2" s="1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N153" i="2" s="1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E166" i="2"/>
  <c r="F166" i="2"/>
  <c r="E167" i="2"/>
  <c r="N167" i="2" s="1"/>
  <c r="F167" i="2"/>
  <c r="E168" i="2"/>
  <c r="F168" i="2"/>
  <c r="E169" i="2"/>
  <c r="F169" i="2"/>
  <c r="E170" i="2"/>
  <c r="F170" i="2"/>
  <c r="E171" i="2"/>
  <c r="F171" i="2"/>
  <c r="E172" i="2"/>
  <c r="F172" i="2"/>
  <c r="E173" i="2"/>
  <c r="F173" i="2"/>
  <c r="E174" i="2"/>
  <c r="F174" i="2"/>
  <c r="E175" i="2"/>
  <c r="F175" i="2"/>
  <c r="E176" i="2"/>
  <c r="F176" i="2"/>
  <c r="E177" i="2"/>
  <c r="H177" i="2" s="1"/>
  <c r="O177" i="2" s="1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E189" i="2"/>
  <c r="F189" i="2"/>
  <c r="E190" i="2"/>
  <c r="F190" i="2"/>
  <c r="E191" i="2"/>
  <c r="N191" i="2" s="1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N201" i="2" s="1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N215" i="2" s="1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N230" i="2" s="1"/>
  <c r="F230" i="2"/>
  <c r="E231" i="2"/>
  <c r="F231" i="2"/>
  <c r="E232" i="2"/>
  <c r="F232" i="2"/>
  <c r="E233" i="2"/>
  <c r="F233" i="2"/>
  <c r="E234" i="2"/>
  <c r="F234" i="2"/>
  <c r="E235" i="2"/>
  <c r="F235" i="2"/>
  <c r="E236" i="2"/>
  <c r="F236" i="2"/>
  <c r="E237" i="2"/>
  <c r="F237" i="2"/>
  <c r="E238" i="2"/>
  <c r="F238" i="2"/>
  <c r="E239" i="2"/>
  <c r="N239" i="2" s="1"/>
  <c r="F239" i="2"/>
  <c r="E240" i="2"/>
  <c r="F240" i="2"/>
  <c r="E241" i="2"/>
  <c r="F241" i="2"/>
  <c r="E242" i="2"/>
  <c r="F24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N254" i="2" s="1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F2" i="2"/>
  <c r="E2" i="2"/>
  <c r="C3" i="2"/>
  <c r="C4" i="2"/>
  <c r="C5" i="2"/>
  <c r="J5" i="2" s="1"/>
  <c r="C6" i="2"/>
  <c r="J6" i="2" s="1"/>
  <c r="C7" i="2"/>
  <c r="J7" i="2" s="1"/>
  <c r="C8" i="2"/>
  <c r="J8" i="2" s="1"/>
  <c r="C9" i="2"/>
  <c r="J9" i="2" s="1"/>
  <c r="C10" i="2"/>
  <c r="C11" i="2"/>
  <c r="C12" i="2"/>
  <c r="C13" i="2"/>
  <c r="J13" i="2" s="1"/>
  <c r="C14" i="2"/>
  <c r="J14" i="2" s="1"/>
  <c r="C15" i="2"/>
  <c r="C16" i="2"/>
  <c r="C17" i="2"/>
  <c r="J17" i="2" s="1"/>
  <c r="C18" i="2"/>
  <c r="C19" i="2"/>
  <c r="C20" i="2"/>
  <c r="C21" i="2"/>
  <c r="C22" i="2"/>
  <c r="J22" i="2" s="1"/>
  <c r="C23" i="2"/>
  <c r="J23" i="2" s="1"/>
  <c r="C24" i="2"/>
  <c r="C25" i="2"/>
  <c r="C26" i="2"/>
  <c r="C27" i="2"/>
  <c r="J27" i="2" s="1"/>
  <c r="C28" i="2"/>
  <c r="C29" i="2"/>
  <c r="J29" i="2" s="1"/>
  <c r="C30" i="2"/>
  <c r="J30" i="2" s="1"/>
  <c r="C31" i="2"/>
  <c r="J31" i="2" s="1"/>
  <c r="C32" i="2"/>
  <c r="J32" i="2" s="1"/>
  <c r="C33" i="2"/>
  <c r="J33" i="2" s="1"/>
  <c r="C34" i="2"/>
  <c r="C35" i="2"/>
  <c r="C36" i="2"/>
  <c r="C37" i="2"/>
  <c r="C38" i="2"/>
  <c r="C39" i="2"/>
  <c r="C40" i="2"/>
  <c r="C41" i="2"/>
  <c r="J41" i="2" s="1"/>
  <c r="C42" i="2"/>
  <c r="C43" i="2"/>
  <c r="C44" i="2"/>
  <c r="J44" i="2" s="1"/>
  <c r="C45" i="2"/>
  <c r="C46" i="2"/>
  <c r="J46" i="2" s="1"/>
  <c r="C47" i="2"/>
  <c r="J47" i="2" s="1"/>
  <c r="C48" i="2"/>
  <c r="J48" i="2" s="1"/>
  <c r="C49" i="2"/>
  <c r="C50" i="2"/>
  <c r="C51" i="2"/>
  <c r="C52" i="2"/>
  <c r="C53" i="2"/>
  <c r="J53" i="2" s="1"/>
  <c r="C54" i="2"/>
  <c r="J54" i="2" s="1"/>
  <c r="C55" i="2"/>
  <c r="J55" i="2" s="1"/>
  <c r="C56" i="2"/>
  <c r="J56" i="2" s="1"/>
  <c r="C57" i="2"/>
  <c r="L57" i="2" s="1"/>
  <c r="C58" i="2"/>
  <c r="C59" i="2"/>
  <c r="C60" i="2"/>
  <c r="C61" i="2"/>
  <c r="J61" i="2" s="1"/>
  <c r="C62" i="2"/>
  <c r="J62" i="2" s="1"/>
  <c r="C63" i="2"/>
  <c r="C64" i="2"/>
  <c r="C65" i="2"/>
  <c r="C66" i="2"/>
  <c r="C67" i="2"/>
  <c r="C68" i="2"/>
  <c r="C69" i="2"/>
  <c r="C70" i="2"/>
  <c r="C71" i="2"/>
  <c r="J71" i="2" s="1"/>
  <c r="C72" i="2"/>
  <c r="C73" i="2"/>
  <c r="C74" i="2"/>
  <c r="C75" i="2"/>
  <c r="J75" i="2" s="1"/>
  <c r="C76" i="2"/>
  <c r="C77" i="2"/>
  <c r="J77" i="2" s="1"/>
  <c r="C78" i="2"/>
  <c r="J78" i="2" s="1"/>
  <c r="C79" i="2"/>
  <c r="J79" i="2" s="1"/>
  <c r="C80" i="2"/>
  <c r="J80" i="2" s="1"/>
  <c r="C81" i="2"/>
  <c r="J81" i="2" s="1"/>
  <c r="C82" i="2"/>
  <c r="C83" i="2"/>
  <c r="C84" i="2"/>
  <c r="C85" i="2"/>
  <c r="C86" i="2"/>
  <c r="C87" i="2"/>
  <c r="C88" i="2"/>
  <c r="C89" i="2"/>
  <c r="J89" i="2" s="1"/>
  <c r="C90" i="2"/>
  <c r="C91" i="2"/>
  <c r="C92" i="2"/>
  <c r="C93" i="2"/>
  <c r="C94" i="2"/>
  <c r="J94" i="2" s="1"/>
  <c r="C95" i="2"/>
  <c r="J95" i="2" s="1"/>
  <c r="C96" i="2"/>
  <c r="J96" i="2" s="1"/>
  <c r="C97" i="2"/>
  <c r="C98" i="2"/>
  <c r="C99" i="2"/>
  <c r="C100" i="2"/>
  <c r="C101" i="2"/>
  <c r="J101" i="2" s="1"/>
  <c r="C102" i="2"/>
  <c r="J102" i="2" s="1"/>
  <c r="C103" i="2"/>
  <c r="J103" i="2" s="1"/>
  <c r="C104" i="2"/>
  <c r="J104" i="2" s="1"/>
  <c r="C105" i="2"/>
  <c r="J105" i="2" s="1"/>
  <c r="C106" i="2"/>
  <c r="C107" i="2"/>
  <c r="C108" i="2"/>
  <c r="C109" i="2"/>
  <c r="J109" i="2" s="1"/>
  <c r="C110" i="2"/>
  <c r="J110" i="2" s="1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J123" i="2" s="1"/>
  <c r="C124" i="2"/>
  <c r="C125" i="2"/>
  <c r="J125" i="2" s="1"/>
  <c r="C126" i="2"/>
  <c r="J126" i="2" s="1"/>
  <c r="C127" i="2"/>
  <c r="J127" i="2" s="1"/>
  <c r="C128" i="2"/>
  <c r="J128" i="2" s="1"/>
  <c r="C129" i="2"/>
  <c r="J129" i="2" s="1"/>
  <c r="C130" i="2"/>
  <c r="C131" i="2"/>
  <c r="C132" i="2"/>
  <c r="C133" i="2"/>
  <c r="C134" i="2"/>
  <c r="C135" i="2"/>
  <c r="C136" i="2"/>
  <c r="C137" i="2"/>
  <c r="J137" i="2" s="1"/>
  <c r="C138" i="2"/>
  <c r="C139" i="2"/>
  <c r="J139" i="2" s="1"/>
  <c r="C140" i="2"/>
  <c r="C141" i="2"/>
  <c r="C142" i="2"/>
  <c r="C143" i="2"/>
  <c r="C144" i="2"/>
  <c r="J144" i="2" s="1"/>
  <c r="C145" i="2"/>
  <c r="C146" i="2"/>
  <c r="C147" i="2"/>
  <c r="C148" i="2"/>
  <c r="C149" i="2"/>
  <c r="J149" i="2" s="1"/>
  <c r="C150" i="2"/>
  <c r="J150" i="2" s="1"/>
  <c r="C151" i="2"/>
  <c r="J151" i="2" s="1"/>
  <c r="C152" i="2"/>
  <c r="J152" i="2" s="1"/>
  <c r="C153" i="2"/>
  <c r="J153" i="2" s="1"/>
  <c r="C154" i="2"/>
  <c r="C155" i="2"/>
  <c r="C156" i="2"/>
  <c r="C157" i="2"/>
  <c r="J157" i="2" s="1"/>
  <c r="C158" i="2"/>
  <c r="J158" i="2" s="1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J171" i="2" s="1"/>
  <c r="C172" i="2"/>
  <c r="C173" i="2"/>
  <c r="J173" i="2" s="1"/>
  <c r="C174" i="2"/>
  <c r="J174" i="2" s="1"/>
  <c r="C175" i="2"/>
  <c r="J175" i="2" s="1"/>
  <c r="C176" i="2"/>
  <c r="J176" i="2" s="1"/>
  <c r="C177" i="2"/>
  <c r="J177" i="2" s="1"/>
  <c r="C178" i="2"/>
  <c r="C179" i="2"/>
  <c r="C180" i="2"/>
  <c r="C181" i="2"/>
  <c r="C182" i="2"/>
  <c r="C183" i="2"/>
  <c r="C184" i="2"/>
  <c r="C185" i="2"/>
  <c r="J185" i="2" s="1"/>
  <c r="C186" i="2"/>
  <c r="C187" i="2"/>
  <c r="J187" i="2" s="1"/>
  <c r="C188" i="2"/>
  <c r="C189" i="2"/>
  <c r="C190" i="2"/>
  <c r="C191" i="2"/>
  <c r="C192" i="2"/>
  <c r="J192" i="2" s="1"/>
  <c r="C193" i="2"/>
  <c r="C194" i="2"/>
  <c r="C195" i="2"/>
  <c r="C196" i="2"/>
  <c r="C197" i="2"/>
  <c r="J197" i="2" s="1"/>
  <c r="C198" i="2"/>
  <c r="J198" i="2" s="1"/>
  <c r="C199" i="2"/>
  <c r="J199" i="2" s="1"/>
  <c r="C200" i="2"/>
  <c r="J200" i="2" s="1"/>
  <c r="C201" i="2"/>
  <c r="J201" i="2" s="1"/>
  <c r="C202" i="2"/>
  <c r="C203" i="2"/>
  <c r="C204" i="2"/>
  <c r="C205" i="2"/>
  <c r="J205" i="2" s="1"/>
  <c r="C206" i="2"/>
  <c r="J206" i="2" s="1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J221" i="2" s="1"/>
  <c r="C222" i="2"/>
  <c r="J222" i="2" s="1"/>
  <c r="C223" i="2"/>
  <c r="J223" i="2" s="1"/>
  <c r="C224" i="2"/>
  <c r="C225" i="2"/>
  <c r="J225" i="2" s="1"/>
  <c r="C226" i="2"/>
  <c r="C227" i="2"/>
  <c r="C228" i="2"/>
  <c r="C229" i="2"/>
  <c r="C230" i="2"/>
  <c r="C231" i="2"/>
  <c r="C232" i="2"/>
  <c r="C233" i="2"/>
  <c r="J233" i="2" s="1"/>
  <c r="C234" i="2"/>
  <c r="C235" i="2"/>
  <c r="J235" i="2" s="1"/>
  <c r="C236" i="2"/>
  <c r="C237" i="2"/>
  <c r="C238" i="2"/>
  <c r="C239" i="2"/>
  <c r="C240" i="2"/>
  <c r="C241" i="2"/>
  <c r="C242" i="2"/>
  <c r="C243" i="2"/>
  <c r="C244" i="2"/>
  <c r="C245" i="2"/>
  <c r="J245" i="2" s="1"/>
  <c r="C246" i="2"/>
  <c r="J246" i="2" s="1"/>
  <c r="C247" i="2"/>
  <c r="J247" i="2" s="1"/>
  <c r="C248" i="2"/>
  <c r="C249" i="2"/>
  <c r="J249" i="2" s="1"/>
  <c r="C250" i="2"/>
  <c r="C251" i="2"/>
  <c r="C252" i="2"/>
  <c r="C253" i="2"/>
  <c r="C254" i="2"/>
  <c r="C255" i="2"/>
  <c r="C256" i="2"/>
  <c r="C257" i="2"/>
  <c r="C258" i="2"/>
  <c r="C259" i="2"/>
  <c r="C260" i="2"/>
  <c r="C261" i="2"/>
  <c r="C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" i="2"/>
  <c r="N242" i="2" l="1"/>
  <c r="J191" i="2"/>
  <c r="J240" i="2"/>
  <c r="J239" i="2"/>
  <c r="J143" i="2"/>
  <c r="J190" i="2"/>
  <c r="J140" i="2"/>
  <c r="J183" i="2"/>
  <c r="J87" i="2"/>
  <c r="J39" i="2"/>
  <c r="N257" i="2"/>
  <c r="N233" i="2"/>
  <c r="N209" i="2"/>
  <c r="N185" i="2"/>
  <c r="N161" i="2"/>
  <c r="H137" i="2"/>
  <c r="O137" i="2" s="1"/>
  <c r="N113" i="2"/>
  <c r="N89" i="2"/>
  <c r="N65" i="2"/>
  <c r="N41" i="2"/>
  <c r="N17" i="2"/>
  <c r="J142" i="2"/>
  <c r="N260" i="2"/>
  <c r="N234" i="2"/>
  <c r="N186" i="2"/>
  <c r="N90" i="2"/>
  <c r="J135" i="2"/>
  <c r="J238" i="2"/>
  <c r="J188" i="2"/>
  <c r="J92" i="2"/>
  <c r="J43" i="2"/>
  <c r="N210" i="2"/>
  <c r="N162" i="2"/>
  <c r="H138" i="2"/>
  <c r="O138" i="2" s="1"/>
  <c r="N114" i="2"/>
  <c r="J229" i="2"/>
  <c r="J181" i="2"/>
  <c r="J133" i="2"/>
  <c r="J85" i="2"/>
  <c r="J37" i="2"/>
  <c r="N255" i="2"/>
  <c r="N231" i="2"/>
  <c r="H207" i="2"/>
  <c r="O207" i="2" s="1"/>
  <c r="N183" i="2"/>
  <c r="N159" i="2"/>
  <c r="N135" i="2"/>
  <c r="N111" i="2"/>
  <c r="N63" i="2"/>
  <c r="N39" i="2"/>
  <c r="N15" i="2"/>
  <c r="N228" i="2"/>
  <c r="J167" i="2"/>
  <c r="N225" i="2"/>
  <c r="J214" i="2"/>
  <c r="J118" i="2"/>
  <c r="J116" i="2"/>
  <c r="J20" i="2"/>
  <c r="J211" i="2"/>
  <c r="J115" i="2"/>
  <c r="H247" i="2"/>
  <c r="O247" i="2" s="1"/>
  <c r="N175" i="2"/>
  <c r="N103" i="2"/>
  <c r="N31" i="2"/>
  <c r="N222" i="2"/>
  <c r="N174" i="2"/>
  <c r="N126" i="2"/>
  <c r="H78" i="2"/>
  <c r="O78" i="2" s="1"/>
  <c r="J256" i="2"/>
  <c r="J208" i="2"/>
  <c r="J160" i="2"/>
  <c r="J112" i="2"/>
  <c r="J64" i="2"/>
  <c r="J16" i="2"/>
  <c r="J215" i="2"/>
  <c r="J119" i="2"/>
  <c r="N249" i="2"/>
  <c r="J166" i="2"/>
  <c r="J70" i="2"/>
  <c r="J164" i="2"/>
  <c r="J68" i="2"/>
  <c r="J259" i="2"/>
  <c r="J163" i="2"/>
  <c r="J67" i="2"/>
  <c r="J19" i="2"/>
  <c r="N223" i="2"/>
  <c r="N199" i="2"/>
  <c r="N151" i="2"/>
  <c r="H127" i="2"/>
  <c r="O127" i="2" s="1"/>
  <c r="N55" i="2"/>
  <c r="H7" i="2"/>
  <c r="O7" i="2" s="1"/>
  <c r="J161" i="2"/>
  <c r="N246" i="2"/>
  <c r="N198" i="2"/>
  <c r="N150" i="2"/>
  <c r="H102" i="2"/>
  <c r="O102" i="2" s="1"/>
  <c r="J207" i="2"/>
  <c r="J159" i="2"/>
  <c r="J111" i="2"/>
  <c r="J63" i="2"/>
  <c r="J15" i="2"/>
  <c r="N253" i="2"/>
  <c r="N229" i="2"/>
  <c r="N205" i="2"/>
  <c r="N181" i="2"/>
  <c r="N157" i="2"/>
  <c r="N133" i="2"/>
  <c r="N109" i="2"/>
  <c r="N85" i="2"/>
  <c r="N61" i="2"/>
  <c r="N13" i="2"/>
  <c r="N252" i="2"/>
  <c r="N84" i="2"/>
  <c r="J76" i="2"/>
  <c r="N227" i="2"/>
  <c r="N131" i="2"/>
  <c r="N83" i="2"/>
  <c r="J218" i="2"/>
  <c r="J74" i="2"/>
  <c r="J169" i="2"/>
  <c r="J25" i="2"/>
  <c r="N204" i="2"/>
  <c r="N36" i="2"/>
  <c r="J172" i="2"/>
  <c r="N11" i="2"/>
  <c r="J170" i="2"/>
  <c r="J26" i="2"/>
  <c r="J217" i="2"/>
  <c r="J121" i="2"/>
  <c r="J73" i="2"/>
  <c r="J216" i="2"/>
  <c r="J168" i="2"/>
  <c r="J120" i="2"/>
  <c r="J72" i="2"/>
  <c r="J24" i="2"/>
  <c r="N35" i="2"/>
  <c r="J213" i="2"/>
  <c r="J165" i="2"/>
  <c r="J117" i="2"/>
  <c r="J69" i="2"/>
  <c r="J21" i="2"/>
  <c r="N248" i="2"/>
  <c r="N224" i="2"/>
  <c r="N108" i="2"/>
  <c r="J28" i="2"/>
  <c r="N251" i="2"/>
  <c r="N179" i="2"/>
  <c r="N107" i="2"/>
  <c r="J122" i="2"/>
  <c r="N156" i="2"/>
  <c r="N12" i="2"/>
  <c r="J220" i="2"/>
  <c r="N59" i="2"/>
  <c r="J258" i="2"/>
  <c r="J210" i="2"/>
  <c r="J162" i="2"/>
  <c r="J114" i="2"/>
  <c r="J66" i="2"/>
  <c r="J18" i="2"/>
  <c r="N132" i="2"/>
  <c r="J124" i="2"/>
  <c r="N155" i="2"/>
  <c r="N180" i="2"/>
  <c r="N60" i="2"/>
  <c r="N203" i="2"/>
  <c r="J257" i="2"/>
  <c r="J209" i="2"/>
  <c r="J113" i="2"/>
  <c r="J65" i="2"/>
  <c r="N245" i="2"/>
  <c r="N221" i="2"/>
  <c r="N197" i="2"/>
  <c r="N173" i="2"/>
  <c r="N149" i="2"/>
  <c r="N125" i="2"/>
  <c r="N101" i="2"/>
  <c r="N53" i="2"/>
  <c r="N29" i="2"/>
  <c r="N5" i="2"/>
  <c r="J252" i="2"/>
  <c r="J204" i="2"/>
  <c r="J156" i="2"/>
  <c r="J108" i="2"/>
  <c r="J60" i="2"/>
  <c r="J12" i="2"/>
  <c r="J251" i="2"/>
  <c r="J203" i="2"/>
  <c r="J155" i="2"/>
  <c r="J107" i="2"/>
  <c r="J59" i="2"/>
  <c r="J11" i="2"/>
  <c r="N243" i="2"/>
  <c r="N219" i="2"/>
  <c r="N195" i="2"/>
  <c r="N171" i="2"/>
  <c r="H147" i="2"/>
  <c r="O147" i="2" s="1"/>
  <c r="N123" i="2"/>
  <c r="N99" i="2"/>
  <c r="N75" i="2"/>
  <c r="N51" i="2"/>
  <c r="N27" i="2"/>
  <c r="N3" i="2"/>
  <c r="J250" i="2"/>
  <c r="J202" i="2"/>
  <c r="J154" i="2"/>
  <c r="J106" i="2"/>
  <c r="J10" i="2"/>
  <c r="N196" i="2"/>
  <c r="N241" i="2"/>
  <c r="N169" i="2"/>
  <c r="N145" i="2"/>
  <c r="N73" i="2"/>
  <c r="N49" i="2"/>
  <c r="N25" i="2"/>
  <c r="N96" i="2"/>
  <c r="J244" i="2"/>
  <c r="J196" i="2"/>
  <c r="J148" i="2"/>
  <c r="J100" i="2"/>
  <c r="J52" i="2"/>
  <c r="J4" i="2"/>
  <c r="N193" i="2"/>
  <c r="N97" i="2"/>
  <c r="N240" i="2"/>
  <c r="N216" i="2"/>
  <c r="N192" i="2"/>
  <c r="N168" i="2"/>
  <c r="N144" i="2"/>
  <c r="N120" i="2"/>
  <c r="N72" i="2"/>
  <c r="N48" i="2"/>
  <c r="N24" i="2"/>
  <c r="J195" i="2"/>
  <c r="J147" i="2"/>
  <c r="J99" i="2"/>
  <c r="J51" i="2"/>
  <c r="J3" i="2"/>
  <c r="N217" i="2"/>
  <c r="N121" i="2"/>
  <c r="J194" i="2"/>
  <c r="J146" i="2"/>
  <c r="J98" i="2"/>
  <c r="J50" i="2"/>
  <c r="J241" i="2"/>
  <c r="J193" i="2"/>
  <c r="J145" i="2"/>
  <c r="J97" i="2"/>
  <c r="J49" i="2"/>
  <c r="N172" i="2"/>
  <c r="N261" i="2"/>
  <c r="N213" i="2"/>
  <c r="N189" i="2"/>
  <c r="N141" i="2"/>
  <c r="N69" i="2"/>
  <c r="N45" i="2"/>
  <c r="H237" i="2"/>
  <c r="O237" i="2" s="1"/>
  <c r="N165" i="2"/>
  <c r="N93" i="2"/>
  <c r="N21" i="2"/>
  <c r="J237" i="2"/>
  <c r="J189" i="2"/>
  <c r="J141" i="2"/>
  <c r="J93" i="2"/>
  <c r="J45" i="2"/>
  <c r="N236" i="2"/>
  <c r="N259" i="2"/>
  <c r="N235" i="2"/>
  <c r="N211" i="2"/>
  <c r="N187" i="2"/>
  <c r="N163" i="2"/>
  <c r="N139" i="2"/>
  <c r="N115" i="2"/>
  <c r="N91" i="2"/>
  <c r="H67" i="2"/>
  <c r="O67" i="2" s="1"/>
  <c r="N43" i="2"/>
  <c r="N19" i="2"/>
  <c r="J234" i="2"/>
  <c r="J186" i="2"/>
  <c r="J138" i="2"/>
  <c r="J90" i="2"/>
  <c r="J42" i="2"/>
  <c r="J232" i="2"/>
  <c r="J184" i="2"/>
  <c r="J136" i="2"/>
  <c r="J88" i="2"/>
  <c r="J40" i="2"/>
  <c r="J86" i="2"/>
  <c r="N184" i="2"/>
  <c r="J182" i="2"/>
  <c r="N160" i="2"/>
  <c r="J228" i="2"/>
  <c r="J180" i="2"/>
  <c r="J132" i="2"/>
  <c r="J84" i="2"/>
  <c r="J36" i="2"/>
  <c r="J134" i="2"/>
  <c r="J227" i="2"/>
  <c r="J179" i="2"/>
  <c r="J131" i="2"/>
  <c r="J83" i="2"/>
  <c r="J35" i="2"/>
  <c r="J226" i="2"/>
  <c r="J178" i="2"/>
  <c r="J130" i="2"/>
  <c r="J82" i="2"/>
  <c r="J34" i="2"/>
  <c r="J260" i="2"/>
  <c r="J248" i="2"/>
  <c r="J236" i="2"/>
  <c r="J224" i="2"/>
  <c r="K59" i="4"/>
  <c r="K62" i="4"/>
  <c r="D107" i="4"/>
  <c r="L107" i="4" s="1"/>
  <c r="K107" i="4"/>
  <c r="J122" i="4"/>
  <c r="J110" i="4"/>
  <c r="J98" i="4"/>
  <c r="J86" i="4"/>
  <c r="J74" i="4"/>
  <c r="M91" i="2"/>
  <c r="J91" i="2"/>
  <c r="J119" i="4"/>
  <c r="J95" i="4"/>
  <c r="J83" i="4"/>
  <c r="J255" i="2"/>
  <c r="J243" i="2"/>
  <c r="J231" i="2"/>
  <c r="J219" i="2"/>
  <c r="J71" i="4"/>
  <c r="J254" i="2"/>
  <c r="J242" i="2"/>
  <c r="J230" i="2"/>
  <c r="M38" i="2"/>
  <c r="J128" i="4"/>
  <c r="J116" i="4"/>
  <c r="J104" i="4"/>
  <c r="J92" i="4"/>
  <c r="J80" i="4"/>
  <c r="J68" i="4"/>
  <c r="S51" i="4"/>
  <c r="J253" i="2"/>
  <c r="J77" i="4"/>
  <c r="J65" i="4"/>
  <c r="J261" i="2"/>
  <c r="N11" i="4"/>
  <c r="N14" i="4"/>
  <c r="H56" i="4"/>
  <c r="H169" i="4"/>
  <c r="P172" i="4"/>
  <c r="I184" i="4"/>
  <c r="H205" i="4"/>
  <c r="O208" i="4"/>
  <c r="P189" i="4"/>
  <c r="H218" i="2"/>
  <c r="O218" i="2" s="1"/>
  <c r="N212" i="2"/>
  <c r="N206" i="2"/>
  <c r="N200" i="2"/>
  <c r="N194" i="2"/>
  <c r="N188" i="2"/>
  <c r="N182" i="2"/>
  <c r="N176" i="2"/>
  <c r="N170" i="2"/>
  <c r="N164" i="2"/>
  <c r="N158" i="2"/>
  <c r="N152" i="2"/>
  <c r="N146" i="2"/>
  <c r="N140" i="2"/>
  <c r="N134" i="2"/>
  <c r="N128" i="2"/>
  <c r="N116" i="2"/>
  <c r="N110" i="2"/>
  <c r="N104" i="2"/>
  <c r="N98" i="2"/>
  <c r="N92" i="2"/>
  <c r="N86" i="2"/>
  <c r="N80" i="2"/>
  <c r="N74" i="2"/>
  <c r="N68" i="2"/>
  <c r="H62" i="2"/>
  <c r="N56" i="2"/>
  <c r="N50" i="2"/>
  <c r="N44" i="2"/>
  <c r="N38" i="2"/>
  <c r="N32" i="2"/>
  <c r="N26" i="2"/>
  <c r="N20" i="2"/>
  <c r="N14" i="2"/>
  <c r="N8" i="2"/>
  <c r="D74" i="4"/>
  <c r="L74" i="4" s="1"/>
  <c r="P165" i="4"/>
  <c r="K197" i="4"/>
  <c r="O12" i="4"/>
  <c r="H36" i="4"/>
  <c r="O39" i="4"/>
  <c r="N98" i="4"/>
  <c r="I233" i="4"/>
  <c r="P153" i="4"/>
  <c r="K232" i="4"/>
  <c r="K40" i="4"/>
  <c r="N60" i="4"/>
  <c r="M173" i="4"/>
  <c r="D176" i="4"/>
  <c r="L176" i="4" s="1"/>
  <c r="P141" i="4"/>
  <c r="K135" i="4"/>
  <c r="N42" i="4"/>
  <c r="N57" i="4"/>
  <c r="D108" i="4"/>
  <c r="L108" i="4" s="1"/>
  <c r="N176" i="4"/>
  <c r="O194" i="4"/>
  <c r="N197" i="4"/>
  <c r="N200" i="4"/>
  <c r="N203" i="4"/>
  <c r="N212" i="4"/>
  <c r="P129" i="4"/>
  <c r="N254" i="4"/>
  <c r="P261" i="4"/>
  <c r="P117" i="4"/>
  <c r="K157" i="4"/>
  <c r="H4" i="4"/>
  <c r="O13" i="4"/>
  <c r="I16" i="4"/>
  <c r="O19" i="4"/>
  <c r="O22" i="4"/>
  <c r="H37" i="4"/>
  <c r="M55" i="4"/>
  <c r="J2" i="4"/>
  <c r="P249" i="4"/>
  <c r="P105" i="4"/>
  <c r="K168" i="4"/>
  <c r="K132" i="4"/>
  <c r="K108" i="4"/>
  <c r="K60" i="4"/>
  <c r="K24" i="4"/>
  <c r="K12" i="4"/>
  <c r="T51" i="4" s="1"/>
  <c r="P52" i="4"/>
  <c r="H207" i="4"/>
  <c r="P237" i="4"/>
  <c r="K167" i="4"/>
  <c r="K131" i="4"/>
  <c r="D97" i="4"/>
  <c r="L97" i="4" s="1"/>
  <c r="N147" i="4"/>
  <c r="P225" i="4"/>
  <c r="P81" i="4"/>
  <c r="K142" i="4"/>
  <c r="K34" i="4"/>
  <c r="P76" i="4"/>
  <c r="P88" i="4"/>
  <c r="P112" i="4"/>
  <c r="P213" i="4"/>
  <c r="P69" i="4"/>
  <c r="H17" i="4"/>
  <c r="O20" i="4"/>
  <c r="O29" i="4"/>
  <c r="N67" i="4"/>
  <c r="N88" i="4"/>
  <c r="N91" i="4"/>
  <c r="H97" i="4"/>
  <c r="N112" i="4"/>
  <c r="N118" i="4"/>
  <c r="P136" i="4"/>
  <c r="P201" i="4"/>
  <c r="K236" i="4"/>
  <c r="K164" i="4"/>
  <c r="K20" i="4"/>
  <c r="M13" i="4"/>
  <c r="M45" i="4"/>
  <c r="O104" i="4"/>
  <c r="I107" i="4"/>
  <c r="Q113" i="4"/>
  <c r="M116" i="4"/>
  <c r="M119" i="4"/>
  <c r="H157" i="4"/>
  <c r="Q160" i="4"/>
  <c r="H231" i="4"/>
  <c r="N245" i="4"/>
  <c r="I251" i="4"/>
  <c r="I254" i="4"/>
  <c r="I245" i="4"/>
  <c r="Q245" i="4" s="1"/>
  <c r="I76" i="4"/>
  <c r="Q76" i="4" s="1"/>
  <c r="P2" i="4"/>
  <c r="P250" i="4"/>
  <c r="P238" i="4"/>
  <c r="P226" i="4"/>
  <c r="P214" i="4"/>
  <c r="P202" i="4"/>
  <c r="P190" i="4"/>
  <c r="P178" i="4"/>
  <c r="P166" i="4"/>
  <c r="P154" i="4"/>
  <c r="P142" i="4"/>
  <c r="P118" i="4"/>
  <c r="P106" i="4"/>
  <c r="P82" i="4"/>
  <c r="P70" i="4"/>
  <c r="P46" i="4"/>
  <c r="P34" i="4"/>
  <c r="P22" i="4"/>
  <c r="P10" i="4"/>
  <c r="O60" i="4"/>
  <c r="D78" i="4"/>
  <c r="L78" i="4" s="1"/>
  <c r="M90" i="4"/>
  <c r="I131" i="4"/>
  <c r="H134" i="4"/>
  <c r="O137" i="4"/>
  <c r="O140" i="4"/>
  <c r="D143" i="4"/>
  <c r="L143" i="4" s="1"/>
  <c r="H181" i="4"/>
  <c r="I149" i="4"/>
  <c r="I53" i="4"/>
  <c r="P260" i="4"/>
  <c r="P224" i="4"/>
  <c r="P176" i="4"/>
  <c r="P164" i="4"/>
  <c r="P152" i="4"/>
  <c r="P140" i="4"/>
  <c r="P128" i="4"/>
  <c r="P116" i="4"/>
  <c r="P104" i="4"/>
  <c r="P92" i="4"/>
  <c r="P80" i="4"/>
  <c r="P68" i="4"/>
  <c r="P56" i="4"/>
  <c r="P44" i="4"/>
  <c r="P32" i="4"/>
  <c r="P20" i="4"/>
  <c r="P8" i="4"/>
  <c r="N19" i="4"/>
  <c r="O37" i="4"/>
  <c r="Q196" i="4"/>
  <c r="I221" i="4"/>
  <c r="Q221" i="4" s="1"/>
  <c r="I148" i="4"/>
  <c r="Q148" i="4" s="1"/>
  <c r="I52" i="4"/>
  <c r="P259" i="4"/>
  <c r="P247" i="4"/>
  <c r="P235" i="4"/>
  <c r="P211" i="4"/>
  <c r="P199" i="4"/>
  <c r="P187" i="4"/>
  <c r="P175" i="4"/>
  <c r="P163" i="4"/>
  <c r="P151" i="4"/>
  <c r="P139" i="4"/>
  <c r="P127" i="4"/>
  <c r="P115" i="4"/>
  <c r="P103" i="4"/>
  <c r="P79" i="4"/>
  <c r="P67" i="4"/>
  <c r="P55" i="4"/>
  <c r="P43" i="4"/>
  <c r="P31" i="4"/>
  <c r="P19" i="4"/>
  <c r="N66" i="4"/>
  <c r="I155" i="4"/>
  <c r="M223" i="4"/>
  <c r="Q232" i="4"/>
  <c r="I220" i="4"/>
  <c r="Q220" i="4" s="1"/>
  <c r="I137" i="4"/>
  <c r="I41" i="4"/>
  <c r="P138" i="4"/>
  <c r="D11" i="4"/>
  <c r="L11" i="4" s="1"/>
  <c r="M14" i="4"/>
  <c r="D17" i="4"/>
  <c r="L17" i="4" s="1"/>
  <c r="N32" i="4"/>
  <c r="O40" i="4"/>
  <c r="O161" i="4"/>
  <c r="I167" i="4"/>
  <c r="Q167" i="4" s="1"/>
  <c r="I209" i="4"/>
  <c r="I136" i="4"/>
  <c r="I40" i="4"/>
  <c r="Q40" i="4" s="1"/>
  <c r="P257" i="4"/>
  <c r="P173" i="4"/>
  <c r="P161" i="4"/>
  <c r="P137" i="4"/>
  <c r="P125" i="4"/>
  <c r="P113" i="4"/>
  <c r="P101" i="4"/>
  <c r="P89" i="4"/>
  <c r="P77" i="4"/>
  <c r="P65" i="4"/>
  <c r="P29" i="4"/>
  <c r="P17" i="4"/>
  <c r="P5" i="4"/>
  <c r="I23" i="4"/>
  <c r="I35" i="4"/>
  <c r="Q35" i="4" s="1"/>
  <c r="O64" i="4"/>
  <c r="D79" i="4"/>
  <c r="L79" i="4" s="1"/>
  <c r="I179" i="4"/>
  <c r="I208" i="4"/>
  <c r="I125" i="4"/>
  <c r="I29" i="4"/>
  <c r="P232" i="4"/>
  <c r="P208" i="4"/>
  <c r="P196" i="4"/>
  <c r="P184" i="4"/>
  <c r="P160" i="4"/>
  <c r="P148" i="4"/>
  <c r="P124" i="4"/>
  <c r="P100" i="4"/>
  <c r="P64" i="4"/>
  <c r="P40" i="4"/>
  <c r="P28" i="4"/>
  <c r="P16" i="4"/>
  <c r="P4" i="4"/>
  <c r="D88" i="4"/>
  <c r="L88" i="4" s="1"/>
  <c r="N129" i="4"/>
  <c r="I191" i="4"/>
  <c r="Q191" i="4" s="1"/>
  <c r="O212" i="4"/>
  <c r="M215" i="4"/>
  <c r="O232" i="4"/>
  <c r="I244" i="4"/>
  <c r="M247" i="4"/>
  <c r="I197" i="4"/>
  <c r="Q197" i="4" s="1"/>
  <c r="I124" i="4"/>
  <c r="I28" i="4"/>
  <c r="Q28" i="4" s="1"/>
  <c r="P231" i="4"/>
  <c r="P219" i="4"/>
  <c r="P207" i="4"/>
  <c r="P171" i="4"/>
  <c r="P147" i="4"/>
  <c r="P111" i="4"/>
  <c r="P99" i="4"/>
  <c r="P75" i="4"/>
  <c r="P39" i="4"/>
  <c r="P57" i="4"/>
  <c r="Q41" i="4"/>
  <c r="I47" i="4"/>
  <c r="Q47" i="4" s="1"/>
  <c r="Q53" i="4"/>
  <c r="O109" i="4"/>
  <c r="O156" i="4"/>
  <c r="I196" i="4"/>
  <c r="I113" i="4"/>
  <c r="I17" i="4"/>
  <c r="P254" i="4"/>
  <c r="P242" i="4"/>
  <c r="P230" i="4"/>
  <c r="P218" i="4"/>
  <c r="P194" i="4"/>
  <c r="P182" i="4"/>
  <c r="P170" i="4"/>
  <c r="P158" i="4"/>
  <c r="P146" i="4"/>
  <c r="P134" i="4"/>
  <c r="P122" i="4"/>
  <c r="P110" i="4"/>
  <c r="P98" i="4"/>
  <c r="P86" i="4"/>
  <c r="P74" i="4"/>
  <c r="P50" i="4"/>
  <c r="P38" i="4"/>
  <c r="P26" i="4"/>
  <c r="P14" i="4"/>
  <c r="D9" i="4"/>
  <c r="L9" i="4" s="1"/>
  <c r="M15" i="4"/>
  <c r="O44" i="4"/>
  <c r="I185" i="4"/>
  <c r="Q185" i="4" s="1"/>
  <c r="P253" i="4"/>
  <c r="P241" i="4"/>
  <c r="P229" i="4"/>
  <c r="P217" i="4"/>
  <c r="P205" i="4"/>
  <c r="P193" i="4"/>
  <c r="P181" i="4"/>
  <c r="P169" i="4"/>
  <c r="P157" i="4"/>
  <c r="P145" i="4"/>
  <c r="P133" i="4"/>
  <c r="P121" i="4"/>
  <c r="P109" i="4"/>
  <c r="P97" i="4"/>
  <c r="P85" i="4"/>
  <c r="P73" i="4"/>
  <c r="P61" i="4"/>
  <c r="P49" i="4"/>
  <c r="P37" i="4"/>
  <c r="P25" i="4"/>
  <c r="P13" i="4"/>
  <c r="Q16" i="4"/>
  <c r="H3" i="4"/>
  <c r="N6" i="4"/>
  <c r="N9" i="4"/>
  <c r="D33" i="4"/>
  <c r="L33" i="4" s="1"/>
  <c r="O59" i="4"/>
  <c r="O62" i="4"/>
  <c r="Q136" i="4"/>
  <c r="N171" i="4"/>
  <c r="M174" i="4"/>
  <c r="D186" i="4"/>
  <c r="L186" i="4" s="1"/>
  <c r="Q233" i="4"/>
  <c r="I239" i="4"/>
  <c r="I257" i="4"/>
  <c r="Q257" i="4" s="1"/>
  <c r="I5" i="4"/>
  <c r="Q5" i="4" s="1"/>
  <c r="P240" i="4"/>
  <c r="P228" i="4"/>
  <c r="P216" i="4"/>
  <c r="P204" i="4"/>
  <c r="P180" i="4"/>
  <c r="P168" i="4"/>
  <c r="P156" i="4"/>
  <c r="P144" i="4"/>
  <c r="P132" i="4"/>
  <c r="P120" i="4"/>
  <c r="P108" i="4"/>
  <c r="P96" i="4"/>
  <c r="P84" i="4"/>
  <c r="P60" i="4"/>
  <c r="P48" i="4"/>
  <c r="P36" i="4"/>
  <c r="P24" i="4"/>
  <c r="P12" i="4"/>
  <c r="N33" i="4"/>
  <c r="N36" i="4"/>
  <c r="N48" i="4"/>
  <c r="I71" i="4"/>
  <c r="Q71" i="4" s="1"/>
  <c r="Q89" i="4"/>
  <c r="I95" i="4"/>
  <c r="N130" i="4"/>
  <c r="N133" i="4"/>
  <c r="N160" i="4"/>
  <c r="N174" i="4"/>
  <c r="N186" i="4"/>
  <c r="D245" i="4"/>
  <c r="L245" i="4" s="1"/>
  <c r="I256" i="4"/>
  <c r="Q256" i="4" s="1"/>
  <c r="I173" i="4"/>
  <c r="I88" i="4"/>
  <c r="I4" i="4"/>
  <c r="Q4" i="4" s="1"/>
  <c r="P251" i="4"/>
  <c r="P239" i="4"/>
  <c r="P215" i="4"/>
  <c r="P191" i="4"/>
  <c r="P179" i="4"/>
  <c r="P167" i="4"/>
  <c r="P155" i="4"/>
  <c r="P131" i="4"/>
  <c r="P119" i="4"/>
  <c r="P107" i="4"/>
  <c r="P95" i="4"/>
  <c r="P83" i="4"/>
  <c r="P71" i="4"/>
  <c r="P59" i="4"/>
  <c r="P47" i="4"/>
  <c r="P35" i="4"/>
  <c r="P23" i="4"/>
  <c r="P11" i="4"/>
  <c r="Q210" i="4"/>
  <c r="N34" i="4"/>
  <c r="M48" i="4"/>
  <c r="N51" i="4"/>
  <c r="N54" i="4"/>
  <c r="M59" i="4"/>
  <c r="O91" i="4"/>
  <c r="H94" i="4"/>
  <c r="D103" i="4"/>
  <c r="L103" i="4" s="1"/>
  <c r="H120" i="4"/>
  <c r="H143" i="4"/>
  <c r="H183" i="4"/>
  <c r="O200" i="4"/>
  <c r="M203" i="4"/>
  <c r="O206" i="4"/>
  <c r="O209" i="4"/>
  <c r="M246" i="4"/>
  <c r="D258" i="4"/>
  <c r="L258" i="4" s="1"/>
  <c r="I258" i="4"/>
  <c r="Q258" i="4" s="1"/>
  <c r="I246" i="4"/>
  <c r="Q246" i="4" s="1"/>
  <c r="I234" i="4"/>
  <c r="Q234" i="4" s="1"/>
  <c r="I222" i="4"/>
  <c r="Q222" i="4" s="1"/>
  <c r="I210" i="4"/>
  <c r="I198" i="4"/>
  <c r="Q198" i="4" s="1"/>
  <c r="I186" i="4"/>
  <c r="Q186" i="4" s="1"/>
  <c r="I174" i="4"/>
  <c r="Q174" i="4" s="1"/>
  <c r="I162" i="4"/>
  <c r="Q162" i="4" s="1"/>
  <c r="I150" i="4"/>
  <c r="Q150" i="4" s="1"/>
  <c r="I126" i="4"/>
  <c r="Q126" i="4" s="1"/>
  <c r="I114" i="4"/>
  <c r="Q114" i="4" s="1"/>
  <c r="I102" i="4"/>
  <c r="Q102" i="4" s="1"/>
  <c r="I90" i="4"/>
  <c r="Q90" i="4" s="1"/>
  <c r="I78" i="4"/>
  <c r="Q78" i="4" s="1"/>
  <c r="I66" i="4"/>
  <c r="Q66" i="4" s="1"/>
  <c r="I54" i="4"/>
  <c r="Q54" i="4" s="1"/>
  <c r="I42" i="4"/>
  <c r="Q42" i="4" s="1"/>
  <c r="I30" i="4"/>
  <c r="Q30" i="4" s="1"/>
  <c r="I18" i="4"/>
  <c r="Q18" i="4" s="1"/>
  <c r="I6" i="4"/>
  <c r="Q6" i="4" s="1"/>
  <c r="Q254" i="4"/>
  <c r="Q242" i="4"/>
  <c r="Q230" i="4"/>
  <c r="Q218" i="4"/>
  <c r="Q194" i="4"/>
  <c r="Q182" i="4"/>
  <c r="Q170" i="4"/>
  <c r="Q158" i="4"/>
  <c r="Q146" i="4"/>
  <c r="Q110" i="4"/>
  <c r="Q98" i="4"/>
  <c r="Q86" i="4"/>
  <c r="Q50" i="4"/>
  <c r="Q38" i="4"/>
  <c r="Q26" i="4"/>
  <c r="H103" i="4"/>
  <c r="D221" i="4"/>
  <c r="L221" i="4" s="1"/>
  <c r="I112" i="4"/>
  <c r="Q112" i="4" s="1"/>
  <c r="N23" i="4"/>
  <c r="N46" i="4"/>
  <c r="M52" i="4"/>
  <c r="O80" i="4"/>
  <c r="N83" i="4"/>
  <c r="M121" i="4"/>
  <c r="M129" i="4"/>
  <c r="M138" i="4"/>
  <c r="H146" i="4"/>
  <c r="N155" i="4"/>
  <c r="N172" i="4"/>
  <c r="N221" i="4"/>
  <c r="D227" i="4"/>
  <c r="L227" i="4" s="1"/>
  <c r="N244" i="4"/>
  <c r="O261" i="4"/>
  <c r="I255" i="4"/>
  <c r="Q255" i="4" s="1"/>
  <c r="I243" i="4"/>
  <c r="Q243" i="4" s="1"/>
  <c r="I231" i="4"/>
  <c r="Q231" i="4" s="1"/>
  <c r="I207" i="4"/>
  <c r="Q207" i="4" s="1"/>
  <c r="I195" i="4"/>
  <c r="Q195" i="4" s="1"/>
  <c r="I183" i="4"/>
  <c r="I159" i="4"/>
  <c r="Q159" i="4" s="1"/>
  <c r="I135" i="4"/>
  <c r="Q135" i="4" s="1"/>
  <c r="I123" i="4"/>
  <c r="Q123" i="4" s="1"/>
  <c r="I111" i="4"/>
  <c r="I87" i="4"/>
  <c r="Q87" i="4" s="1"/>
  <c r="I63" i="4"/>
  <c r="Q63" i="4" s="1"/>
  <c r="I51" i="4"/>
  <c r="Q51" i="4" s="1"/>
  <c r="I39" i="4"/>
  <c r="Q39" i="4" s="1"/>
  <c r="I27" i="4"/>
  <c r="Q27" i="4" s="1"/>
  <c r="I15" i="4"/>
  <c r="Q15" i="4" s="1"/>
  <c r="I3" i="4"/>
  <c r="Q3" i="4" s="1"/>
  <c r="Q251" i="4"/>
  <c r="Q239" i="4"/>
  <c r="Q179" i="4"/>
  <c r="Q155" i="4"/>
  <c r="Q131" i="4"/>
  <c r="Q107" i="4"/>
  <c r="Q95" i="4"/>
  <c r="Q23" i="4"/>
  <c r="I172" i="4"/>
  <c r="Q172" i="4" s="1"/>
  <c r="N35" i="4"/>
  <c r="N49" i="4"/>
  <c r="N52" i="4"/>
  <c r="N63" i="4"/>
  <c r="M89" i="4"/>
  <c r="O118" i="4"/>
  <c r="N135" i="4"/>
  <c r="D184" i="4"/>
  <c r="L184" i="4" s="1"/>
  <c r="M221" i="4"/>
  <c r="I206" i="4"/>
  <c r="Q206" i="4" s="1"/>
  <c r="I182" i="4"/>
  <c r="I134" i="4"/>
  <c r="Q134" i="4" s="1"/>
  <c r="I122" i="4"/>
  <c r="Q122" i="4" s="1"/>
  <c r="I74" i="4"/>
  <c r="Q74" i="4" s="1"/>
  <c r="I62" i="4"/>
  <c r="Q62" i="4" s="1"/>
  <c r="I14" i="4"/>
  <c r="Q14" i="4" s="1"/>
  <c r="Q2" i="4"/>
  <c r="Q250" i="4"/>
  <c r="Q238" i="4"/>
  <c r="Q226" i="4"/>
  <c r="Q214" i="4"/>
  <c r="Q202" i="4"/>
  <c r="Q190" i="4"/>
  <c r="Q178" i="4"/>
  <c r="Q166" i="4"/>
  <c r="Q154" i="4"/>
  <c r="Q142" i="4"/>
  <c r="Q70" i="4"/>
  <c r="Q46" i="4"/>
  <c r="Q34" i="4"/>
  <c r="Q10" i="4"/>
  <c r="I65" i="4"/>
  <c r="Q65" i="4" s="1"/>
  <c r="M149" i="4"/>
  <c r="O58" i="4"/>
  <c r="O72" i="4"/>
  <c r="H75" i="4"/>
  <c r="D84" i="4"/>
  <c r="L84" i="4" s="1"/>
  <c r="M101" i="4"/>
  <c r="H121" i="4"/>
  <c r="N161" i="4"/>
  <c r="O170" i="4"/>
  <c r="D173" i="4"/>
  <c r="L173" i="4" s="1"/>
  <c r="N184" i="4"/>
  <c r="O195" i="4"/>
  <c r="N207" i="4"/>
  <c r="H219" i="4"/>
  <c r="H236" i="4"/>
  <c r="O242" i="4"/>
  <c r="I241" i="4"/>
  <c r="Q241" i="4" s="1"/>
  <c r="I205" i="4"/>
  <c r="Q205" i="4" s="1"/>
  <c r="I181" i="4"/>
  <c r="Q181" i="4" s="1"/>
  <c r="I169" i="4"/>
  <c r="Q169" i="4" s="1"/>
  <c r="I157" i="4"/>
  <c r="Q157" i="4" s="1"/>
  <c r="I109" i="4"/>
  <c r="Q109" i="4" s="1"/>
  <c r="I49" i="4"/>
  <c r="Q49" i="4" s="1"/>
  <c r="I37" i="4"/>
  <c r="Q37" i="4" s="1"/>
  <c r="I13" i="4"/>
  <c r="Q13" i="4" s="1"/>
  <c r="Q249" i="4"/>
  <c r="Q237" i="4"/>
  <c r="Q225" i="4"/>
  <c r="Q213" i="4"/>
  <c r="Q201" i="4"/>
  <c r="Q189" i="4"/>
  <c r="Q177" i="4"/>
  <c r="Q165" i="4"/>
  <c r="Q153" i="4"/>
  <c r="Q141" i="4"/>
  <c r="Q129" i="4"/>
  <c r="Q117" i="4"/>
  <c r="Q105" i="4"/>
  <c r="Q81" i="4"/>
  <c r="Q69" i="4"/>
  <c r="Q21" i="4"/>
  <c r="M9" i="4"/>
  <c r="N72" i="4"/>
  <c r="N110" i="4"/>
  <c r="O130" i="4"/>
  <c r="H147" i="4"/>
  <c r="N164" i="4"/>
  <c r="H193" i="4"/>
  <c r="I252" i="4"/>
  <c r="Q252" i="4" s="1"/>
  <c r="I192" i="4"/>
  <c r="Q192" i="4" s="1"/>
  <c r="I156" i="4"/>
  <c r="Q156" i="4" s="1"/>
  <c r="I132" i="4"/>
  <c r="I72" i="4"/>
  <c r="Q72" i="4" s="1"/>
  <c r="I60" i="4"/>
  <c r="Q60" i="4" s="1"/>
  <c r="I36" i="4"/>
  <c r="Q36" i="4" s="1"/>
  <c r="I12" i="4"/>
  <c r="Q12" i="4" s="1"/>
  <c r="Q260" i="4"/>
  <c r="Q224" i="4"/>
  <c r="Q164" i="4"/>
  <c r="Q128" i="4"/>
  <c r="Q104" i="4"/>
  <c r="Q92" i="4"/>
  <c r="Q68" i="4"/>
  <c r="Q44" i="4"/>
  <c r="Q32" i="4"/>
  <c r="Q8" i="4"/>
  <c r="D90" i="4"/>
  <c r="L90" i="4" s="1"/>
  <c r="I227" i="4"/>
  <c r="Q227" i="4" s="1"/>
  <c r="I215" i="4"/>
  <c r="Q215" i="4" s="1"/>
  <c r="I203" i="4"/>
  <c r="Q203" i="4" s="1"/>
  <c r="I143" i="4"/>
  <c r="Q143" i="4" s="1"/>
  <c r="I119" i="4"/>
  <c r="Q119" i="4" s="1"/>
  <c r="I83" i="4"/>
  <c r="Q83" i="4" s="1"/>
  <c r="I59" i="4"/>
  <c r="Q59" i="4" s="1"/>
  <c r="I11" i="4"/>
  <c r="Q11" i="4" s="1"/>
  <c r="Q259" i="4"/>
  <c r="Q247" i="4"/>
  <c r="Q211" i="4"/>
  <c r="Q199" i="4"/>
  <c r="Q187" i="4"/>
  <c r="Q175" i="4"/>
  <c r="Q163" i="4"/>
  <c r="Q151" i="4"/>
  <c r="Q139" i="4"/>
  <c r="Q103" i="4"/>
  <c r="Q79" i="4"/>
  <c r="Q67" i="4"/>
  <c r="Q55" i="4"/>
  <c r="Q31" i="4"/>
  <c r="D155" i="4"/>
  <c r="L155" i="4" s="1"/>
  <c r="M7" i="4"/>
  <c r="N76" i="4"/>
  <c r="D93" i="4"/>
  <c r="L93" i="4" s="1"/>
  <c r="N119" i="4"/>
  <c r="N139" i="4"/>
  <c r="H182" i="4"/>
  <c r="I130" i="4"/>
  <c r="Q130" i="4" s="1"/>
  <c r="I118" i="4"/>
  <c r="Q118" i="4" s="1"/>
  <c r="I106" i="4"/>
  <c r="Q106" i="4" s="1"/>
  <c r="I94" i="4"/>
  <c r="Q94" i="4" s="1"/>
  <c r="I82" i="4"/>
  <c r="Q82" i="4" s="1"/>
  <c r="I58" i="4"/>
  <c r="Q58" i="4" s="1"/>
  <c r="I22" i="4"/>
  <c r="Q22" i="4" s="1"/>
  <c r="Q138" i="4"/>
  <c r="D32" i="4"/>
  <c r="L32" i="4" s="1"/>
  <c r="N4" i="4"/>
  <c r="D42" i="4"/>
  <c r="L42" i="4" s="1"/>
  <c r="D45" i="4"/>
  <c r="L45" i="4" s="1"/>
  <c r="M64" i="4"/>
  <c r="N93" i="4"/>
  <c r="N96" i="4"/>
  <c r="M99" i="4"/>
  <c r="N145" i="4"/>
  <c r="H171" i="4"/>
  <c r="N185" i="4"/>
  <c r="N196" i="4"/>
  <c r="N202" i="4"/>
  <c r="N220" i="4"/>
  <c r="I261" i="4"/>
  <c r="Q261" i="4" s="1"/>
  <c r="I93" i="4"/>
  <c r="Q93" i="4" s="1"/>
  <c r="I57" i="4"/>
  <c r="Q57" i="4" s="1"/>
  <c r="I45" i="4"/>
  <c r="Q45" i="4" s="1"/>
  <c r="I33" i="4"/>
  <c r="Q33" i="4" s="1"/>
  <c r="I9" i="4"/>
  <c r="Q9" i="4" s="1"/>
  <c r="Q209" i="4"/>
  <c r="Q173" i="4"/>
  <c r="Q161" i="4"/>
  <c r="Q149" i="4"/>
  <c r="Q137" i="4"/>
  <c r="Q125" i="4"/>
  <c r="Q101" i="4"/>
  <c r="Q29" i="4"/>
  <c r="Q17" i="4"/>
  <c r="N16" i="4"/>
  <c r="M185" i="4"/>
  <c r="O188" i="4"/>
  <c r="O220" i="4"/>
  <c r="N234" i="4"/>
  <c r="N243" i="4"/>
  <c r="H248" i="4"/>
  <c r="I248" i="4"/>
  <c r="Q248" i="4" s="1"/>
  <c r="I236" i="4"/>
  <c r="Q236" i="4" s="1"/>
  <c r="I212" i="4"/>
  <c r="Q212" i="4" s="1"/>
  <c r="I200" i="4"/>
  <c r="Q200" i="4" s="1"/>
  <c r="I188" i="4"/>
  <c r="Q188" i="4" s="1"/>
  <c r="I176" i="4"/>
  <c r="Q176" i="4" s="1"/>
  <c r="I152" i="4"/>
  <c r="Q152" i="4" s="1"/>
  <c r="I140" i="4"/>
  <c r="Q140" i="4" s="1"/>
  <c r="I116" i="4"/>
  <c r="Q116" i="4" s="1"/>
  <c r="I104" i="4"/>
  <c r="I80" i="4"/>
  <c r="Q80" i="4" s="1"/>
  <c r="I56" i="4"/>
  <c r="Q56" i="4" s="1"/>
  <c r="I20" i="4"/>
  <c r="Q20" i="4" s="1"/>
  <c r="Q244" i="4"/>
  <c r="Q208" i="4"/>
  <c r="Q184" i="4"/>
  <c r="Q124" i="4"/>
  <c r="Q88" i="4"/>
  <c r="Q64" i="4"/>
  <c r="Q52" i="4"/>
  <c r="I77" i="4"/>
  <c r="Q77" i="4" s="1"/>
  <c r="H241" i="4"/>
  <c r="I100" i="4"/>
  <c r="Q100" i="4" s="1"/>
  <c r="Q132" i="4"/>
  <c r="N22" i="4"/>
  <c r="N25" i="4"/>
  <c r="N31" i="4"/>
  <c r="D54" i="4"/>
  <c r="L54" i="4" s="1"/>
  <c r="I235" i="4"/>
  <c r="Q235" i="4" s="1"/>
  <c r="I223" i="4"/>
  <c r="Q223" i="4" s="1"/>
  <c r="I127" i="4"/>
  <c r="Q127" i="4" s="1"/>
  <c r="I115" i="4"/>
  <c r="Q115" i="4" s="1"/>
  <c r="I91" i="4"/>
  <c r="Q91" i="4" s="1"/>
  <c r="I43" i="4"/>
  <c r="Q43" i="4" s="1"/>
  <c r="I19" i="4"/>
  <c r="Q19" i="4" s="1"/>
  <c r="I7" i="4"/>
  <c r="Q7" i="4" s="1"/>
  <c r="Q219" i="4"/>
  <c r="Q183" i="4"/>
  <c r="Q171" i="4"/>
  <c r="Q147" i="4"/>
  <c r="Q111" i="4"/>
  <c r="Q99" i="4"/>
  <c r="Q75" i="4"/>
  <c r="D7" i="4"/>
  <c r="L7" i="4" s="1"/>
  <c r="M23" i="4"/>
  <c r="H28" i="4"/>
  <c r="H31" i="4"/>
  <c r="D36" i="4"/>
  <c r="L36" i="4" s="1"/>
  <c r="N38" i="4"/>
  <c r="D46" i="4"/>
  <c r="L46" i="4" s="1"/>
  <c r="N86" i="4"/>
  <c r="N89" i="4"/>
  <c r="O105" i="4"/>
  <c r="O108" i="4"/>
  <c r="D111" i="4"/>
  <c r="L111" i="4" s="1"/>
  <c r="N113" i="4"/>
  <c r="O121" i="4"/>
  <c r="D127" i="4"/>
  <c r="L127" i="4" s="1"/>
  <c r="O129" i="4"/>
  <c r="N142" i="4"/>
  <c r="N150" i="4"/>
  <c r="H159" i="4"/>
  <c r="D161" i="4"/>
  <c r="L161" i="4" s="1"/>
  <c r="O185" i="4"/>
  <c r="N187" i="4"/>
  <c r="N195" i="4"/>
  <c r="O197" i="4"/>
  <c r="D200" i="4"/>
  <c r="L200" i="4" s="1"/>
  <c r="N208" i="4"/>
  <c r="D251" i="4"/>
  <c r="L251" i="4" s="1"/>
  <c r="D254" i="4"/>
  <c r="L254" i="4" s="1"/>
  <c r="H260" i="4"/>
  <c r="D233" i="4"/>
  <c r="L233" i="4" s="1"/>
  <c r="H18" i="4"/>
  <c r="O21" i="4"/>
  <c r="N26" i="4"/>
  <c r="H34" i="4"/>
  <c r="D39" i="4"/>
  <c r="L39" i="4" s="1"/>
  <c r="N41" i="4"/>
  <c r="D44" i="4"/>
  <c r="L44" i="4" s="1"/>
  <c r="N55" i="4"/>
  <c r="M73" i="4"/>
  <c r="H76" i="4"/>
  <c r="H79" i="4"/>
  <c r="O84" i="4"/>
  <c r="O103" i="4"/>
  <c r="D109" i="4"/>
  <c r="L109" i="4" s="1"/>
  <c r="D117" i="4"/>
  <c r="L117" i="4" s="1"/>
  <c r="H127" i="4"/>
  <c r="N137" i="4"/>
  <c r="N140" i="4"/>
  <c r="N148" i="4"/>
  <c r="M151" i="4"/>
  <c r="N175" i="4"/>
  <c r="N183" i="4"/>
  <c r="N206" i="4"/>
  <c r="H217" i="4"/>
  <c r="N222" i="4"/>
  <c r="N233" i="4"/>
  <c r="M26" i="4"/>
  <c r="M211" i="4"/>
  <c r="N18" i="4"/>
  <c r="N21" i="4"/>
  <c r="H26" i="4"/>
  <c r="N73" i="4"/>
  <c r="N87" i="4"/>
  <c r="N95" i="4"/>
  <c r="N106" i="4"/>
  <c r="N117" i="4"/>
  <c r="O127" i="4"/>
  <c r="N151" i="4"/>
  <c r="N154" i="4"/>
  <c r="N178" i="4"/>
  <c r="H206" i="4"/>
  <c r="N214" i="4"/>
  <c r="H242" i="4"/>
  <c r="D255" i="4"/>
  <c r="L255" i="4" s="1"/>
  <c r="M2" i="4"/>
  <c r="O24" i="4"/>
  <c r="M32" i="4"/>
  <c r="D37" i="4"/>
  <c r="L37" i="4" s="1"/>
  <c r="D50" i="4"/>
  <c r="L50" i="4" s="1"/>
  <c r="D63" i="4"/>
  <c r="L63" i="4" s="1"/>
  <c r="M68" i="4"/>
  <c r="D71" i="4"/>
  <c r="L71" i="4" s="1"/>
  <c r="N120" i="4"/>
  <c r="M132" i="4"/>
  <c r="M146" i="4"/>
  <c r="D160" i="4"/>
  <c r="L160" i="4" s="1"/>
  <c r="D162" i="4"/>
  <c r="L162" i="4" s="1"/>
  <c r="N173" i="4"/>
  <c r="O181" i="4"/>
  <c r="N188" i="4"/>
  <c r="D191" i="4"/>
  <c r="L191" i="4" s="1"/>
  <c r="D196" i="4"/>
  <c r="L196" i="4" s="1"/>
  <c r="N223" i="4"/>
  <c r="O231" i="4"/>
  <c r="N2" i="4"/>
  <c r="N50" i="4"/>
  <c r="H60" i="4"/>
  <c r="M63" i="4"/>
  <c r="N65" i="4"/>
  <c r="N68" i="4"/>
  <c r="D80" i="4"/>
  <c r="L80" i="4" s="1"/>
  <c r="N90" i="4"/>
  <c r="M96" i="4"/>
  <c r="D104" i="4"/>
  <c r="L104" i="4" s="1"/>
  <c r="O120" i="4"/>
  <c r="N122" i="4"/>
  <c r="D130" i="4"/>
  <c r="L130" i="4" s="1"/>
  <c r="O132" i="4"/>
  <c r="O141" i="4"/>
  <c r="D149" i="4"/>
  <c r="L149" i="4" s="1"/>
  <c r="H188" i="4"/>
  <c r="M191" i="4"/>
  <c r="D222" i="4"/>
  <c r="L222" i="4" s="1"/>
  <c r="N82" i="4"/>
  <c r="M239" i="4"/>
  <c r="M11" i="4"/>
  <c r="M27" i="4"/>
  <c r="O30" i="4"/>
  <c r="D48" i="4"/>
  <c r="L48" i="4" s="1"/>
  <c r="O56" i="4"/>
  <c r="H85" i="4"/>
  <c r="O107" i="4"/>
  <c r="O112" i="4"/>
  <c r="N115" i="4"/>
  <c r="O128" i="4"/>
  <c r="D133" i="4"/>
  <c r="L133" i="4" s="1"/>
  <c r="D182" i="4"/>
  <c r="L182" i="4" s="1"/>
  <c r="D210" i="4"/>
  <c r="L210" i="4" s="1"/>
  <c r="N215" i="4"/>
  <c r="H243" i="4"/>
  <c r="O245" i="4"/>
  <c r="D253" i="4"/>
  <c r="L253" i="4" s="1"/>
  <c r="O7" i="4"/>
  <c r="O70" i="4"/>
  <c r="H6" i="4"/>
  <c r="M25" i="4"/>
  <c r="H61" i="4"/>
  <c r="D72" i="4"/>
  <c r="L72" i="4" s="1"/>
  <c r="N136" i="4"/>
  <c r="D139" i="4"/>
  <c r="L139" i="4" s="1"/>
  <c r="N144" i="4"/>
  <c r="D205" i="4"/>
  <c r="L205" i="4" s="1"/>
  <c r="M224" i="4"/>
  <c r="N250" i="4"/>
  <c r="H15" i="4"/>
  <c r="D41" i="4"/>
  <c r="L41" i="4" s="1"/>
  <c r="M38" i="4"/>
  <c r="M43" i="4"/>
  <c r="O224" i="4"/>
  <c r="O230" i="4"/>
  <c r="D86" i="4"/>
  <c r="L86" i="4" s="1"/>
  <c r="D89" i="4"/>
  <c r="L89" i="4" s="1"/>
  <c r="D185" i="4"/>
  <c r="L185" i="4" s="1"/>
  <c r="N260" i="4"/>
  <c r="H73" i="4"/>
  <c r="N17" i="4"/>
  <c r="N24" i="4"/>
  <c r="N39" i="4"/>
  <c r="M41" i="4"/>
  <c r="O45" i="4"/>
  <c r="D56" i="4"/>
  <c r="L56" i="4" s="1"/>
  <c r="D64" i="4"/>
  <c r="L64" i="4" s="1"/>
  <c r="H74" i="4"/>
  <c r="D95" i="4"/>
  <c r="L95" i="4" s="1"/>
  <c r="M130" i="4"/>
  <c r="H140" i="4"/>
  <c r="O146" i="4"/>
  <c r="H152" i="4"/>
  <c r="N159" i="4"/>
  <c r="M162" i="4"/>
  <c r="D170" i="4"/>
  <c r="L170" i="4" s="1"/>
  <c r="M171" i="4"/>
  <c r="M179" i="4"/>
  <c r="O183" i="4"/>
  <c r="N191" i="4"/>
  <c r="M197" i="4"/>
  <c r="H218" i="4"/>
  <c r="O221" i="4"/>
  <c r="N230" i="4"/>
  <c r="D232" i="4"/>
  <c r="L232" i="4" s="1"/>
  <c r="H245" i="4"/>
  <c r="N247" i="4"/>
  <c r="H253" i="4"/>
  <c r="D256" i="4"/>
  <c r="L256" i="4" s="1"/>
  <c r="N259" i="4"/>
  <c r="N261" i="4"/>
  <c r="D236" i="4"/>
  <c r="L236" i="4" s="1"/>
  <c r="N13" i="4"/>
  <c r="H20" i="4"/>
  <c r="N28" i="4"/>
  <c r="D35" i="4"/>
  <c r="L35" i="4" s="1"/>
  <c r="O57" i="4"/>
  <c r="N59" i="4"/>
  <c r="D70" i="4"/>
  <c r="L70" i="4" s="1"/>
  <c r="D73" i="4"/>
  <c r="L73" i="4" s="1"/>
  <c r="D91" i="4"/>
  <c r="L91" i="4" s="1"/>
  <c r="O97" i="4"/>
  <c r="O135" i="4"/>
  <c r="N167" i="4"/>
  <c r="O171" i="4"/>
  <c r="N179" i="4"/>
  <c r="H185" i="4"/>
  <c r="N194" i="4"/>
  <c r="M212" i="4"/>
  <c r="O218" i="4"/>
  <c r="H230" i="4"/>
  <c r="O233" i="4"/>
  <c r="M245" i="4"/>
  <c r="M251" i="4"/>
  <c r="N256" i="4"/>
  <c r="D234" i="4"/>
  <c r="L234" i="4" s="1"/>
  <c r="H13" i="4"/>
  <c r="D18" i="4"/>
  <c r="L18" i="4" s="1"/>
  <c r="D31" i="4"/>
  <c r="L31" i="4" s="1"/>
  <c r="H33" i="4"/>
  <c r="H35" i="4"/>
  <c r="N43" i="4"/>
  <c r="N61" i="4"/>
  <c r="D99" i="4"/>
  <c r="L99" i="4" s="1"/>
  <c r="H106" i="4"/>
  <c r="H108" i="4"/>
  <c r="D115" i="4"/>
  <c r="L115" i="4" s="1"/>
  <c r="D137" i="4"/>
  <c r="L137" i="4" s="1"/>
  <c r="H145" i="4"/>
  <c r="D151" i="4"/>
  <c r="L151" i="4" s="1"/>
  <c r="O159" i="4"/>
  <c r="H170" i="4"/>
  <c r="H173" i="4"/>
  <c r="H194" i="4"/>
  <c r="D212" i="4"/>
  <c r="L212" i="4" s="1"/>
  <c r="M240" i="4"/>
  <c r="N242" i="4"/>
  <c r="D244" i="4"/>
  <c r="L244" i="4" s="1"/>
  <c r="N251" i="4"/>
  <c r="D158" i="4"/>
  <c r="L158" i="4" s="1"/>
  <c r="H161" i="4"/>
  <c r="M168" i="4"/>
  <c r="D172" i="4"/>
  <c r="L172" i="4" s="1"/>
  <c r="M180" i="4"/>
  <c r="D209" i="4"/>
  <c r="L209" i="4" s="1"/>
  <c r="D217" i="4"/>
  <c r="L217" i="4" s="1"/>
  <c r="D257" i="4"/>
  <c r="L257" i="4" s="1"/>
  <c r="H2" i="4"/>
  <c r="D5" i="4"/>
  <c r="L5" i="4" s="1"/>
  <c r="N8" i="4"/>
  <c r="O9" i="4"/>
  <c r="M21" i="4"/>
  <c r="D40" i="4"/>
  <c r="L40" i="4" s="1"/>
  <c r="O46" i="4"/>
  <c r="H50" i="4"/>
  <c r="M70" i="4"/>
  <c r="O93" i="4"/>
  <c r="D102" i="4"/>
  <c r="L102" i="4" s="1"/>
  <c r="H104" i="4"/>
  <c r="H115" i="4"/>
  <c r="H117" i="4"/>
  <c r="M120" i="4"/>
  <c r="M134" i="4"/>
  <c r="D136" i="4"/>
  <c r="L136" i="4" s="1"/>
  <c r="H137" i="4"/>
  <c r="M139" i="4"/>
  <c r="O149" i="4"/>
  <c r="N153" i="4"/>
  <c r="M161" i="4"/>
  <c r="O196" i="4"/>
  <c r="D198" i="4"/>
  <c r="L198" i="4" s="1"/>
  <c r="N210" i="4"/>
  <c r="H212" i="4"/>
  <c r="H254" i="4"/>
  <c r="D66" i="4"/>
  <c r="L66" i="4" s="1"/>
  <c r="H91" i="4"/>
  <c r="H122" i="4"/>
  <c r="D224" i="4"/>
  <c r="L224" i="4" s="1"/>
  <c r="H5" i="4"/>
  <c r="D8" i="4"/>
  <c r="L8" i="4" s="1"/>
  <c r="H16" i="4"/>
  <c r="D19" i="4"/>
  <c r="L19" i="4" s="1"/>
  <c r="D21" i="4"/>
  <c r="L21" i="4" s="1"/>
  <c r="D23" i="4"/>
  <c r="L23" i="4" s="1"/>
  <c r="N29" i="4"/>
  <c r="M42" i="4"/>
  <c r="D49" i="4"/>
  <c r="L49" i="4" s="1"/>
  <c r="D55" i="4"/>
  <c r="L55" i="4" s="1"/>
  <c r="M69" i="4"/>
  <c r="H72" i="4"/>
  <c r="M87" i="4"/>
  <c r="O96" i="4"/>
  <c r="M97" i="4"/>
  <c r="N102" i="4"/>
  <c r="H111" i="4"/>
  <c r="D113" i="4"/>
  <c r="L113" i="4" s="1"/>
  <c r="O115" i="4"/>
  <c r="M117" i="4"/>
  <c r="D128" i="4"/>
  <c r="L128" i="4" s="1"/>
  <c r="O134" i="4"/>
  <c r="O147" i="4"/>
  <c r="H158" i="4"/>
  <c r="O173" i="4"/>
  <c r="N198" i="4"/>
  <c r="H200" i="4"/>
  <c r="D203" i="4"/>
  <c r="L203" i="4" s="1"/>
  <c r="O207" i="4"/>
  <c r="N219" i="4"/>
  <c r="M222" i="4"/>
  <c r="N224" i="4"/>
  <c r="N226" i="4"/>
  <c r="D229" i="4"/>
  <c r="L229" i="4" s="1"/>
  <c r="M234" i="4"/>
  <c r="O236" i="4"/>
  <c r="N238" i="4"/>
  <c r="O244" i="4"/>
  <c r="D246" i="4"/>
  <c r="L246" i="4" s="1"/>
  <c r="M248" i="4"/>
  <c r="N257" i="4"/>
  <c r="D29" i="4"/>
  <c r="L29" i="4" s="1"/>
  <c r="D58" i="4"/>
  <c r="L58" i="4" s="1"/>
  <c r="M75" i="4"/>
  <c r="O133" i="4"/>
  <c r="H136" i="4"/>
  <c r="M137" i="4"/>
  <c r="O158" i="4"/>
  <c r="D171" i="4"/>
  <c r="L171" i="4" s="1"/>
  <c r="D183" i="4"/>
  <c r="L183" i="4" s="1"/>
  <c r="O184" i="4"/>
  <c r="D188" i="4"/>
  <c r="L188" i="4" s="1"/>
  <c r="N190" i="4"/>
  <c r="D193" i="4"/>
  <c r="L193" i="4" s="1"/>
  <c r="H195" i="4"/>
  <c r="M198" i="4"/>
  <c r="H209" i="4"/>
  <c r="N211" i="4"/>
  <c r="D215" i="4"/>
  <c r="L215" i="4" s="1"/>
  <c r="N217" i="4"/>
  <c r="H224" i="4"/>
  <c r="H229" i="4"/>
  <c r="N231" i="4"/>
  <c r="O241" i="4"/>
  <c r="D248" i="4"/>
  <c r="L248" i="4" s="1"/>
  <c r="O68" i="4"/>
  <c r="H25" i="4"/>
  <c r="H27" i="4"/>
  <c r="M53" i="4"/>
  <c r="H55" i="4"/>
  <c r="D65" i="4"/>
  <c r="L65" i="4" s="1"/>
  <c r="O69" i="4"/>
  <c r="M71" i="4"/>
  <c r="M72" i="4"/>
  <c r="N75" i="4"/>
  <c r="D85" i="4"/>
  <c r="L85" i="4" s="1"/>
  <c r="H96" i="4"/>
  <c r="D100" i="4"/>
  <c r="L100" i="4" s="1"/>
  <c r="O117" i="4"/>
  <c r="M131" i="4"/>
  <c r="O172" i="4"/>
  <c r="M209" i="4"/>
  <c r="M260" i="4"/>
  <c r="H70" i="4"/>
  <c r="N5" i="4"/>
  <c r="M3" i="4"/>
  <c r="D6" i="4"/>
  <c r="L6" i="4" s="1"/>
  <c r="O8" i="4"/>
  <c r="H14" i="4"/>
  <c r="D30" i="4"/>
  <c r="L30" i="4" s="1"/>
  <c r="D51" i="4"/>
  <c r="L51" i="4" s="1"/>
  <c r="N53" i="4"/>
  <c r="H57" i="4"/>
  <c r="M58" i="4"/>
  <c r="O63" i="4"/>
  <c r="M67" i="4"/>
  <c r="H69" i="4"/>
  <c r="D83" i="4"/>
  <c r="L83" i="4" s="1"/>
  <c r="O85" i="4"/>
  <c r="D92" i="4"/>
  <c r="L92" i="4" s="1"/>
  <c r="N94" i="4"/>
  <c r="D105" i="4"/>
  <c r="L105" i="4" s="1"/>
  <c r="O111" i="4"/>
  <c r="D114" i="4"/>
  <c r="L114" i="4" s="1"/>
  <c r="D116" i="4"/>
  <c r="L116" i="4" s="1"/>
  <c r="N121" i="4"/>
  <c r="D123" i="4"/>
  <c r="L123" i="4" s="1"/>
  <c r="O126" i="4"/>
  <c r="H133" i="4"/>
  <c r="H135" i="4"/>
  <c r="M136" i="4"/>
  <c r="M140" i="4"/>
  <c r="D144" i="4"/>
  <c r="L144" i="4" s="1"/>
  <c r="O164" i="4"/>
  <c r="O169" i="4"/>
  <c r="D174" i="4"/>
  <c r="L174" i="4" s="1"/>
  <c r="O176" i="4"/>
  <c r="D208" i="4"/>
  <c r="L208" i="4" s="1"/>
  <c r="N209" i="4"/>
  <c r="H221" i="4"/>
  <c r="N235" i="4"/>
  <c r="D239" i="4"/>
  <c r="L239" i="4" s="1"/>
  <c r="O248" i="4"/>
  <c r="H255" i="4"/>
  <c r="N10" i="4"/>
  <c r="O25" i="4"/>
  <c r="N47" i="4"/>
  <c r="O55" i="4"/>
  <c r="N58" i="4"/>
  <c r="M227" i="4"/>
  <c r="H233" i="4"/>
  <c r="O41" i="4"/>
  <c r="D77" i="4"/>
  <c r="L77" i="4" s="1"/>
  <c r="O99" i="4"/>
  <c r="D20" i="4"/>
  <c r="L20" i="4" s="1"/>
  <c r="N30" i="4"/>
  <c r="M49" i="4"/>
  <c r="H51" i="4"/>
  <c r="M62" i="4"/>
  <c r="M65" i="4"/>
  <c r="O67" i="4"/>
  <c r="O71" i="4"/>
  <c r="D76" i="4"/>
  <c r="L76" i="4" s="1"/>
  <c r="M85" i="4"/>
  <c r="O92" i="4"/>
  <c r="M105" i="4"/>
  <c r="H110" i="4"/>
  <c r="O116" i="4"/>
  <c r="D118" i="4"/>
  <c r="L118" i="4" s="1"/>
  <c r="M133" i="4"/>
  <c r="H148" i="4"/>
  <c r="N162" i="4"/>
  <c r="H164" i="4"/>
  <c r="H176" i="4"/>
  <c r="D179" i="4"/>
  <c r="L179" i="4" s="1"/>
  <c r="M183" i="4"/>
  <c r="M186" i="4"/>
  <c r="H197" i="4"/>
  <c r="N199" i="4"/>
  <c r="N218" i="4"/>
  <c r="D220" i="4"/>
  <c r="L220" i="4" s="1"/>
  <c r="N227" i="4"/>
  <c r="M233" i="4"/>
  <c r="N239" i="4"/>
  <c r="O243" i="4"/>
  <c r="N253" i="4"/>
  <c r="O2" i="4"/>
  <c r="N3" i="4"/>
  <c r="M4" i="4"/>
  <c r="H7" i="4"/>
  <c r="D10" i="4"/>
  <c r="L10" i="4" s="1"/>
  <c r="O14" i="4"/>
  <c r="N15" i="4"/>
  <c r="M16" i="4"/>
  <c r="H19" i="4"/>
  <c r="D22" i="4"/>
  <c r="L22" i="4" s="1"/>
  <c r="O26" i="4"/>
  <c r="N27" i="4"/>
  <c r="M28" i="4"/>
  <c r="M33" i="4"/>
  <c r="M34" i="4"/>
  <c r="M35" i="4"/>
  <c r="H39" i="4"/>
  <c r="O42" i="4"/>
  <c r="M44" i="4"/>
  <c r="D47" i="4"/>
  <c r="L47" i="4" s="1"/>
  <c r="O50" i="4"/>
  <c r="O52" i="4"/>
  <c r="O53" i="4"/>
  <c r="D67" i="4"/>
  <c r="L67" i="4" s="1"/>
  <c r="D68" i="4"/>
  <c r="L68" i="4" s="1"/>
  <c r="D69" i="4"/>
  <c r="L69" i="4" s="1"/>
  <c r="H71" i="4"/>
  <c r="O73" i="4"/>
  <c r="N74" i="4"/>
  <c r="M81" i="4"/>
  <c r="M82" i="4"/>
  <c r="M83" i="4"/>
  <c r="M86" i="4"/>
  <c r="O88" i="4"/>
  <c r="M91" i="4"/>
  <c r="H92" i="4"/>
  <c r="O94" i="4"/>
  <c r="O95" i="4"/>
  <c r="M109" i="4"/>
  <c r="D119" i="4"/>
  <c r="L119" i="4" s="1"/>
  <c r="O3" i="4"/>
  <c r="M5" i="4"/>
  <c r="O15" i="4"/>
  <c r="M17" i="4"/>
  <c r="O27" i="4"/>
  <c r="M29" i="4"/>
  <c r="M30" i="4"/>
  <c r="M31" i="4"/>
  <c r="M36" i="4"/>
  <c r="H46" i="4"/>
  <c r="N81" i="4"/>
  <c r="M84" i="4"/>
  <c r="O86" i="4"/>
  <c r="O87" i="4"/>
  <c r="M98" i="4"/>
  <c r="D98" i="4"/>
  <c r="L98" i="4" s="1"/>
  <c r="N101" i="4"/>
  <c r="H113" i="4"/>
  <c r="O113" i="4"/>
  <c r="O123" i="4"/>
  <c r="M123" i="4"/>
  <c r="O4" i="4"/>
  <c r="M6" i="4"/>
  <c r="H9" i="4"/>
  <c r="D12" i="4"/>
  <c r="L12" i="4" s="1"/>
  <c r="O16" i="4"/>
  <c r="M18" i="4"/>
  <c r="H21" i="4"/>
  <c r="D24" i="4"/>
  <c r="L24" i="4" s="1"/>
  <c r="O28" i="4"/>
  <c r="O31" i="4"/>
  <c r="O32" i="4"/>
  <c r="O33" i="4"/>
  <c r="O34" i="4"/>
  <c r="O35" i="4"/>
  <c r="M37" i="4"/>
  <c r="H41" i="4"/>
  <c r="H42" i="4"/>
  <c r="H43" i="4"/>
  <c r="H44" i="4"/>
  <c r="H45" i="4"/>
  <c r="O66" i="4"/>
  <c r="H66" i="4"/>
  <c r="M78" i="4"/>
  <c r="M79" i="4"/>
  <c r="N80" i="4"/>
  <c r="O81" i="4"/>
  <c r="O82" i="4"/>
  <c r="O83" i="4"/>
  <c r="N84" i="4"/>
  <c r="N85" i="4"/>
  <c r="O90" i="4"/>
  <c r="H90" i="4"/>
  <c r="N92" i="4"/>
  <c r="H99" i="4"/>
  <c r="M100" i="4"/>
  <c r="M104" i="4"/>
  <c r="H105" i="4"/>
  <c r="M107" i="4"/>
  <c r="M108" i="4"/>
  <c r="D112" i="4"/>
  <c r="L112" i="4" s="1"/>
  <c r="M114" i="4"/>
  <c r="N125" i="4"/>
  <c r="O5" i="4"/>
  <c r="H10" i="4"/>
  <c r="D13" i="4"/>
  <c r="L13" i="4" s="1"/>
  <c r="O17" i="4"/>
  <c r="M19" i="4"/>
  <c r="H22" i="4"/>
  <c r="D25" i="4"/>
  <c r="L25" i="4" s="1"/>
  <c r="O36" i="4"/>
  <c r="N37" i="4"/>
  <c r="M39" i="4"/>
  <c r="H47" i="4"/>
  <c r="D59" i="4"/>
  <c r="L59" i="4" s="1"/>
  <c r="D60" i="4"/>
  <c r="L60" i="4" s="1"/>
  <c r="D61" i="4"/>
  <c r="L61" i="4" s="1"/>
  <c r="D62" i="4"/>
  <c r="L62" i="4" s="1"/>
  <c r="H67" i="4"/>
  <c r="H68" i="4"/>
  <c r="M76" i="4"/>
  <c r="M77" i="4"/>
  <c r="N78" i="4"/>
  <c r="O79" i="4"/>
  <c r="H98" i="4"/>
  <c r="N100" i="4"/>
  <c r="N107" i="4"/>
  <c r="N108" i="4"/>
  <c r="H118" i="4"/>
  <c r="H123" i="4"/>
  <c r="D125" i="4"/>
  <c r="L125" i="4" s="1"/>
  <c r="D2" i="4"/>
  <c r="L2" i="4" s="1"/>
  <c r="O6" i="4"/>
  <c r="N7" i="4"/>
  <c r="M8" i="4"/>
  <c r="H11" i="4"/>
  <c r="D14" i="4"/>
  <c r="L14" i="4" s="1"/>
  <c r="O18" i="4"/>
  <c r="M20" i="4"/>
  <c r="H23" i="4"/>
  <c r="D26" i="4"/>
  <c r="L26" i="4" s="1"/>
  <c r="O38" i="4"/>
  <c r="M40" i="4"/>
  <c r="H48" i="4"/>
  <c r="D57" i="4"/>
  <c r="L57" i="4" s="1"/>
  <c r="H59" i="4"/>
  <c r="O61" i="4"/>
  <c r="N62" i="4"/>
  <c r="M74" i="4"/>
  <c r="N77" i="4"/>
  <c r="D96" i="4"/>
  <c r="L96" i="4" s="1"/>
  <c r="N97" i="4"/>
  <c r="N99" i="4"/>
  <c r="O100" i="4"/>
  <c r="M103" i="4"/>
  <c r="N105" i="4"/>
  <c r="O106" i="4"/>
  <c r="M113" i="4"/>
  <c r="M122" i="4"/>
  <c r="D122" i="4"/>
  <c r="L122" i="4" s="1"/>
  <c r="D3" i="4"/>
  <c r="L3" i="4" s="1"/>
  <c r="H12" i="4"/>
  <c r="D15" i="4"/>
  <c r="L15" i="4" s="1"/>
  <c r="H24" i="4"/>
  <c r="D27" i="4"/>
  <c r="L27" i="4" s="1"/>
  <c r="N44" i="4"/>
  <c r="N45" i="4"/>
  <c r="M46" i="4"/>
  <c r="H49" i="4"/>
  <c r="O51" i="4"/>
  <c r="D52" i="4"/>
  <c r="L52" i="4" s="1"/>
  <c r="D53" i="4"/>
  <c r="L53" i="4" s="1"/>
  <c r="M56" i="4"/>
  <c r="H62" i="4"/>
  <c r="H63" i="4"/>
  <c r="H64" i="4"/>
  <c r="H65" i="4"/>
  <c r="N69" i="4"/>
  <c r="N70" i="4"/>
  <c r="N71" i="4"/>
  <c r="O74" i="4"/>
  <c r="O75" i="4"/>
  <c r="O76" i="4"/>
  <c r="O77" i="4"/>
  <c r="H89" i="4"/>
  <c r="O89" i="4"/>
  <c r="N103" i="4"/>
  <c r="M110" i="4"/>
  <c r="D110" i="4"/>
  <c r="L110" i="4" s="1"/>
  <c r="H112" i="4"/>
  <c r="D4" i="4"/>
  <c r="L4" i="4" s="1"/>
  <c r="M10" i="4"/>
  <c r="D16" i="4"/>
  <c r="L16" i="4" s="1"/>
  <c r="M22" i="4"/>
  <c r="D28" i="4"/>
  <c r="L28" i="4" s="1"/>
  <c r="O43" i="4"/>
  <c r="M47" i="4"/>
  <c r="O54" i="4"/>
  <c r="H54" i="4"/>
  <c r="M66" i="4"/>
  <c r="D87" i="4"/>
  <c r="L87" i="4" s="1"/>
  <c r="D94" i="4"/>
  <c r="L94" i="4" s="1"/>
  <c r="H95" i="4"/>
  <c r="O98" i="4"/>
  <c r="O102" i="4"/>
  <c r="H102" i="4"/>
  <c r="N104" i="4"/>
  <c r="M112" i="4"/>
  <c r="O10" i="4"/>
  <c r="M12" i="4"/>
  <c r="O47" i="4"/>
  <c r="H52" i="4"/>
  <c r="H53" i="4"/>
  <c r="D81" i="4"/>
  <c r="L81" i="4" s="1"/>
  <c r="D101" i="4"/>
  <c r="L101" i="4" s="1"/>
  <c r="N109" i="4"/>
  <c r="H116" i="4"/>
  <c r="O11" i="4"/>
  <c r="O23" i="4"/>
  <c r="D38" i="4"/>
  <c r="L38" i="4" s="1"/>
  <c r="O48" i="4"/>
  <c r="M60" i="4"/>
  <c r="M61" i="4"/>
  <c r="M80" i="4"/>
  <c r="H86" i="4"/>
  <c r="H87" i="4"/>
  <c r="H88" i="4"/>
  <c r="H101" i="4"/>
  <c r="O101" i="4"/>
  <c r="H109" i="4"/>
  <c r="H124" i="4"/>
  <c r="O124" i="4"/>
  <c r="D126" i="4"/>
  <c r="L126" i="4" s="1"/>
  <c r="M126" i="4"/>
  <c r="H29" i="4"/>
  <c r="H30" i="4"/>
  <c r="H32" i="4"/>
  <c r="M50" i="4"/>
  <c r="M51" i="4"/>
  <c r="M54" i="4"/>
  <c r="N56" i="4"/>
  <c r="D75" i="4"/>
  <c r="L75" i="4" s="1"/>
  <c r="O78" i="4"/>
  <c r="H78" i="4"/>
  <c r="N79" i="4"/>
  <c r="H81" i="4"/>
  <c r="H82" i="4"/>
  <c r="H84" i="4"/>
  <c r="M88" i="4"/>
  <c r="M92" i="4"/>
  <c r="H93" i="4"/>
  <c r="M94" i="4"/>
  <c r="M95" i="4"/>
  <c r="M102" i="4"/>
  <c r="D106" i="4"/>
  <c r="L106" i="4" s="1"/>
  <c r="H107" i="4"/>
  <c r="O110" i="4"/>
  <c r="O114" i="4"/>
  <c r="H114" i="4"/>
  <c r="N116" i="4"/>
  <c r="N124" i="4"/>
  <c r="H38" i="4"/>
  <c r="M93" i="4"/>
  <c r="N114" i="4"/>
  <c r="M124" i="4"/>
  <c r="N126" i="4"/>
  <c r="H126" i="4"/>
  <c r="D129" i="4"/>
  <c r="L129" i="4" s="1"/>
  <c r="O142" i="4"/>
  <c r="M142" i="4"/>
  <c r="O143" i="4"/>
  <c r="N146" i="4"/>
  <c r="D157" i="4"/>
  <c r="L157" i="4" s="1"/>
  <c r="D180" i="4"/>
  <c r="L180" i="4" s="1"/>
  <c r="N180" i="4"/>
  <c r="M192" i="4"/>
  <c r="M228" i="4"/>
  <c r="N240" i="4"/>
  <c r="O249" i="4"/>
  <c r="N249" i="4"/>
  <c r="H249" i="4"/>
  <c r="O154" i="4"/>
  <c r="M154" i="4"/>
  <c r="D154" i="4"/>
  <c r="L154" i="4" s="1"/>
  <c r="O166" i="4"/>
  <c r="M166" i="4"/>
  <c r="H166" i="4"/>
  <c r="D166" i="4"/>
  <c r="L166" i="4" s="1"/>
  <c r="O190" i="4"/>
  <c r="M190" i="4"/>
  <c r="H190" i="4"/>
  <c r="D190" i="4"/>
  <c r="L190" i="4" s="1"/>
  <c r="O226" i="4"/>
  <c r="M226" i="4"/>
  <c r="H226" i="4"/>
  <c r="D226" i="4"/>
  <c r="L226" i="4" s="1"/>
  <c r="M125" i="4"/>
  <c r="H128" i="4"/>
  <c r="D131" i="4"/>
  <c r="L131" i="4" s="1"/>
  <c r="D134" i="4"/>
  <c r="L134" i="4" s="1"/>
  <c r="N138" i="4"/>
  <c r="H142" i="4"/>
  <c r="D145" i="4"/>
  <c r="L145" i="4" s="1"/>
  <c r="D150" i="4"/>
  <c r="L150" i="4" s="1"/>
  <c r="O150" i="4"/>
  <c r="H150" i="4"/>
  <c r="O178" i="4"/>
  <c r="M178" i="4"/>
  <c r="H178" i="4"/>
  <c r="D178" i="4"/>
  <c r="L178" i="4" s="1"/>
  <c r="O238" i="4"/>
  <c r="M238" i="4"/>
  <c r="H238" i="4"/>
  <c r="D238" i="4"/>
  <c r="L238" i="4" s="1"/>
  <c r="D120" i="4"/>
  <c r="L120" i="4" s="1"/>
  <c r="H129" i="4"/>
  <c r="D132" i="4"/>
  <c r="L132" i="4" s="1"/>
  <c r="M141" i="4"/>
  <c r="D141" i="4"/>
  <c r="L141" i="4" s="1"/>
  <c r="H154" i="4"/>
  <c r="N156" i="4"/>
  <c r="D121" i="4"/>
  <c r="L121" i="4" s="1"/>
  <c r="O125" i="4"/>
  <c r="H130" i="4"/>
  <c r="N134" i="4"/>
  <c r="N141" i="4"/>
  <c r="D156" i="4"/>
  <c r="L156" i="4" s="1"/>
  <c r="N157" i="4"/>
  <c r="M252" i="4"/>
  <c r="H119" i="4"/>
  <c r="N127" i="4"/>
  <c r="M128" i="4"/>
  <c r="H131" i="4"/>
  <c r="O136" i="4"/>
  <c r="D140" i="4"/>
  <c r="L140" i="4" s="1"/>
  <c r="H141" i="4"/>
  <c r="M150" i="4"/>
  <c r="M156" i="4"/>
  <c r="H156" i="4"/>
  <c r="O250" i="4"/>
  <c r="M250" i="4"/>
  <c r="H250" i="4"/>
  <c r="D250" i="4"/>
  <c r="L250" i="4" s="1"/>
  <c r="N252" i="4"/>
  <c r="M144" i="4"/>
  <c r="H144" i="4"/>
  <c r="D148" i="4"/>
  <c r="L148" i="4" s="1"/>
  <c r="M148" i="4"/>
  <c r="O201" i="4"/>
  <c r="N201" i="4"/>
  <c r="H201" i="4"/>
  <c r="O213" i="4"/>
  <c r="N213" i="4"/>
  <c r="H213" i="4"/>
  <c r="O139" i="4"/>
  <c r="H149" i="4"/>
  <c r="D152" i="4"/>
  <c r="L152" i="4" s="1"/>
  <c r="H153" i="4"/>
  <c r="M167" i="4"/>
  <c r="H167" i="4"/>
  <c r="O167" i="4"/>
  <c r="O165" i="4"/>
  <c r="N165" i="4"/>
  <c r="N204" i="4"/>
  <c r="O225" i="4"/>
  <c r="N225" i="4"/>
  <c r="H225" i="4"/>
  <c r="D138" i="4"/>
  <c r="L138" i="4" s="1"/>
  <c r="O138" i="4"/>
  <c r="H138" i="4"/>
  <c r="H139" i="4"/>
  <c r="N149" i="4"/>
  <c r="N152" i="4"/>
  <c r="O153" i="4"/>
  <c r="H155" i="4"/>
  <c r="O155" i="4"/>
  <c r="N158" i="4"/>
  <c r="H165" i="4"/>
  <c r="O189" i="4"/>
  <c r="N189" i="4"/>
  <c r="H189" i="4"/>
  <c r="M204" i="4"/>
  <c r="N216" i="4"/>
  <c r="O237" i="4"/>
  <c r="N237" i="4"/>
  <c r="H237" i="4"/>
  <c r="O119" i="4"/>
  <c r="O131" i="4"/>
  <c r="N143" i="4"/>
  <c r="O144" i="4"/>
  <c r="D146" i="4"/>
  <c r="L146" i="4" s="1"/>
  <c r="O177" i="4"/>
  <c r="N177" i="4"/>
  <c r="H177" i="4"/>
  <c r="O202" i="4"/>
  <c r="M202" i="4"/>
  <c r="H202" i="4"/>
  <c r="D202" i="4"/>
  <c r="L202" i="4" s="1"/>
  <c r="M216" i="4"/>
  <c r="M143" i="4"/>
  <c r="O148" i="4"/>
  <c r="O151" i="4"/>
  <c r="H151" i="4"/>
  <c r="M155" i="4"/>
  <c r="M158" i="4"/>
  <c r="N168" i="4"/>
  <c r="N192" i="4"/>
  <c r="O214" i="4"/>
  <c r="M214" i="4"/>
  <c r="H214" i="4"/>
  <c r="D214" i="4"/>
  <c r="L214" i="4" s="1"/>
  <c r="N228" i="4"/>
  <c r="H160" i="4"/>
  <c r="D163" i="4"/>
  <c r="L163" i="4" s="1"/>
  <c r="M169" i="4"/>
  <c r="H172" i="4"/>
  <c r="D175" i="4"/>
  <c r="L175" i="4" s="1"/>
  <c r="O179" i="4"/>
  <c r="M181" i="4"/>
  <c r="H184" i="4"/>
  <c r="D187" i="4"/>
  <c r="L187" i="4" s="1"/>
  <c r="O191" i="4"/>
  <c r="M193" i="4"/>
  <c r="H196" i="4"/>
  <c r="D199" i="4"/>
  <c r="L199" i="4" s="1"/>
  <c r="O203" i="4"/>
  <c r="M205" i="4"/>
  <c r="H208" i="4"/>
  <c r="D211" i="4"/>
  <c r="L211" i="4" s="1"/>
  <c r="O215" i="4"/>
  <c r="M217" i="4"/>
  <c r="H220" i="4"/>
  <c r="D223" i="4"/>
  <c r="L223" i="4" s="1"/>
  <c r="O227" i="4"/>
  <c r="M229" i="4"/>
  <c r="H232" i="4"/>
  <c r="D235" i="4"/>
  <c r="L235" i="4" s="1"/>
  <c r="O239" i="4"/>
  <c r="M241" i="4"/>
  <c r="H244" i="4"/>
  <c r="D247" i="4"/>
  <c r="L247" i="4" s="1"/>
  <c r="O251" i="4"/>
  <c r="M253" i="4"/>
  <c r="H256" i="4"/>
  <c r="D259" i="4"/>
  <c r="L259" i="4" s="1"/>
  <c r="O168" i="4"/>
  <c r="N169" i="4"/>
  <c r="M170" i="4"/>
  <c r="O180" i="4"/>
  <c r="N181" i="4"/>
  <c r="M182" i="4"/>
  <c r="O192" i="4"/>
  <c r="N193" i="4"/>
  <c r="M194" i="4"/>
  <c r="O204" i="4"/>
  <c r="N205" i="4"/>
  <c r="M206" i="4"/>
  <c r="O216" i="4"/>
  <c r="M218" i="4"/>
  <c r="O228" i="4"/>
  <c r="N229" i="4"/>
  <c r="M230" i="4"/>
  <c r="O240" i="4"/>
  <c r="N241" i="4"/>
  <c r="M242" i="4"/>
  <c r="O252" i="4"/>
  <c r="M254" i="4"/>
  <c r="H257" i="4"/>
  <c r="D260" i="4"/>
  <c r="L260" i="4" s="1"/>
  <c r="M135" i="4"/>
  <c r="O145" i="4"/>
  <c r="M147" i="4"/>
  <c r="D153" i="4"/>
  <c r="L153" i="4" s="1"/>
  <c r="O157" i="4"/>
  <c r="M159" i="4"/>
  <c r="H162" i="4"/>
  <c r="D165" i="4"/>
  <c r="L165" i="4" s="1"/>
  <c r="N170" i="4"/>
  <c r="H174" i="4"/>
  <c r="D177" i="4"/>
  <c r="L177" i="4" s="1"/>
  <c r="N182" i="4"/>
  <c r="H186" i="4"/>
  <c r="D189" i="4"/>
  <c r="L189" i="4" s="1"/>
  <c r="O193" i="4"/>
  <c r="M195" i="4"/>
  <c r="H198" i="4"/>
  <c r="D201" i="4"/>
  <c r="L201" i="4" s="1"/>
  <c r="O205" i="4"/>
  <c r="M207" i="4"/>
  <c r="H210" i="4"/>
  <c r="D213" i="4"/>
  <c r="L213" i="4" s="1"/>
  <c r="O217" i="4"/>
  <c r="M219" i="4"/>
  <c r="H222" i="4"/>
  <c r="D225" i="4"/>
  <c r="L225" i="4" s="1"/>
  <c r="O229" i="4"/>
  <c r="M231" i="4"/>
  <c r="H234" i="4"/>
  <c r="D237" i="4"/>
  <c r="L237" i="4" s="1"/>
  <c r="M243" i="4"/>
  <c r="H246" i="4"/>
  <c r="D249" i="4"/>
  <c r="L249" i="4" s="1"/>
  <c r="O253" i="4"/>
  <c r="M255" i="4"/>
  <c r="H258" i="4"/>
  <c r="D261" i="4"/>
  <c r="L261" i="4" s="1"/>
  <c r="M160" i="4"/>
  <c r="H163" i="4"/>
  <c r="M172" i="4"/>
  <c r="H175" i="4"/>
  <c r="M184" i="4"/>
  <c r="H187" i="4"/>
  <c r="M196" i="4"/>
  <c r="H199" i="4"/>
  <c r="M208" i="4"/>
  <c r="H211" i="4"/>
  <c r="M220" i="4"/>
  <c r="H223" i="4"/>
  <c r="M232" i="4"/>
  <c r="H235" i="4"/>
  <c r="M244" i="4"/>
  <c r="H247" i="4"/>
  <c r="O254" i="4"/>
  <c r="N255" i="4"/>
  <c r="M256" i="4"/>
  <c r="H259" i="4"/>
  <c r="O255" i="4"/>
  <c r="M257" i="4"/>
  <c r="D192" i="4"/>
  <c r="L192" i="4" s="1"/>
  <c r="D204" i="4"/>
  <c r="L204" i="4" s="1"/>
  <c r="D216" i="4"/>
  <c r="L216" i="4" s="1"/>
  <c r="D228" i="4"/>
  <c r="L228" i="4" s="1"/>
  <c r="D240" i="4"/>
  <c r="L240" i="4" s="1"/>
  <c r="D252" i="4"/>
  <c r="L252" i="4" s="1"/>
  <c r="O256" i="4"/>
  <c r="M258" i="4"/>
  <c r="M163" i="4"/>
  <c r="D169" i="4"/>
  <c r="L169" i="4" s="1"/>
  <c r="M175" i="4"/>
  <c r="D181" i="4"/>
  <c r="L181" i="4" s="1"/>
  <c r="M187" i="4"/>
  <c r="M199" i="4"/>
  <c r="O257" i="4"/>
  <c r="N258" i="4"/>
  <c r="M259" i="4"/>
  <c r="M152" i="4"/>
  <c r="O162" i="4"/>
  <c r="M164" i="4"/>
  <c r="O174" i="4"/>
  <c r="M176" i="4"/>
  <c r="H179" i="4"/>
  <c r="O186" i="4"/>
  <c r="M188" i="4"/>
  <c r="H191" i="4"/>
  <c r="D194" i="4"/>
  <c r="L194" i="4" s="1"/>
  <c r="O198" i="4"/>
  <c r="M200" i="4"/>
  <c r="H203" i="4"/>
  <c r="D206" i="4"/>
  <c r="L206" i="4" s="1"/>
  <c r="O210" i="4"/>
  <c r="H215" i="4"/>
  <c r="D218" i="4"/>
  <c r="L218" i="4" s="1"/>
  <c r="O222" i="4"/>
  <c r="H227" i="4"/>
  <c r="D230" i="4"/>
  <c r="L230" i="4" s="1"/>
  <c r="O234" i="4"/>
  <c r="H239" i="4"/>
  <c r="D242" i="4"/>
  <c r="L242" i="4" s="1"/>
  <c r="O246" i="4"/>
  <c r="H251" i="4"/>
  <c r="O258" i="4"/>
  <c r="D147" i="4"/>
  <c r="L147" i="4" s="1"/>
  <c r="M153" i="4"/>
  <c r="D159" i="4"/>
  <c r="L159" i="4" s="1"/>
  <c r="O163" i="4"/>
  <c r="M165" i="4"/>
  <c r="H168" i="4"/>
  <c r="O175" i="4"/>
  <c r="M177" i="4"/>
  <c r="H180" i="4"/>
  <c r="O187" i="4"/>
  <c r="M189" i="4"/>
  <c r="H192" i="4"/>
  <c r="D195" i="4"/>
  <c r="L195" i="4" s="1"/>
  <c r="O199" i="4"/>
  <c r="M201" i="4"/>
  <c r="H204" i="4"/>
  <c r="D207" i="4"/>
  <c r="L207" i="4" s="1"/>
  <c r="O211" i="4"/>
  <c r="M213" i="4"/>
  <c r="H216" i="4"/>
  <c r="D219" i="4"/>
  <c r="L219" i="4" s="1"/>
  <c r="O223" i="4"/>
  <c r="M225" i="4"/>
  <c r="H228" i="4"/>
  <c r="D231" i="4"/>
  <c r="L231" i="4" s="1"/>
  <c r="O235" i="4"/>
  <c r="N236" i="4"/>
  <c r="M237" i="4"/>
  <c r="H240" i="4"/>
  <c r="D243" i="4"/>
  <c r="L243" i="4" s="1"/>
  <c r="O247" i="4"/>
  <c r="N248" i="4"/>
  <c r="M249" i="4"/>
  <c r="H252" i="4"/>
  <c r="O259" i="4"/>
  <c r="M261" i="4"/>
  <c r="J57" i="2"/>
  <c r="N256" i="2"/>
  <c r="N250" i="2"/>
  <c r="N244" i="2"/>
  <c r="N238" i="2"/>
  <c r="N232" i="2"/>
  <c r="N226" i="2"/>
  <c r="N220" i="2"/>
  <c r="N214" i="2"/>
  <c r="N208" i="2"/>
  <c r="N202" i="2"/>
  <c r="N190" i="2"/>
  <c r="H178" i="2"/>
  <c r="O178" i="2" s="1"/>
  <c r="N166" i="2"/>
  <c r="N154" i="2"/>
  <c r="N148" i="2"/>
  <c r="N142" i="2"/>
  <c r="N136" i="2"/>
  <c r="N130" i="2"/>
  <c r="N124" i="2"/>
  <c r="N118" i="2"/>
  <c r="N112" i="2"/>
  <c r="N106" i="2"/>
  <c r="N100" i="2"/>
  <c r="N94" i="2"/>
  <c r="N88" i="2"/>
  <c r="N82" i="2"/>
  <c r="N76" i="2"/>
  <c r="N70" i="2"/>
  <c r="N64" i="2"/>
  <c r="H58" i="2"/>
  <c r="O58" i="2" s="1"/>
  <c r="N52" i="2"/>
  <c r="N46" i="2"/>
  <c r="N40" i="2"/>
  <c r="N34" i="2"/>
  <c r="N28" i="2"/>
  <c r="N22" i="2"/>
  <c r="N16" i="2"/>
  <c r="N10" i="2"/>
  <c r="N4" i="2"/>
  <c r="H249" i="2"/>
  <c r="O249" i="2" s="1"/>
  <c r="H225" i="2"/>
  <c r="O225" i="2" s="1"/>
  <c r="H219" i="2"/>
  <c r="O219" i="2" s="1"/>
  <c r="H189" i="2"/>
  <c r="O189" i="2" s="1"/>
  <c r="H165" i="2"/>
  <c r="O165" i="2" s="1"/>
  <c r="H159" i="2"/>
  <c r="O159" i="2" s="1"/>
  <c r="H129" i="2"/>
  <c r="O129" i="2" s="1"/>
  <c r="H105" i="2"/>
  <c r="O105" i="2" s="1"/>
  <c r="H99" i="2"/>
  <c r="O99" i="2" s="1"/>
  <c r="H69" i="2"/>
  <c r="O69" i="2" s="1"/>
  <c r="H45" i="2"/>
  <c r="O45" i="2" s="1"/>
  <c r="H39" i="2"/>
  <c r="O39" i="2" s="1"/>
  <c r="H9" i="2"/>
  <c r="O9" i="2" s="1"/>
  <c r="J2" i="2"/>
  <c r="M58" i="2"/>
  <c r="H238" i="2"/>
  <c r="O238" i="2" s="1"/>
  <c r="H217" i="2"/>
  <c r="O217" i="2" s="1"/>
  <c r="J38" i="2"/>
  <c r="H158" i="2"/>
  <c r="O158" i="2" s="1"/>
  <c r="H57" i="2"/>
  <c r="O57" i="2" s="1"/>
  <c r="N258" i="2"/>
  <c r="N78" i="2"/>
  <c r="N66" i="2"/>
  <c r="N54" i="2"/>
  <c r="N42" i="2"/>
  <c r="N30" i="2"/>
  <c r="N18" i="2"/>
  <c r="N6" i="2"/>
  <c r="J58" i="2"/>
  <c r="N2" i="2"/>
  <c r="L37" i="2"/>
  <c r="H2" i="2"/>
  <c r="O2" i="2" s="1"/>
  <c r="H198" i="2"/>
  <c r="O198" i="2" s="1"/>
  <c r="H118" i="2"/>
  <c r="O118" i="2" s="1"/>
  <c r="H38" i="2"/>
  <c r="O38" i="2" s="1"/>
  <c r="N178" i="2"/>
  <c r="N58" i="2"/>
  <c r="H197" i="2"/>
  <c r="O197" i="2" s="1"/>
  <c r="H117" i="2"/>
  <c r="O117" i="2" s="1"/>
  <c r="H37" i="2"/>
  <c r="O37" i="2" s="1"/>
  <c r="N237" i="2"/>
  <c r="N177" i="2"/>
  <c r="N117" i="2"/>
  <c r="H187" i="2"/>
  <c r="O187" i="2" s="1"/>
  <c r="H107" i="2"/>
  <c r="O107" i="2" s="1"/>
  <c r="H27" i="2"/>
  <c r="O27" i="2" s="1"/>
  <c r="M80" i="2"/>
  <c r="H258" i="2"/>
  <c r="O258" i="2" s="1"/>
  <c r="H98" i="2"/>
  <c r="O98" i="2" s="1"/>
  <c r="H18" i="2"/>
  <c r="O18" i="2" s="1"/>
  <c r="N247" i="2"/>
  <c r="N127" i="2"/>
  <c r="N67" i="2"/>
  <c r="N7" i="2"/>
  <c r="D122" i="2"/>
  <c r="K122" i="2" s="1"/>
  <c r="H257" i="2"/>
  <c r="O257" i="2" s="1"/>
  <c r="H97" i="2"/>
  <c r="O97" i="2" s="1"/>
  <c r="H17" i="2"/>
  <c r="O17" i="2" s="1"/>
  <c r="N138" i="2"/>
  <c r="N102" i="2"/>
  <c r="H259" i="2"/>
  <c r="O259" i="2" s="1"/>
  <c r="H229" i="2"/>
  <c r="O229" i="2" s="1"/>
  <c r="H205" i="2"/>
  <c r="O205" i="2" s="1"/>
  <c r="H199" i="2"/>
  <c r="O199" i="2" s="1"/>
  <c r="H169" i="2"/>
  <c r="O169" i="2" s="1"/>
  <c r="H145" i="2"/>
  <c r="O145" i="2" s="1"/>
  <c r="H139" i="2"/>
  <c r="O139" i="2" s="1"/>
  <c r="H109" i="2"/>
  <c r="O109" i="2" s="1"/>
  <c r="H85" i="2"/>
  <c r="O85" i="2" s="1"/>
  <c r="H79" i="2"/>
  <c r="O79" i="2" s="1"/>
  <c r="H49" i="2"/>
  <c r="O49" i="2" s="1"/>
  <c r="H25" i="2"/>
  <c r="O25" i="2" s="1"/>
  <c r="H19" i="2"/>
  <c r="O19" i="2" s="1"/>
  <c r="H167" i="2"/>
  <c r="O167" i="2" s="1"/>
  <c r="H87" i="2"/>
  <c r="O87" i="2" s="1"/>
  <c r="N137" i="2"/>
  <c r="N77" i="2"/>
  <c r="H157" i="2"/>
  <c r="O157" i="2" s="1"/>
  <c r="H77" i="2"/>
  <c r="O77" i="2" s="1"/>
  <c r="N207" i="2"/>
  <c r="N147" i="2"/>
  <c r="N87" i="2"/>
  <c r="L77" i="2"/>
  <c r="L17" i="2"/>
  <c r="H227" i="2"/>
  <c r="O227" i="2" s="1"/>
  <c r="N218" i="2"/>
  <c r="N122" i="2"/>
  <c r="N62" i="2"/>
  <c r="H245" i="2"/>
  <c r="O245" i="2" s="1"/>
  <c r="H239" i="2"/>
  <c r="O239" i="2" s="1"/>
  <c r="H209" i="2"/>
  <c r="O209" i="2" s="1"/>
  <c r="H185" i="2"/>
  <c r="O185" i="2" s="1"/>
  <c r="H179" i="2"/>
  <c r="O179" i="2" s="1"/>
  <c r="H149" i="2"/>
  <c r="O149" i="2" s="1"/>
  <c r="H125" i="2"/>
  <c r="O125" i="2" s="1"/>
  <c r="H119" i="2"/>
  <c r="O119" i="2" s="1"/>
  <c r="H89" i="2"/>
  <c r="O89" i="2" s="1"/>
  <c r="H65" i="2"/>
  <c r="O65" i="2" s="1"/>
  <c r="H59" i="2"/>
  <c r="O59" i="2" s="1"/>
  <c r="H29" i="2"/>
  <c r="O29" i="2" s="1"/>
  <c r="H5" i="2"/>
  <c r="O5" i="2" s="1"/>
  <c r="N37" i="2"/>
  <c r="H47" i="2"/>
  <c r="O47" i="2" s="1"/>
  <c r="O260" i="2"/>
  <c r="H242" i="2"/>
  <c r="O242" i="2" s="1"/>
  <c r="H202" i="2"/>
  <c r="O202" i="2" s="1"/>
  <c r="H162" i="2"/>
  <c r="O162" i="2" s="1"/>
  <c r="H122" i="2"/>
  <c r="O122" i="2" s="1"/>
  <c r="H82" i="2"/>
  <c r="O82" i="2" s="1"/>
  <c r="H42" i="2"/>
  <c r="O42" i="2" s="1"/>
  <c r="H22" i="2"/>
  <c r="O22" i="2" s="1"/>
  <c r="O62" i="2"/>
  <c r="L180" i="2"/>
  <c r="L160" i="2"/>
  <c r="L140" i="2"/>
  <c r="L120" i="2"/>
  <c r="L100" i="2"/>
  <c r="L80" i="2"/>
  <c r="L60" i="2"/>
  <c r="L40" i="2"/>
  <c r="L20" i="2"/>
  <c r="H261" i="2"/>
  <c r="O261" i="2" s="1"/>
  <c r="H241" i="2"/>
  <c r="O241" i="2" s="1"/>
  <c r="H221" i="2"/>
  <c r="O221" i="2" s="1"/>
  <c r="H201" i="2"/>
  <c r="O201" i="2" s="1"/>
  <c r="H181" i="2"/>
  <c r="O181" i="2" s="1"/>
  <c r="H161" i="2"/>
  <c r="O161" i="2" s="1"/>
  <c r="H141" i="2"/>
  <c r="O141" i="2" s="1"/>
  <c r="H121" i="2"/>
  <c r="O121" i="2" s="1"/>
  <c r="H101" i="2"/>
  <c r="O101" i="2" s="1"/>
  <c r="H81" i="2"/>
  <c r="O81" i="2" s="1"/>
  <c r="H61" i="2"/>
  <c r="O61" i="2" s="1"/>
  <c r="H41" i="2"/>
  <c r="O41" i="2" s="1"/>
  <c r="H21" i="2"/>
  <c r="O21" i="2" s="1"/>
  <c r="H222" i="2"/>
  <c r="O222" i="2" s="1"/>
  <c r="H182" i="2"/>
  <c r="O182" i="2" s="1"/>
  <c r="H142" i="2"/>
  <c r="O142" i="2" s="1"/>
  <c r="H260" i="2"/>
  <c r="H240" i="2"/>
  <c r="O240" i="2" s="1"/>
  <c r="H220" i="2"/>
  <c r="O220" i="2" s="1"/>
  <c r="H200" i="2"/>
  <c r="O200" i="2" s="1"/>
  <c r="H180" i="2"/>
  <c r="O180" i="2" s="1"/>
  <c r="H160" i="2"/>
  <c r="O160" i="2" s="1"/>
  <c r="H140" i="2"/>
  <c r="O140" i="2" s="1"/>
  <c r="H120" i="2"/>
  <c r="O120" i="2" s="1"/>
  <c r="H100" i="2"/>
  <c r="O100" i="2" s="1"/>
  <c r="H80" i="2"/>
  <c r="O80" i="2" s="1"/>
  <c r="H60" i="2"/>
  <c r="O60" i="2" s="1"/>
  <c r="H40" i="2"/>
  <c r="O40" i="2" s="1"/>
  <c r="H20" i="2"/>
  <c r="O20" i="2" s="1"/>
  <c r="D259" i="2"/>
  <c r="K259" i="2" s="1"/>
  <c r="D239" i="2"/>
  <c r="K239" i="2" s="1"/>
  <c r="D219" i="2"/>
  <c r="K219" i="2" s="1"/>
  <c r="D199" i="2"/>
  <c r="K199" i="2" s="1"/>
  <c r="D179" i="2"/>
  <c r="K179" i="2" s="1"/>
  <c r="D159" i="2"/>
  <c r="K159" i="2" s="1"/>
  <c r="D139" i="2"/>
  <c r="K139" i="2" s="1"/>
  <c r="D119" i="2"/>
  <c r="K119" i="2" s="1"/>
  <c r="D99" i="2"/>
  <c r="K99" i="2" s="1"/>
  <c r="D79" i="2"/>
  <c r="K79" i="2" s="1"/>
  <c r="D59" i="2"/>
  <c r="K59" i="2" s="1"/>
  <c r="D39" i="2"/>
  <c r="K39" i="2" s="1"/>
  <c r="D19" i="2"/>
  <c r="K19" i="2" s="1"/>
  <c r="H256" i="2"/>
  <c r="O256" i="2" s="1"/>
  <c r="H236" i="2"/>
  <c r="O236" i="2" s="1"/>
  <c r="H216" i="2"/>
  <c r="O216" i="2" s="1"/>
  <c r="H196" i="2"/>
  <c r="O196" i="2" s="1"/>
  <c r="H176" i="2"/>
  <c r="O176" i="2" s="1"/>
  <c r="H156" i="2"/>
  <c r="O156" i="2" s="1"/>
  <c r="H136" i="2"/>
  <c r="O136" i="2" s="1"/>
  <c r="H116" i="2"/>
  <c r="O116" i="2" s="1"/>
  <c r="H96" i="2"/>
  <c r="O96" i="2" s="1"/>
  <c r="H76" i="2"/>
  <c r="O76" i="2" s="1"/>
  <c r="H56" i="2"/>
  <c r="O56" i="2" s="1"/>
  <c r="H36" i="2"/>
  <c r="O36" i="2" s="1"/>
  <c r="H16" i="2"/>
  <c r="O16" i="2" s="1"/>
  <c r="H255" i="2"/>
  <c r="O255" i="2" s="1"/>
  <c r="H235" i="2"/>
  <c r="O235" i="2" s="1"/>
  <c r="H215" i="2"/>
  <c r="O215" i="2" s="1"/>
  <c r="H195" i="2"/>
  <c r="O195" i="2" s="1"/>
  <c r="H175" i="2"/>
  <c r="O175" i="2" s="1"/>
  <c r="H155" i="2"/>
  <c r="O155" i="2" s="1"/>
  <c r="H135" i="2"/>
  <c r="O135" i="2" s="1"/>
  <c r="H115" i="2"/>
  <c r="O115" i="2" s="1"/>
  <c r="H95" i="2"/>
  <c r="O95" i="2" s="1"/>
  <c r="H75" i="2"/>
  <c r="O75" i="2" s="1"/>
  <c r="H55" i="2"/>
  <c r="O55" i="2" s="1"/>
  <c r="H35" i="2"/>
  <c r="O35" i="2" s="1"/>
  <c r="H15" i="2"/>
  <c r="O15" i="2" s="1"/>
  <c r="L138" i="2"/>
  <c r="H254" i="2"/>
  <c r="O254" i="2" s="1"/>
  <c r="H234" i="2"/>
  <c r="O234" i="2" s="1"/>
  <c r="H214" i="2"/>
  <c r="O214" i="2" s="1"/>
  <c r="H194" i="2"/>
  <c r="O194" i="2" s="1"/>
  <c r="H174" i="2"/>
  <c r="O174" i="2" s="1"/>
  <c r="H154" i="2"/>
  <c r="O154" i="2" s="1"/>
  <c r="H134" i="2"/>
  <c r="O134" i="2" s="1"/>
  <c r="H114" i="2"/>
  <c r="O114" i="2" s="1"/>
  <c r="H94" i="2"/>
  <c r="O94" i="2" s="1"/>
  <c r="H74" i="2"/>
  <c r="O74" i="2" s="1"/>
  <c r="H54" i="2"/>
  <c r="O54" i="2" s="1"/>
  <c r="H34" i="2"/>
  <c r="O34" i="2" s="1"/>
  <c r="H14" i="2"/>
  <c r="O14" i="2" s="1"/>
  <c r="H253" i="2"/>
  <c r="O253" i="2" s="1"/>
  <c r="H233" i="2"/>
  <c r="O233" i="2" s="1"/>
  <c r="H213" i="2"/>
  <c r="O213" i="2" s="1"/>
  <c r="H193" i="2"/>
  <c r="O193" i="2" s="1"/>
  <c r="H173" i="2"/>
  <c r="O173" i="2" s="1"/>
  <c r="H153" i="2"/>
  <c r="O153" i="2" s="1"/>
  <c r="H133" i="2"/>
  <c r="O133" i="2" s="1"/>
  <c r="H113" i="2"/>
  <c r="O113" i="2" s="1"/>
  <c r="H93" i="2"/>
  <c r="O93" i="2" s="1"/>
  <c r="H73" i="2"/>
  <c r="O73" i="2" s="1"/>
  <c r="H53" i="2"/>
  <c r="O53" i="2" s="1"/>
  <c r="H33" i="2"/>
  <c r="O33" i="2" s="1"/>
  <c r="H13" i="2"/>
  <c r="O13" i="2" s="1"/>
  <c r="H252" i="2"/>
  <c r="O252" i="2" s="1"/>
  <c r="H232" i="2"/>
  <c r="O232" i="2" s="1"/>
  <c r="H212" i="2"/>
  <c r="O212" i="2" s="1"/>
  <c r="H192" i="2"/>
  <c r="O192" i="2" s="1"/>
  <c r="H172" i="2"/>
  <c r="O172" i="2" s="1"/>
  <c r="H152" i="2"/>
  <c r="O152" i="2" s="1"/>
  <c r="H132" i="2"/>
  <c r="O132" i="2" s="1"/>
  <c r="H112" i="2"/>
  <c r="O112" i="2" s="1"/>
  <c r="H92" i="2"/>
  <c r="O92" i="2" s="1"/>
  <c r="H72" i="2"/>
  <c r="O72" i="2" s="1"/>
  <c r="H52" i="2"/>
  <c r="O52" i="2" s="1"/>
  <c r="H32" i="2"/>
  <c r="O32" i="2" s="1"/>
  <c r="H12" i="2"/>
  <c r="O12" i="2" s="1"/>
  <c r="H251" i="2"/>
  <c r="O251" i="2" s="1"/>
  <c r="H231" i="2"/>
  <c r="O231" i="2" s="1"/>
  <c r="H211" i="2"/>
  <c r="O211" i="2" s="1"/>
  <c r="H191" i="2"/>
  <c r="O191" i="2" s="1"/>
  <c r="H171" i="2"/>
  <c r="O171" i="2" s="1"/>
  <c r="H151" i="2"/>
  <c r="O151" i="2" s="1"/>
  <c r="H131" i="2"/>
  <c r="O131" i="2" s="1"/>
  <c r="H111" i="2"/>
  <c r="O111" i="2" s="1"/>
  <c r="H91" i="2"/>
  <c r="O91" i="2" s="1"/>
  <c r="H71" i="2"/>
  <c r="O71" i="2" s="1"/>
  <c r="H51" i="2"/>
  <c r="O51" i="2" s="1"/>
  <c r="H31" i="2"/>
  <c r="O31" i="2" s="1"/>
  <c r="H11" i="2"/>
  <c r="O11" i="2" s="1"/>
  <c r="H250" i="2"/>
  <c r="O250" i="2" s="1"/>
  <c r="H230" i="2"/>
  <c r="O230" i="2" s="1"/>
  <c r="H210" i="2"/>
  <c r="O210" i="2" s="1"/>
  <c r="H190" i="2"/>
  <c r="O190" i="2" s="1"/>
  <c r="H170" i="2"/>
  <c r="O170" i="2" s="1"/>
  <c r="H150" i="2"/>
  <c r="O150" i="2" s="1"/>
  <c r="H130" i="2"/>
  <c r="O130" i="2" s="1"/>
  <c r="H110" i="2"/>
  <c r="O110" i="2" s="1"/>
  <c r="H90" i="2"/>
  <c r="O90" i="2" s="1"/>
  <c r="H70" i="2"/>
  <c r="O70" i="2" s="1"/>
  <c r="H50" i="2"/>
  <c r="O50" i="2" s="1"/>
  <c r="H30" i="2"/>
  <c r="O30" i="2" s="1"/>
  <c r="H10" i="2"/>
  <c r="O10" i="2" s="1"/>
  <c r="D255" i="2"/>
  <c r="K255" i="2" s="1"/>
  <c r="D235" i="2"/>
  <c r="K235" i="2" s="1"/>
  <c r="D215" i="2"/>
  <c r="K215" i="2" s="1"/>
  <c r="D195" i="2"/>
  <c r="K195" i="2" s="1"/>
  <c r="D175" i="2"/>
  <c r="K175" i="2" s="1"/>
  <c r="D155" i="2"/>
  <c r="K155" i="2" s="1"/>
  <c r="D135" i="2"/>
  <c r="K135" i="2" s="1"/>
  <c r="D115" i="2"/>
  <c r="K115" i="2" s="1"/>
  <c r="D95" i="2"/>
  <c r="K95" i="2" s="1"/>
  <c r="D75" i="2"/>
  <c r="K75" i="2" s="1"/>
  <c r="D55" i="2"/>
  <c r="K55" i="2" s="1"/>
  <c r="D35" i="2"/>
  <c r="K35" i="2" s="1"/>
  <c r="D15" i="2"/>
  <c r="K15" i="2" s="1"/>
  <c r="H248" i="2"/>
  <c r="O248" i="2" s="1"/>
  <c r="H228" i="2"/>
  <c r="O228" i="2" s="1"/>
  <c r="H208" i="2"/>
  <c r="O208" i="2" s="1"/>
  <c r="H188" i="2"/>
  <c r="O188" i="2" s="1"/>
  <c r="H168" i="2"/>
  <c r="O168" i="2" s="1"/>
  <c r="H148" i="2"/>
  <c r="O148" i="2" s="1"/>
  <c r="H128" i="2"/>
  <c r="O128" i="2" s="1"/>
  <c r="H108" i="2"/>
  <c r="O108" i="2" s="1"/>
  <c r="H88" i="2"/>
  <c r="O88" i="2" s="1"/>
  <c r="H68" i="2"/>
  <c r="O68" i="2" s="1"/>
  <c r="H48" i="2"/>
  <c r="O48" i="2" s="1"/>
  <c r="H28" i="2"/>
  <c r="O28" i="2" s="1"/>
  <c r="H8" i="2"/>
  <c r="O8" i="2" s="1"/>
  <c r="D254" i="2"/>
  <c r="K254" i="2" s="1"/>
  <c r="D234" i="2"/>
  <c r="K234" i="2" s="1"/>
  <c r="D214" i="2"/>
  <c r="K214" i="2" s="1"/>
  <c r="D194" i="2"/>
  <c r="K194" i="2" s="1"/>
  <c r="D174" i="2"/>
  <c r="K174" i="2" s="1"/>
  <c r="D154" i="2"/>
  <c r="K154" i="2" s="1"/>
  <c r="D134" i="2"/>
  <c r="K134" i="2" s="1"/>
  <c r="D114" i="2"/>
  <c r="K114" i="2" s="1"/>
  <c r="D94" i="2"/>
  <c r="K94" i="2" s="1"/>
  <c r="D74" i="2"/>
  <c r="K74" i="2" s="1"/>
  <c r="D54" i="2"/>
  <c r="K54" i="2" s="1"/>
  <c r="D34" i="2"/>
  <c r="K34" i="2" s="1"/>
  <c r="D14" i="2"/>
  <c r="K14" i="2" s="1"/>
  <c r="H246" i="2"/>
  <c r="O246" i="2" s="1"/>
  <c r="H226" i="2"/>
  <c r="O226" i="2" s="1"/>
  <c r="H206" i="2"/>
  <c r="O206" i="2" s="1"/>
  <c r="H186" i="2"/>
  <c r="O186" i="2" s="1"/>
  <c r="H166" i="2"/>
  <c r="O166" i="2" s="1"/>
  <c r="H146" i="2"/>
  <c r="O146" i="2" s="1"/>
  <c r="H126" i="2"/>
  <c r="O126" i="2" s="1"/>
  <c r="H106" i="2"/>
  <c r="O106" i="2" s="1"/>
  <c r="H86" i="2"/>
  <c r="O86" i="2" s="1"/>
  <c r="H66" i="2"/>
  <c r="O66" i="2" s="1"/>
  <c r="H46" i="2"/>
  <c r="O46" i="2" s="1"/>
  <c r="H26" i="2"/>
  <c r="O26" i="2" s="1"/>
  <c r="H6" i="2"/>
  <c r="O6" i="2" s="1"/>
  <c r="H244" i="2"/>
  <c r="O244" i="2" s="1"/>
  <c r="H224" i="2"/>
  <c r="O224" i="2" s="1"/>
  <c r="H204" i="2"/>
  <c r="O204" i="2" s="1"/>
  <c r="H184" i="2"/>
  <c r="O184" i="2" s="1"/>
  <c r="H164" i="2"/>
  <c r="O164" i="2" s="1"/>
  <c r="H144" i="2"/>
  <c r="O144" i="2" s="1"/>
  <c r="H124" i="2"/>
  <c r="O124" i="2" s="1"/>
  <c r="H104" i="2"/>
  <c r="O104" i="2" s="1"/>
  <c r="H84" i="2"/>
  <c r="O84" i="2" s="1"/>
  <c r="H64" i="2"/>
  <c r="O64" i="2" s="1"/>
  <c r="H44" i="2"/>
  <c r="O44" i="2" s="1"/>
  <c r="H24" i="2"/>
  <c r="O24" i="2" s="1"/>
  <c r="H4" i="2"/>
  <c r="O4" i="2" s="1"/>
  <c r="D162" i="2"/>
  <c r="K162" i="2" s="1"/>
  <c r="L122" i="2"/>
  <c r="D102" i="2"/>
  <c r="K102" i="2" s="1"/>
  <c r="D22" i="2"/>
  <c r="K22" i="2" s="1"/>
  <c r="H243" i="2"/>
  <c r="O243" i="2" s="1"/>
  <c r="H223" i="2"/>
  <c r="O223" i="2" s="1"/>
  <c r="H203" i="2"/>
  <c r="O203" i="2" s="1"/>
  <c r="H183" i="2"/>
  <c r="O183" i="2" s="1"/>
  <c r="H163" i="2"/>
  <c r="O163" i="2" s="1"/>
  <c r="H143" i="2"/>
  <c r="O143" i="2" s="1"/>
  <c r="H123" i="2"/>
  <c r="O123" i="2" s="1"/>
  <c r="H103" i="2"/>
  <c r="O103" i="2" s="1"/>
  <c r="H83" i="2"/>
  <c r="O83" i="2" s="1"/>
  <c r="H63" i="2"/>
  <c r="O63" i="2" s="1"/>
  <c r="H43" i="2"/>
  <c r="O43" i="2" s="1"/>
  <c r="H23" i="2"/>
  <c r="O23" i="2" s="1"/>
  <c r="H3" i="2"/>
  <c r="O3" i="2" s="1"/>
  <c r="D253" i="2"/>
  <c r="K253" i="2" s="1"/>
  <c r="D233" i="2"/>
  <c r="K233" i="2" s="1"/>
  <c r="D213" i="2"/>
  <c r="K213" i="2" s="1"/>
  <c r="D193" i="2"/>
  <c r="K193" i="2" s="1"/>
  <c r="D173" i="2"/>
  <c r="K173" i="2" s="1"/>
  <c r="D153" i="2"/>
  <c r="K153" i="2" s="1"/>
  <c r="D133" i="2"/>
  <c r="K133" i="2" s="1"/>
  <c r="D113" i="2"/>
  <c r="K113" i="2" s="1"/>
  <c r="D93" i="2"/>
  <c r="K93" i="2" s="1"/>
  <c r="D73" i="2"/>
  <c r="K73" i="2" s="1"/>
  <c r="D53" i="2"/>
  <c r="K53" i="2" s="1"/>
  <c r="D33" i="2"/>
  <c r="K33" i="2" s="1"/>
  <c r="D13" i="2"/>
  <c r="K13" i="2" s="1"/>
  <c r="L2" i="2"/>
  <c r="D252" i="2"/>
  <c r="K252" i="2" s="1"/>
  <c r="L242" i="2"/>
  <c r="D232" i="2"/>
  <c r="K232" i="2" s="1"/>
  <c r="L222" i="2"/>
  <c r="D212" i="2"/>
  <c r="K212" i="2" s="1"/>
  <c r="L202" i="2"/>
  <c r="D192" i="2"/>
  <c r="K192" i="2" s="1"/>
  <c r="L182" i="2"/>
  <c r="D172" i="2"/>
  <c r="K172" i="2" s="1"/>
  <c r="L162" i="2"/>
  <c r="D152" i="2"/>
  <c r="K152" i="2" s="1"/>
  <c r="L142" i="2"/>
  <c r="D132" i="2"/>
  <c r="K132" i="2" s="1"/>
  <c r="D112" i="2"/>
  <c r="K112" i="2" s="1"/>
  <c r="L102" i="2"/>
  <c r="D92" i="2"/>
  <c r="K92" i="2" s="1"/>
  <c r="L82" i="2"/>
  <c r="D72" i="2"/>
  <c r="K72" i="2" s="1"/>
  <c r="L62" i="2"/>
  <c r="D52" i="2"/>
  <c r="K52" i="2" s="1"/>
  <c r="L42" i="2"/>
  <c r="D32" i="2"/>
  <c r="K32" i="2" s="1"/>
  <c r="L22" i="2"/>
  <c r="D12" i="2"/>
  <c r="K12" i="2" s="1"/>
  <c r="D2" i="2"/>
  <c r="K2" i="2" s="1"/>
  <c r="L179" i="2"/>
  <c r="L159" i="2"/>
  <c r="L139" i="2"/>
  <c r="L119" i="2"/>
  <c r="L99" i="2"/>
  <c r="L79" i="2"/>
  <c r="L59" i="2"/>
  <c r="L39" i="2"/>
  <c r="L19" i="2"/>
  <c r="L261" i="2"/>
  <c r="L251" i="2"/>
  <c r="L241" i="2"/>
  <c r="L231" i="2"/>
  <c r="L221" i="2"/>
  <c r="L211" i="2"/>
  <c r="D201" i="2"/>
  <c r="K201" i="2" s="1"/>
  <c r="L191" i="2"/>
  <c r="D181" i="2"/>
  <c r="K181" i="2" s="1"/>
  <c r="L171" i="2"/>
  <c r="D161" i="2"/>
  <c r="K161" i="2" s="1"/>
  <c r="L151" i="2"/>
  <c r="D141" i="2"/>
  <c r="K141" i="2" s="1"/>
  <c r="L131" i="2"/>
  <c r="D121" i="2"/>
  <c r="K121" i="2" s="1"/>
  <c r="L111" i="2"/>
  <c r="D101" i="2"/>
  <c r="K101" i="2" s="1"/>
  <c r="L91" i="2"/>
  <c r="D81" i="2"/>
  <c r="K81" i="2" s="1"/>
  <c r="L71" i="2"/>
  <c r="D61" i="2"/>
  <c r="K61" i="2" s="1"/>
  <c r="L51" i="2"/>
  <c r="D41" i="2"/>
  <c r="K41" i="2" s="1"/>
  <c r="L31" i="2"/>
  <c r="D21" i="2"/>
  <c r="K21" i="2" s="1"/>
  <c r="L11" i="2"/>
  <c r="D242" i="2"/>
  <c r="K242" i="2" s="1"/>
  <c r="M260" i="2"/>
  <c r="M240" i="2"/>
  <c r="M220" i="2"/>
  <c r="M200" i="2"/>
  <c r="M180" i="2"/>
  <c r="M100" i="2"/>
  <c r="D222" i="2"/>
  <c r="K222" i="2" s="1"/>
  <c r="L260" i="2"/>
  <c r="L250" i="2"/>
  <c r="L240" i="2"/>
  <c r="L220" i="2"/>
  <c r="D200" i="2"/>
  <c r="K200" i="2" s="1"/>
  <c r="D180" i="2"/>
  <c r="K180" i="2" s="1"/>
  <c r="D160" i="2"/>
  <c r="K160" i="2" s="1"/>
  <c r="D140" i="2"/>
  <c r="K140" i="2" s="1"/>
  <c r="D120" i="2"/>
  <c r="K120" i="2" s="1"/>
  <c r="D100" i="2"/>
  <c r="K100" i="2" s="1"/>
  <c r="D80" i="2"/>
  <c r="K80" i="2" s="1"/>
  <c r="D60" i="2"/>
  <c r="K60" i="2" s="1"/>
  <c r="D40" i="2"/>
  <c r="K40" i="2" s="1"/>
  <c r="D20" i="2"/>
  <c r="K20" i="2" s="1"/>
  <c r="D202" i="2"/>
  <c r="K202" i="2" s="1"/>
  <c r="D182" i="2"/>
  <c r="K182" i="2" s="1"/>
  <c r="D142" i="2"/>
  <c r="K142" i="2" s="1"/>
  <c r="D258" i="2"/>
  <c r="K258" i="2" s="1"/>
  <c r="D248" i="2"/>
  <c r="K248" i="2" s="1"/>
  <c r="L238" i="2"/>
  <c r="D228" i="2"/>
  <c r="K228" i="2" s="1"/>
  <c r="L218" i="2"/>
  <c r="D208" i="2"/>
  <c r="K208" i="2" s="1"/>
  <c r="L198" i="2"/>
  <c r="D188" i="2"/>
  <c r="K188" i="2" s="1"/>
  <c r="L178" i="2"/>
  <c r="L168" i="2"/>
  <c r="L158" i="2"/>
  <c r="L148" i="2"/>
  <c r="D138" i="2"/>
  <c r="K138" i="2" s="1"/>
  <c r="D128" i="2"/>
  <c r="K128" i="2" s="1"/>
  <c r="D118" i="2"/>
  <c r="K118" i="2" s="1"/>
  <c r="D108" i="2"/>
  <c r="K108" i="2" s="1"/>
  <c r="L98" i="2"/>
  <c r="D88" i="2"/>
  <c r="K88" i="2" s="1"/>
  <c r="L78" i="2"/>
  <c r="D68" i="2"/>
  <c r="K68" i="2" s="1"/>
  <c r="L58" i="2"/>
  <c r="D48" i="2"/>
  <c r="K48" i="2" s="1"/>
  <c r="L38" i="2"/>
  <c r="L28" i="2"/>
  <c r="L18" i="2"/>
  <c r="L8" i="2"/>
  <c r="D257" i="2"/>
  <c r="K257" i="2" s="1"/>
  <c r="D237" i="2"/>
  <c r="K237" i="2" s="1"/>
  <c r="D217" i="2"/>
  <c r="K217" i="2" s="1"/>
  <c r="D197" i="2"/>
  <c r="K197" i="2" s="1"/>
  <c r="D177" i="2"/>
  <c r="K177" i="2" s="1"/>
  <c r="D157" i="2"/>
  <c r="K157" i="2" s="1"/>
  <c r="D137" i="2"/>
  <c r="K137" i="2" s="1"/>
  <c r="D117" i="2"/>
  <c r="K117" i="2" s="1"/>
  <c r="D97" i="2"/>
  <c r="K97" i="2" s="1"/>
  <c r="D77" i="2"/>
  <c r="K77" i="2" s="1"/>
  <c r="D57" i="2"/>
  <c r="K57" i="2" s="1"/>
  <c r="D37" i="2"/>
  <c r="K37" i="2" s="1"/>
  <c r="D17" i="2"/>
  <c r="K17" i="2" s="1"/>
  <c r="D82" i="2"/>
  <c r="K82" i="2" s="1"/>
  <c r="D62" i="2"/>
  <c r="K62" i="2" s="1"/>
  <c r="D256" i="2"/>
  <c r="K256" i="2" s="1"/>
  <c r="D236" i="2"/>
  <c r="K236" i="2" s="1"/>
  <c r="D216" i="2"/>
  <c r="K216" i="2" s="1"/>
  <c r="D196" i="2"/>
  <c r="K196" i="2" s="1"/>
  <c r="D176" i="2"/>
  <c r="K176" i="2" s="1"/>
  <c r="D156" i="2"/>
  <c r="K156" i="2" s="1"/>
  <c r="D136" i="2"/>
  <c r="K136" i="2" s="1"/>
  <c r="D116" i="2"/>
  <c r="K116" i="2" s="1"/>
  <c r="D96" i="2"/>
  <c r="K96" i="2" s="1"/>
  <c r="D76" i="2"/>
  <c r="K76" i="2" s="1"/>
  <c r="D56" i="2"/>
  <c r="K56" i="2" s="1"/>
  <c r="D36" i="2"/>
  <c r="K36" i="2" s="1"/>
  <c r="D16" i="2"/>
  <c r="K16" i="2" s="1"/>
  <c r="D42" i="2"/>
  <c r="K42" i="2" s="1"/>
  <c r="M160" i="2"/>
  <c r="M140" i="2"/>
  <c r="M120" i="2"/>
  <c r="M60" i="2"/>
  <c r="M40" i="2"/>
  <c r="M20" i="2"/>
  <c r="L128" i="2"/>
  <c r="D261" i="2"/>
  <c r="K261" i="2" s="1"/>
  <c r="D241" i="2"/>
  <c r="K241" i="2" s="1"/>
  <c r="D221" i="2"/>
  <c r="K221" i="2" s="1"/>
  <c r="L230" i="2"/>
  <c r="L210" i="2"/>
  <c r="L190" i="2"/>
  <c r="L170" i="2"/>
  <c r="L150" i="2"/>
  <c r="L130" i="2"/>
  <c r="L110" i="2"/>
  <c r="L90" i="2"/>
  <c r="L70" i="2"/>
  <c r="L50" i="2"/>
  <c r="L30" i="2"/>
  <c r="L10" i="2"/>
  <c r="L258" i="2"/>
  <c r="D260" i="2"/>
  <c r="K260" i="2" s="1"/>
  <c r="D240" i="2"/>
  <c r="K240" i="2" s="1"/>
  <c r="D220" i="2"/>
  <c r="K220" i="2" s="1"/>
  <c r="M259" i="2"/>
  <c r="M249" i="2"/>
  <c r="M239" i="2"/>
  <c r="M229" i="2"/>
  <c r="M219" i="2"/>
  <c r="M209" i="2"/>
  <c r="M199" i="2"/>
  <c r="M189" i="2"/>
  <c r="M179" i="2"/>
  <c r="M169" i="2"/>
  <c r="M159" i="2"/>
  <c r="M149" i="2"/>
  <c r="M139" i="2"/>
  <c r="M129" i="2"/>
  <c r="M119" i="2"/>
  <c r="M109" i="2"/>
  <c r="M99" i="2"/>
  <c r="M89" i="2"/>
  <c r="M79" i="2"/>
  <c r="M69" i="2"/>
  <c r="M59" i="2"/>
  <c r="M49" i="2"/>
  <c r="M39" i="2"/>
  <c r="M29" i="2"/>
  <c r="M19" i="2"/>
  <c r="M9" i="2"/>
  <c r="L248" i="2"/>
  <c r="L118" i="2"/>
  <c r="L259" i="2"/>
  <c r="L249" i="2"/>
  <c r="L239" i="2"/>
  <c r="L229" i="2"/>
  <c r="L219" i="2"/>
  <c r="L209" i="2"/>
  <c r="L199" i="2"/>
  <c r="L189" i="2"/>
  <c r="L169" i="2"/>
  <c r="L149" i="2"/>
  <c r="L129" i="2"/>
  <c r="L109" i="2"/>
  <c r="L89" i="2"/>
  <c r="L69" i="2"/>
  <c r="L49" i="2"/>
  <c r="L29" i="2"/>
  <c r="L9" i="2"/>
  <c r="L108" i="2"/>
  <c r="D238" i="2"/>
  <c r="K238" i="2" s="1"/>
  <c r="D218" i="2"/>
  <c r="K218" i="2" s="1"/>
  <c r="D198" i="2"/>
  <c r="K198" i="2" s="1"/>
  <c r="D178" i="2"/>
  <c r="K178" i="2" s="1"/>
  <c r="D158" i="2"/>
  <c r="K158" i="2" s="1"/>
  <c r="D98" i="2"/>
  <c r="K98" i="2" s="1"/>
  <c r="D78" i="2"/>
  <c r="K78" i="2" s="1"/>
  <c r="D58" i="2"/>
  <c r="K58" i="2" s="1"/>
  <c r="D38" i="2"/>
  <c r="K38" i="2" s="1"/>
  <c r="D18" i="2"/>
  <c r="K18" i="2" s="1"/>
  <c r="L228" i="2"/>
  <c r="L88" i="2"/>
  <c r="L257" i="2"/>
  <c r="L247" i="2"/>
  <c r="L237" i="2"/>
  <c r="L227" i="2"/>
  <c r="L217" i="2"/>
  <c r="L207" i="2"/>
  <c r="L197" i="2"/>
  <c r="L187" i="2"/>
  <c r="L177" i="2"/>
  <c r="L167" i="2"/>
  <c r="L157" i="2"/>
  <c r="L147" i="2"/>
  <c r="L137" i="2"/>
  <c r="L127" i="2"/>
  <c r="L117" i="2"/>
  <c r="L107" i="2"/>
  <c r="L97" i="2"/>
  <c r="L87" i="2"/>
  <c r="L67" i="2"/>
  <c r="L47" i="2"/>
  <c r="L27" i="2"/>
  <c r="L7" i="2"/>
  <c r="M256" i="2"/>
  <c r="M246" i="2"/>
  <c r="M236" i="2"/>
  <c r="M226" i="2"/>
  <c r="M216" i="2"/>
  <c r="M206" i="2"/>
  <c r="M196" i="2"/>
  <c r="M186" i="2"/>
  <c r="M176" i="2"/>
  <c r="M166" i="2"/>
  <c r="M156" i="2"/>
  <c r="M146" i="2"/>
  <c r="M136" i="2"/>
  <c r="M126" i="2"/>
  <c r="M116" i="2"/>
  <c r="M106" i="2"/>
  <c r="M96" i="2"/>
  <c r="M86" i="2"/>
  <c r="M76" i="2"/>
  <c r="M66" i="2"/>
  <c r="M56" i="2"/>
  <c r="M46" i="2"/>
  <c r="M36" i="2"/>
  <c r="M26" i="2"/>
  <c r="M16" i="2"/>
  <c r="M6" i="2"/>
  <c r="L208" i="2"/>
  <c r="L256" i="2"/>
  <c r="L246" i="2"/>
  <c r="L236" i="2"/>
  <c r="L226" i="2"/>
  <c r="L216" i="2"/>
  <c r="L206" i="2"/>
  <c r="L196" i="2"/>
  <c r="L186" i="2"/>
  <c r="L176" i="2"/>
  <c r="L166" i="2"/>
  <c r="L156" i="2"/>
  <c r="L146" i="2"/>
  <c r="L136" i="2"/>
  <c r="L126" i="2"/>
  <c r="L116" i="2"/>
  <c r="L106" i="2"/>
  <c r="L96" i="2"/>
  <c r="L86" i="2"/>
  <c r="L76" i="2"/>
  <c r="L66" i="2"/>
  <c r="L56" i="2"/>
  <c r="L46" i="2"/>
  <c r="L36" i="2"/>
  <c r="L26" i="2"/>
  <c r="L16" i="2"/>
  <c r="L6" i="2"/>
  <c r="L68" i="2"/>
  <c r="M255" i="2"/>
  <c r="M245" i="2"/>
  <c r="M235" i="2"/>
  <c r="M225" i="2"/>
  <c r="M215" i="2"/>
  <c r="M205" i="2"/>
  <c r="M195" i="2"/>
  <c r="M185" i="2"/>
  <c r="M175" i="2"/>
  <c r="M165" i="2"/>
  <c r="M155" i="2"/>
  <c r="M145" i="2"/>
  <c r="M135" i="2"/>
  <c r="M125" i="2"/>
  <c r="M115" i="2"/>
  <c r="M105" i="2"/>
  <c r="M95" i="2"/>
  <c r="M85" i="2"/>
  <c r="M75" i="2"/>
  <c r="M65" i="2"/>
  <c r="M55" i="2"/>
  <c r="M45" i="2"/>
  <c r="M35" i="2"/>
  <c r="M25" i="2"/>
  <c r="M5" i="2"/>
  <c r="D251" i="2"/>
  <c r="K251" i="2" s="1"/>
  <c r="D231" i="2"/>
  <c r="K231" i="2" s="1"/>
  <c r="D211" i="2"/>
  <c r="K211" i="2" s="1"/>
  <c r="D191" i="2"/>
  <c r="K191" i="2" s="1"/>
  <c r="D171" i="2"/>
  <c r="K171" i="2" s="1"/>
  <c r="D151" i="2"/>
  <c r="K151" i="2" s="1"/>
  <c r="D131" i="2"/>
  <c r="K131" i="2" s="1"/>
  <c r="D111" i="2"/>
  <c r="K111" i="2" s="1"/>
  <c r="D91" i="2"/>
  <c r="K91" i="2" s="1"/>
  <c r="D71" i="2"/>
  <c r="K71" i="2" s="1"/>
  <c r="D51" i="2"/>
  <c r="K51" i="2" s="1"/>
  <c r="D31" i="2"/>
  <c r="K31" i="2" s="1"/>
  <c r="D11" i="2"/>
  <c r="K11" i="2" s="1"/>
  <c r="L255" i="2"/>
  <c r="L245" i="2"/>
  <c r="L235" i="2"/>
  <c r="L225" i="2"/>
  <c r="L215" i="2"/>
  <c r="L205" i="2"/>
  <c r="L195" i="2"/>
  <c r="L185" i="2"/>
  <c r="L175" i="2"/>
  <c r="L165" i="2"/>
  <c r="L155" i="2"/>
  <c r="L145" i="2"/>
  <c r="L135" i="2"/>
  <c r="L125" i="2"/>
  <c r="L115" i="2"/>
  <c r="L105" i="2"/>
  <c r="L95" i="2"/>
  <c r="L85" i="2"/>
  <c r="L75" i="2"/>
  <c r="L65" i="2"/>
  <c r="L55" i="2"/>
  <c r="L45" i="2"/>
  <c r="L35" i="2"/>
  <c r="L25" i="2"/>
  <c r="L15" i="2"/>
  <c r="L5" i="2"/>
  <c r="L188" i="2"/>
  <c r="D250" i="2"/>
  <c r="K250" i="2" s="1"/>
  <c r="D230" i="2"/>
  <c r="K230" i="2" s="1"/>
  <c r="D210" i="2"/>
  <c r="K210" i="2" s="1"/>
  <c r="D190" i="2"/>
  <c r="K190" i="2" s="1"/>
  <c r="D170" i="2"/>
  <c r="K170" i="2" s="1"/>
  <c r="D150" i="2"/>
  <c r="K150" i="2" s="1"/>
  <c r="D130" i="2"/>
  <c r="K130" i="2" s="1"/>
  <c r="D110" i="2"/>
  <c r="K110" i="2" s="1"/>
  <c r="D90" i="2"/>
  <c r="K90" i="2" s="1"/>
  <c r="D70" i="2"/>
  <c r="K70" i="2" s="1"/>
  <c r="D50" i="2"/>
  <c r="K50" i="2" s="1"/>
  <c r="D30" i="2"/>
  <c r="K30" i="2" s="1"/>
  <c r="D10" i="2"/>
  <c r="K10" i="2" s="1"/>
  <c r="M254" i="2"/>
  <c r="M244" i="2"/>
  <c r="M234" i="2"/>
  <c r="M224" i="2"/>
  <c r="M214" i="2"/>
  <c r="M204" i="2"/>
  <c r="M194" i="2"/>
  <c r="M184" i="2"/>
  <c r="M174" i="2"/>
  <c r="M164" i="2"/>
  <c r="M154" i="2"/>
  <c r="M144" i="2"/>
  <c r="M134" i="2"/>
  <c r="M124" i="2"/>
  <c r="M114" i="2"/>
  <c r="M104" i="2"/>
  <c r="M94" i="2"/>
  <c r="M84" i="2"/>
  <c r="M74" i="2"/>
  <c r="M64" i="2"/>
  <c r="M54" i="2"/>
  <c r="M44" i="2"/>
  <c r="M34" i="2"/>
  <c r="M24" i="2"/>
  <c r="M14" i="2"/>
  <c r="M4" i="2"/>
  <c r="L48" i="2"/>
  <c r="D249" i="2"/>
  <c r="K249" i="2" s="1"/>
  <c r="D229" i="2"/>
  <c r="K229" i="2" s="1"/>
  <c r="D209" i="2"/>
  <c r="K209" i="2" s="1"/>
  <c r="D189" i="2"/>
  <c r="K189" i="2" s="1"/>
  <c r="D169" i="2"/>
  <c r="K169" i="2" s="1"/>
  <c r="D149" i="2"/>
  <c r="K149" i="2" s="1"/>
  <c r="D129" i="2"/>
  <c r="K129" i="2" s="1"/>
  <c r="D109" i="2"/>
  <c r="K109" i="2" s="1"/>
  <c r="D89" i="2"/>
  <c r="K89" i="2" s="1"/>
  <c r="D69" i="2"/>
  <c r="K69" i="2" s="1"/>
  <c r="D49" i="2"/>
  <c r="K49" i="2" s="1"/>
  <c r="D29" i="2"/>
  <c r="K29" i="2" s="1"/>
  <c r="D9" i="2"/>
  <c r="K9" i="2" s="1"/>
  <c r="L254" i="2"/>
  <c r="L244" i="2"/>
  <c r="L234" i="2"/>
  <c r="L224" i="2"/>
  <c r="L214" i="2"/>
  <c r="L204" i="2"/>
  <c r="L194" i="2"/>
  <c r="L184" i="2"/>
  <c r="L174" i="2"/>
  <c r="L164" i="2"/>
  <c r="L154" i="2"/>
  <c r="L144" i="2"/>
  <c r="L134" i="2"/>
  <c r="L124" i="2"/>
  <c r="L114" i="2"/>
  <c r="L104" i="2"/>
  <c r="L94" i="2"/>
  <c r="L84" i="2"/>
  <c r="L74" i="2"/>
  <c r="L64" i="2"/>
  <c r="L54" i="2"/>
  <c r="L44" i="2"/>
  <c r="L34" i="2"/>
  <c r="L24" i="2"/>
  <c r="L14" i="2"/>
  <c r="L4" i="2"/>
  <c r="D168" i="2"/>
  <c r="K168" i="2" s="1"/>
  <c r="D148" i="2"/>
  <c r="K148" i="2" s="1"/>
  <c r="D28" i="2"/>
  <c r="K28" i="2" s="1"/>
  <c r="D8" i="2"/>
  <c r="K8" i="2" s="1"/>
  <c r="M253" i="2"/>
  <c r="M233" i="2"/>
  <c r="M213" i="2"/>
  <c r="M193" i="2"/>
  <c r="D247" i="2"/>
  <c r="K247" i="2" s="1"/>
  <c r="D227" i="2"/>
  <c r="K227" i="2" s="1"/>
  <c r="D207" i="2"/>
  <c r="K207" i="2" s="1"/>
  <c r="D187" i="2"/>
  <c r="K187" i="2" s="1"/>
  <c r="D167" i="2"/>
  <c r="K167" i="2" s="1"/>
  <c r="D147" i="2"/>
  <c r="K147" i="2" s="1"/>
  <c r="D127" i="2"/>
  <c r="K127" i="2" s="1"/>
  <c r="D107" i="2"/>
  <c r="K107" i="2" s="1"/>
  <c r="D87" i="2"/>
  <c r="K87" i="2" s="1"/>
  <c r="D67" i="2"/>
  <c r="K67" i="2" s="1"/>
  <c r="D47" i="2"/>
  <c r="K47" i="2" s="1"/>
  <c r="D27" i="2"/>
  <c r="K27" i="2" s="1"/>
  <c r="D7" i="2"/>
  <c r="K7" i="2" s="1"/>
  <c r="L253" i="2"/>
  <c r="L243" i="2"/>
  <c r="L233" i="2"/>
  <c r="L223" i="2"/>
  <c r="L213" i="2"/>
  <c r="L203" i="2"/>
  <c r="L193" i="2"/>
  <c r="L183" i="2"/>
  <c r="L173" i="2"/>
  <c r="L163" i="2"/>
  <c r="L153" i="2"/>
  <c r="L143" i="2"/>
  <c r="L133" i="2"/>
  <c r="L123" i="2"/>
  <c r="L113" i="2"/>
  <c r="L103" i="2"/>
  <c r="L93" i="2"/>
  <c r="L83" i="2"/>
  <c r="L73" i="2"/>
  <c r="L63" i="2"/>
  <c r="L53" i="2"/>
  <c r="L43" i="2"/>
  <c r="L33" i="2"/>
  <c r="L23" i="2"/>
  <c r="L13" i="2"/>
  <c r="L3" i="2"/>
  <c r="D246" i="2"/>
  <c r="K246" i="2" s="1"/>
  <c r="D226" i="2"/>
  <c r="K226" i="2" s="1"/>
  <c r="D206" i="2"/>
  <c r="K206" i="2" s="1"/>
  <c r="D186" i="2"/>
  <c r="K186" i="2" s="1"/>
  <c r="D166" i="2"/>
  <c r="K166" i="2" s="1"/>
  <c r="D146" i="2"/>
  <c r="K146" i="2" s="1"/>
  <c r="D126" i="2"/>
  <c r="K126" i="2" s="1"/>
  <c r="D106" i="2"/>
  <c r="K106" i="2" s="1"/>
  <c r="D86" i="2"/>
  <c r="K86" i="2" s="1"/>
  <c r="D66" i="2"/>
  <c r="K66" i="2" s="1"/>
  <c r="D46" i="2"/>
  <c r="K46" i="2" s="1"/>
  <c r="D26" i="2"/>
  <c r="K26" i="2" s="1"/>
  <c r="D6" i="2"/>
  <c r="K6" i="2" s="1"/>
  <c r="D245" i="2"/>
  <c r="K245" i="2" s="1"/>
  <c r="D225" i="2"/>
  <c r="K225" i="2" s="1"/>
  <c r="D205" i="2"/>
  <c r="K205" i="2" s="1"/>
  <c r="D185" i="2"/>
  <c r="K185" i="2" s="1"/>
  <c r="D165" i="2"/>
  <c r="K165" i="2" s="1"/>
  <c r="D145" i="2"/>
  <c r="K145" i="2" s="1"/>
  <c r="D125" i="2"/>
  <c r="K125" i="2" s="1"/>
  <c r="D105" i="2"/>
  <c r="K105" i="2" s="1"/>
  <c r="D85" i="2"/>
  <c r="K85" i="2" s="1"/>
  <c r="D65" i="2"/>
  <c r="K65" i="2" s="1"/>
  <c r="D45" i="2"/>
  <c r="K45" i="2" s="1"/>
  <c r="D25" i="2"/>
  <c r="K25" i="2" s="1"/>
  <c r="D5" i="2"/>
  <c r="K5" i="2" s="1"/>
  <c r="L201" i="2"/>
  <c r="L181" i="2"/>
  <c r="L161" i="2"/>
  <c r="L141" i="2"/>
  <c r="L121" i="2"/>
  <c r="L101" i="2"/>
  <c r="L81" i="2"/>
  <c r="L61" i="2"/>
  <c r="L41" i="2"/>
  <c r="L21" i="2"/>
  <c r="L252" i="2"/>
  <c r="L232" i="2"/>
  <c r="L212" i="2"/>
  <c r="L192" i="2"/>
  <c r="L172" i="2"/>
  <c r="L152" i="2"/>
  <c r="L132" i="2"/>
  <c r="L112" i="2"/>
  <c r="L92" i="2"/>
  <c r="L72" i="2"/>
  <c r="L52" i="2"/>
  <c r="L32" i="2"/>
  <c r="L12" i="2"/>
  <c r="D244" i="2"/>
  <c r="K244" i="2" s="1"/>
  <c r="D224" i="2"/>
  <c r="K224" i="2" s="1"/>
  <c r="D204" i="2"/>
  <c r="K204" i="2" s="1"/>
  <c r="D184" i="2"/>
  <c r="K184" i="2" s="1"/>
  <c r="D164" i="2"/>
  <c r="K164" i="2" s="1"/>
  <c r="D144" i="2"/>
  <c r="K144" i="2" s="1"/>
  <c r="D124" i="2"/>
  <c r="K124" i="2" s="1"/>
  <c r="D104" i="2"/>
  <c r="K104" i="2" s="1"/>
  <c r="D84" i="2"/>
  <c r="K84" i="2" s="1"/>
  <c r="D64" i="2"/>
  <c r="K64" i="2" s="1"/>
  <c r="D44" i="2"/>
  <c r="K44" i="2" s="1"/>
  <c r="D24" i="2"/>
  <c r="K24" i="2" s="1"/>
  <c r="D4" i="2"/>
  <c r="K4" i="2" s="1"/>
  <c r="L200" i="2"/>
  <c r="M251" i="2"/>
  <c r="M231" i="2"/>
  <c r="M211" i="2"/>
  <c r="M191" i="2"/>
  <c r="M171" i="2"/>
  <c r="M151" i="2"/>
  <c r="M131" i="2"/>
  <c r="M111" i="2"/>
  <c r="M71" i="2"/>
  <c r="M51" i="2"/>
  <c r="M31" i="2"/>
  <c r="M11" i="2"/>
  <c r="D243" i="2"/>
  <c r="K243" i="2" s="1"/>
  <c r="D223" i="2"/>
  <c r="K223" i="2" s="1"/>
  <c r="D203" i="2"/>
  <c r="K203" i="2" s="1"/>
  <c r="D183" i="2"/>
  <c r="K183" i="2" s="1"/>
  <c r="D163" i="2"/>
  <c r="K163" i="2" s="1"/>
  <c r="D143" i="2"/>
  <c r="K143" i="2" s="1"/>
  <c r="D123" i="2"/>
  <c r="K123" i="2" s="1"/>
  <c r="D103" i="2"/>
  <c r="K103" i="2" s="1"/>
  <c r="D83" i="2"/>
  <c r="K83" i="2" s="1"/>
  <c r="D63" i="2"/>
  <c r="K63" i="2" s="1"/>
  <c r="D43" i="2"/>
  <c r="K43" i="2" s="1"/>
  <c r="D23" i="2"/>
  <c r="K23" i="2" s="1"/>
  <c r="D3" i="2"/>
  <c r="K3" i="2" s="1"/>
  <c r="M15" i="2"/>
  <c r="M243" i="2"/>
  <c r="M223" i="2"/>
  <c r="M203" i="2"/>
  <c r="M183" i="2"/>
  <c r="M173" i="2"/>
  <c r="M163" i="2"/>
  <c r="M153" i="2"/>
  <c r="M143" i="2"/>
  <c r="M133" i="2"/>
  <c r="M123" i="2"/>
  <c r="M113" i="2"/>
  <c r="M103" i="2"/>
  <c r="M93" i="2"/>
  <c r="M83" i="2"/>
  <c r="M73" i="2"/>
  <c r="M63" i="2"/>
  <c r="M53" i="2"/>
  <c r="M43" i="2"/>
  <c r="M33" i="2"/>
  <c r="M23" i="2"/>
  <c r="M13" i="2"/>
  <c r="M3" i="2"/>
  <c r="M252" i="2"/>
  <c r="M242" i="2"/>
  <c r="M232" i="2"/>
  <c r="M222" i="2"/>
  <c r="M212" i="2"/>
  <c r="M202" i="2"/>
  <c r="M192" i="2"/>
  <c r="M182" i="2"/>
  <c r="M172" i="2"/>
  <c r="M162" i="2"/>
  <c r="M152" i="2"/>
  <c r="M142" i="2"/>
  <c r="M132" i="2"/>
  <c r="M122" i="2"/>
  <c r="M112" i="2"/>
  <c r="M102" i="2"/>
  <c r="M92" i="2"/>
  <c r="M82" i="2"/>
  <c r="M72" i="2"/>
  <c r="M62" i="2"/>
  <c r="M52" i="2"/>
  <c r="M42" i="2"/>
  <c r="M32" i="2"/>
  <c r="M22" i="2"/>
  <c r="M12" i="2"/>
  <c r="M2" i="2"/>
  <c r="M261" i="2"/>
  <c r="M241" i="2"/>
  <c r="M221" i="2"/>
  <c r="M201" i="2"/>
  <c r="M181" i="2"/>
  <c r="M161" i="2"/>
  <c r="M141" i="2"/>
  <c r="M121" i="2"/>
  <c r="M101" i="2"/>
  <c r="M81" i="2"/>
  <c r="M61" i="2"/>
  <c r="M41" i="2"/>
  <c r="M21" i="2"/>
  <c r="M250" i="2"/>
  <c r="M230" i="2"/>
  <c r="M210" i="2"/>
  <c r="M190" i="2"/>
  <c r="M170" i="2"/>
  <c r="M150" i="2"/>
  <c r="M130" i="2"/>
  <c r="M110" i="2"/>
  <c r="M90" i="2"/>
  <c r="M70" i="2"/>
  <c r="M50" i="2"/>
  <c r="M30" i="2"/>
  <c r="M10" i="2"/>
  <c r="M258" i="2"/>
  <c r="M248" i="2"/>
  <c r="M238" i="2"/>
  <c r="M228" i="2"/>
  <c r="M218" i="2"/>
  <c r="M208" i="2"/>
  <c r="M198" i="2"/>
  <c r="M188" i="2"/>
  <c r="M178" i="2"/>
  <c r="M168" i="2"/>
  <c r="M158" i="2"/>
  <c r="M148" i="2"/>
  <c r="M138" i="2"/>
  <c r="M128" i="2"/>
  <c r="M118" i="2"/>
  <c r="M108" i="2"/>
  <c r="M98" i="2"/>
  <c r="M88" i="2"/>
  <c r="M78" i="2"/>
  <c r="M68" i="2"/>
  <c r="M48" i="2"/>
  <c r="M28" i="2"/>
  <c r="M18" i="2"/>
  <c r="M8" i="2"/>
  <c r="M257" i="2"/>
  <c r="M247" i="2"/>
  <c r="M237" i="2"/>
  <c r="M227" i="2"/>
  <c r="M217" i="2"/>
  <c r="M207" i="2"/>
  <c r="M197" i="2"/>
  <c r="M187" i="2"/>
  <c r="M177" i="2"/>
  <c r="M167" i="2"/>
  <c r="M157" i="2"/>
  <c r="M147" i="2"/>
  <c r="M137" i="2"/>
  <c r="M127" i="2"/>
  <c r="M117" i="2"/>
  <c r="M107" i="2"/>
  <c r="M97" i="2"/>
  <c r="M87" i="2"/>
  <c r="M77" i="2"/>
  <c r="M67" i="2"/>
  <c r="M57" i="2"/>
  <c r="M47" i="2"/>
  <c r="M37" i="2"/>
  <c r="M27" i="2"/>
  <c r="M17" i="2"/>
  <c r="M7" i="2"/>
  <c r="Q45" i="2" l="1"/>
  <c r="Q51" i="2"/>
  <c r="Q53" i="2"/>
  <c r="Q47" i="2"/>
  <c r="Q49" i="2"/>
</calcChain>
</file>

<file path=xl/sharedStrings.xml><?xml version="1.0" encoding="utf-8"?>
<sst xmlns="http://schemas.openxmlformats.org/spreadsheetml/2006/main" count="22474" uniqueCount="1069">
  <si>
    <t>Download Page</t>
  </si>
  <si>
    <t>H.8 Assets and Liabilities of Commercial Banks in the United States for Mar 18, 2022</t>
  </si>
  <si>
    <t>Series Description</t>
  </si>
  <si>
    <t>Bank credit, all commercial banks, seasonally adjusted</t>
  </si>
  <si>
    <t>Securities in bank credit, all commercial banks, seasonally adjusted</t>
  </si>
  <si>
    <t>Treasury and agency securities, all commercial banks, seasonally adjusted</t>
  </si>
  <si>
    <t>Treasury and agency securities: Mortgage-backed securities (MBS), all commercial banks, seasonally adjusted</t>
  </si>
  <si>
    <t>Treasury and agency securities: Non-MBS, all commercial banks, seasonally adjusted</t>
  </si>
  <si>
    <t>Other securities, all commercial banks, seasonally adjusted</t>
  </si>
  <si>
    <t>Other securities: Mortgage-backed securities, all commercial banks, seasonally adjusted</t>
  </si>
  <si>
    <t>Other securities: Non-MBS, all commercial banks, seasonally adjusted</t>
  </si>
  <si>
    <t>Loans and leases in bank credit, all commercial banks, seasonally adjusted</t>
  </si>
  <si>
    <t>Commercial and industrial loans, all commercial banks, seasonally adjusted</t>
  </si>
  <si>
    <t>Real estate loans, all commercial banks, seasonally adjusted</t>
  </si>
  <si>
    <t>Real estate loans: Residential real estate loans, all commercial banks, seasonally adjusted</t>
  </si>
  <si>
    <t>Real estate loans: Residential real estate loans: Revolving home equity loans, all commercial banks, seasonally adjusted</t>
  </si>
  <si>
    <t>Real estate loans: Residential real estate loans: Closed-end residential loans, all commercial banks, seasonally adjusted</t>
  </si>
  <si>
    <t>Real estate loans: Commercial real estate loans, all commercial banks, seasonally adjusted</t>
  </si>
  <si>
    <t>Real estate loans: Commercial real estate loans: Construction and land development loans, all commercial banks, seasonally adjusted</t>
  </si>
  <si>
    <t>Real estate loans: Commercial real estate loans: Secured by farmland, all commercial banks, seasonally adjusted</t>
  </si>
  <si>
    <t>Real estate loans: Commercial real estate loans: Secured by multifamily properties, all commercial banks, seasonally adjusted</t>
  </si>
  <si>
    <t>Real estate loans: Commercial real estate loans: Secured by nonfarm nonresidential properties, all commercial banks, seasonally adjusted</t>
  </si>
  <si>
    <t>Consumer loans, all commercial banks, seasonally adjusted</t>
  </si>
  <si>
    <t>Consumer loans: Credit cards and other revolving plans, all commercial banks, seasonally adjusted</t>
  </si>
  <si>
    <t>Consumer loans: Other consumer loans, all commercial banks, seasonally adjusted</t>
  </si>
  <si>
    <t>Consumer loans: Other consumer loans: Automobile loans, all commercial banks, seasonally adjusted</t>
  </si>
  <si>
    <t>Consumer loans: Other consumer loans: All other consumer loans, all commercial banks, seasonally adjusted</t>
  </si>
  <si>
    <t>Other loans and leases: All other loans and leases, all commercial banks, seasonally adjusted</t>
  </si>
  <si>
    <t>Other loans and leases: All other loans and leases: Loans to nondepository financial institutions, all commercial banks, seasonally adjusted</t>
  </si>
  <si>
    <t>Other loans and leases: All other loans and leases: Other loans not elsewhere classified, all commercial banks, seasonally adjusted</t>
  </si>
  <si>
    <t>LESS: Allowance for loan and lease losses, all commercial banks, seasonally adjusted</t>
  </si>
  <si>
    <t>Cash assets, all commercial banks, seasonally adjusted</t>
  </si>
  <si>
    <t>Federal funds sold and securities purchased under agreement to resell</t>
  </si>
  <si>
    <t>Loans to commercial banks, all commercial banks, seasonally adjusted</t>
  </si>
  <si>
    <t>Other assets, all commercial banks, seasonally adjusted</t>
  </si>
  <si>
    <t>Total assets, all commercial banks, seasonally adjusted</t>
  </si>
  <si>
    <t>Deposits, all commercial banks, seasonally adjusted</t>
  </si>
  <si>
    <t>Other deposits, all commercial banks, seasonally adjusted</t>
  </si>
  <si>
    <t>Borrowings, all commercial banks, seasonally adjusted</t>
  </si>
  <si>
    <t>Net due to related foreign offices, all commercial banks, seasonally adjusted</t>
  </si>
  <si>
    <t>Other liabilities, all commercial banks, seasonally adjusted</t>
  </si>
  <si>
    <t>Total liabilities, all commercial banks, seasonally adjusted</t>
  </si>
  <si>
    <t>Residual (assets less liabilities), all commercial banks, seasonally adjusted</t>
  </si>
  <si>
    <t>Net unrealized gains (losses) on available-for-sale securities, all commercial banks, seasonally adjusted</t>
  </si>
  <si>
    <t>U.S. Treasury and agency securities, MBS, all commercial banks, seasonally adjusted</t>
  </si>
  <si>
    <t>Unit:</t>
  </si>
  <si>
    <t>Currency</t>
  </si>
  <si>
    <t>Multiplier:</t>
  </si>
  <si>
    <t>Currency:</t>
  </si>
  <si>
    <t>USD</t>
  </si>
  <si>
    <t>Unique Identifier:</t>
  </si>
  <si>
    <t>H8/H8/B1001NCBAM</t>
  </si>
  <si>
    <t>H8/H8/B1002NCBAM</t>
  </si>
  <si>
    <t>H8/H8/B1003NCBAM</t>
  </si>
  <si>
    <t>H8/H8/B1301NCBAM</t>
  </si>
  <si>
    <t>H8/H8/B1302NCBAM</t>
  </si>
  <si>
    <t>H8/H8/B1011NCBAM</t>
  </si>
  <si>
    <t>H8/H8/B1303NCBAM</t>
  </si>
  <si>
    <t>H8/H8/B1304NCBAM</t>
  </si>
  <si>
    <t>H8/H8/B1020NCBAM</t>
  </si>
  <si>
    <t>H8/H8/B1023NCBAM</t>
  </si>
  <si>
    <t>H8/H8/B1026NCBAM</t>
  </si>
  <si>
    <t>H8/H8/B1221NCBAM</t>
  </si>
  <si>
    <t>H8/H8/B1027NCBAM</t>
  </si>
  <si>
    <t>H8/H8/B1220NCBAM</t>
  </si>
  <si>
    <t>H8/H8/B3219NCBAM</t>
  </si>
  <si>
    <t>H8/H8/B1215NCBAM</t>
  </si>
  <si>
    <t>H8/H8/B1216NCBAM</t>
  </si>
  <si>
    <t>H8/H8/B1217NCBAM</t>
  </si>
  <si>
    <t>H8/H8/B1218NCBAM</t>
  </si>
  <si>
    <t>H8/H8/B1029NCBAM</t>
  </si>
  <si>
    <t>H8/H8/B1247NCBAM</t>
  </si>
  <si>
    <t>H8/H8/B3248NCBAM</t>
  </si>
  <si>
    <t>H8/H8/B1243NCBAM</t>
  </si>
  <si>
    <t>H8/H8/B1245NCBAM</t>
  </si>
  <si>
    <t>H8/H8/B3305NCBAM</t>
  </si>
  <si>
    <t>H8/H8/B1030NCBAM</t>
  </si>
  <si>
    <t>H8/H8/B1310NCBAM</t>
  </si>
  <si>
    <t>H8/H8/B1043NCBAM</t>
  </si>
  <si>
    <t>H8/H8/B1048NCBAM</t>
  </si>
  <si>
    <t>H8/H8/B3092NCBAM</t>
  </si>
  <si>
    <t>H8/H8/B1047NCBAM</t>
  </si>
  <si>
    <t>H8/H8/B3053NCBAM</t>
  </si>
  <si>
    <t>H8/H8/B1151NCBAM</t>
  </si>
  <si>
    <t>H8/H8/B1058NCBAM</t>
  </si>
  <si>
    <t>H8/H8/B1072NCBAM</t>
  </si>
  <si>
    <t>H8/H8/B1110NCBAM</t>
  </si>
  <si>
    <t>H8/H8/B3094NCBAM</t>
  </si>
  <si>
    <t>H8/H8/B1100NCBAM</t>
  </si>
  <si>
    <t>H8/H8/B3095NCBAM</t>
  </si>
  <si>
    <t>H8/H8/B1152NCBAM</t>
  </si>
  <si>
    <t>H8/H8/B1091NCBAM</t>
  </si>
  <si>
    <t>H8/H8/B1231NCBAM</t>
  </si>
  <si>
    <t>H8/H8/B8321NCBAM</t>
  </si>
  <si>
    <t>Time Period</t>
  </si>
  <si>
    <t>B1001NCBAM</t>
  </si>
  <si>
    <t>B1002NCBAM</t>
  </si>
  <si>
    <t>B1003NCBAM</t>
  </si>
  <si>
    <t>B1301NCBAM</t>
  </si>
  <si>
    <t>B1302NCBAM</t>
  </si>
  <si>
    <t>B1011NCBAM</t>
  </si>
  <si>
    <t>B1303NCBAM</t>
  </si>
  <si>
    <t>B1304NCBAM</t>
  </si>
  <si>
    <t>B1020NCBAM</t>
  </si>
  <si>
    <t>B1023NCBAM</t>
  </si>
  <si>
    <t>B1026NCBAM</t>
  </si>
  <si>
    <t>B1221NCBAM</t>
  </si>
  <si>
    <t>B1027NCBAM</t>
  </si>
  <si>
    <t>B1220NCBAM</t>
  </si>
  <si>
    <t>B3219NCBAM</t>
  </si>
  <si>
    <t>B1215NCBAM</t>
  </si>
  <si>
    <t>B1216NCBAM</t>
  </si>
  <si>
    <t>B1217NCBAM</t>
  </si>
  <si>
    <t>B1218NCBAM</t>
  </si>
  <si>
    <t>B1029NCBAM</t>
  </si>
  <si>
    <t>B1247NCBAM</t>
  </si>
  <si>
    <t>B3248NCBAM</t>
  </si>
  <si>
    <t>B1243NCBAM</t>
  </si>
  <si>
    <t>B1245NCBAM</t>
  </si>
  <si>
    <t>B3305NCBAM</t>
  </si>
  <si>
    <t>B1030NCBAM</t>
  </si>
  <si>
    <t>B1310NCBAM</t>
  </si>
  <si>
    <t>B1043NCBAM</t>
  </si>
  <si>
    <t>B1048NCBAM</t>
  </si>
  <si>
    <t>B3092NCBAM</t>
  </si>
  <si>
    <t>B1047NCBAM</t>
  </si>
  <si>
    <t>B3053NCBAM</t>
  </si>
  <si>
    <t>B1151NCBAM</t>
  </si>
  <si>
    <t>B1058NCBAM</t>
  </si>
  <si>
    <t>B1072NCBAM</t>
  </si>
  <si>
    <t>B1110NCBAM</t>
  </si>
  <si>
    <t>B3094NCBAM</t>
  </si>
  <si>
    <t>B1100NCBAM</t>
  </si>
  <si>
    <t>B3095NCBAM</t>
  </si>
  <si>
    <t>B1152NCBAM</t>
  </si>
  <si>
    <t>B1091NCBAM</t>
  </si>
  <si>
    <t>B1231NCBAM</t>
  </si>
  <si>
    <t>B8321NCBAM</t>
  </si>
  <si>
    <t>1947-01</t>
  </si>
  <si>
    <t/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</si>
  <si>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</si>
  <si>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</si>
  <si>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</si>
  <si>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</si>
  <si>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</si>
  <si>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</si>
  <si>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</si>
  <si>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</si>
  <si>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</si>
  <si>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</si>
  <si>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</si>
  <si>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</si>
  <si>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</si>
  <si>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</si>
  <si>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</si>
  <si>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</si>
  <si>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</si>
  <si>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</si>
  <si>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</si>
  <si>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</si>
  <si>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</si>
  <si>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</si>
  <si>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</si>
  <si>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</si>
  <si>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</si>
  <si>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</si>
  <si>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</si>
  <si>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</si>
  <si>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</si>
  <si>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</si>
  <si>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</si>
  <si>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</si>
  <si>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</si>
  <si>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</si>
  <si>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</si>
  <si>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</si>
  <si>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</si>
  <si>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</si>
  <si>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</si>
  <si>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</si>
  <si>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</si>
  <si>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</si>
  <si>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</si>
  <si>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</si>
  <si>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</si>
  <si>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</si>
  <si>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</si>
  <si>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</si>
  <si>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</si>
  <si>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</si>
  <si>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</si>
  <si>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</si>
  <si>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</si>
  <si>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</si>
  <si>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</si>
  <si>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</si>
  <si>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</si>
  <si>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</si>
  <si>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</si>
  <si>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</si>
  <si>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</si>
  <si>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</si>
  <si>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</si>
  <si>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</si>
  <si>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</si>
  <si>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</si>
  <si>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</si>
  <si>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</si>
  <si>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</si>
  <si>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</si>
  <si>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</si>
  <si>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</si>
  <si>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</si>
  <si>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</si>
  <si>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</si>
  <si>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</si>
  <si>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</si>
  <si>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</si>
  <si>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</si>
  <si>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</si>
  <si>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</si>
  <si>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</si>
  <si>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</si>
  <si>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</si>
  <si>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</si>
  <si>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</si>
  <si>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</si>
  <si>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</si>
  <si>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</si>
  <si>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</si>
  <si>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</si>
  <si>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</si>
  <si>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</si>
  <si>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</si>
  <si>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</si>
  <si>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</si>
  <si>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</si>
  <si>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</si>
  <si>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</si>
  <si>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</si>
  <si>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</si>
  <si>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</si>
  <si>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</si>
  <si>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</si>
  <si>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</si>
  <si>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</si>
  <si>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</si>
  <si>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</si>
  <si>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</si>
  <si>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</si>
  <si>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</si>
  <si>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</si>
  <si>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</si>
  <si>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</si>
  <si>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</si>
  <si>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</si>
  <si>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</si>
  <si>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</si>
  <si>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</si>
  <si>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</si>
  <si>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</si>
  <si>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</si>
  <si>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</si>
  <si>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</si>
  <si>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</si>
  <si>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</si>
  <si>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</si>
  <si>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</si>
  <si>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</si>
  <si>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</si>
  <si>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</si>
  <si>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</si>
  <si>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</si>
  <si>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</si>
  <si>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</si>
  <si>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</si>
  <si>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</si>
  <si>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</si>
  <si>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</si>
  <si>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</si>
  <si>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</si>
  <si>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</si>
  <si>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</si>
  <si>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</si>
  <si>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</si>
  <si>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</si>
  <si>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</si>
  <si>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</si>
  <si>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</si>
  <si>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</si>
  <si>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</si>
  <si>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</si>
  <si>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</si>
  <si>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</si>
  <si>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</si>
  <si>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</si>
  <si>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</si>
  <si>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</si>
  <si>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</si>
  <si>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</si>
  <si>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</si>
  <si>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</si>
  <si>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</si>
  <si>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</si>
  <si>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</si>
  <si>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</si>
  <si>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</si>
  <si>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</si>
  <si>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</si>
  <si>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</si>
  <si>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</si>
  <si>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</si>
  <si>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</si>
  <si>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</si>
  <si>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</si>
  <si>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</si>
  <si>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</si>
  <si>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</si>
  <si>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</si>
  <si>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</si>
  <si>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</si>
  <si>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</si>
  <si>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</si>
  <si>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</si>
  <si>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</si>
  <si>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</si>
  <si>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</si>
  <si>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</si>
  <si>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</si>
  <si>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</si>
  <si>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</si>
  <si>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</si>
  <si>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</si>
  <si>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</si>
  <si>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</si>
  <si>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</si>
  <si>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</si>
  <si>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</si>
  <si>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</si>
  <si>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</si>
  <si>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</si>
  <si>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</si>
  <si>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</si>
  <si>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</si>
  <si>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</si>
  <si>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</si>
  <si>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</si>
  <si>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</si>
  <si>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</si>
  <si>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</si>
  <si>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</si>
  <si>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</si>
  <si>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</si>
  <si>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</si>
  <si>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</si>
  <si>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</si>
  <si>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</si>
  <si>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</si>
  <si>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</si>
  <si>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</si>
  <si>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</si>
  <si>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</si>
  <si>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</si>
  <si>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</si>
  <si>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</si>
  <si>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</si>
  <si>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</si>
  <si>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</si>
  <si>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</si>
  <si>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</si>
  <si>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</si>
  <si>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</si>
  <si>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</si>
  <si>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</si>
  <si>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</si>
  <si>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</si>
  <si>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</si>
  <si>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</si>
  <si>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</si>
  <si>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</si>
  <si>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</si>
  <si>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</si>
  <si>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</si>
  <si>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</si>
  <si>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</si>
  <si>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</si>
  <si>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</si>
  <si>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</si>
  <si>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</si>
  <si>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</si>
  <si>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</si>
  <si>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</si>
  <si>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</si>
  <si>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</si>
  <si>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</si>
  <si>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</si>
  <si>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</si>
  <si>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</si>
  <si>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</si>
  <si>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</si>
  <si>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</si>
  <si>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</si>
  <si>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</si>
  <si>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</si>
  <si>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</si>
  <si>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</si>
  <si>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</si>
  <si>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</si>
  <si>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</si>
  <si>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</si>
  <si>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</si>
  <si>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</si>
  <si>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</si>
  <si>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</si>
  <si>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</si>
  <si>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</si>
  <si>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</si>
  <si>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</si>
  <si>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</si>
  <si>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</si>
  <si>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</si>
  <si>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</si>
  <si>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</si>
  <si>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</si>
  <si>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</si>
  <si>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</si>
  <si>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</si>
  <si>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</si>
  <si>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</si>
  <si>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</si>
  <si>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</si>
  <si>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</si>
  <si>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</si>
  <si>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</si>
  <si>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</si>
  <si>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</si>
  <si>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</si>
  <si>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</si>
  <si>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</si>
  <si>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</si>
  <si>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</si>
  <si>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</si>
  <si>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</si>
  <si>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</si>
  <si>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</si>
  <si>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</si>
  <si>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</si>
  <si>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</si>
  <si>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</si>
  <si>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</si>
  <si>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</si>
  <si>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</si>
  <si>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</si>
  <si>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</si>
  <si>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</si>
  <si>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</si>
  <si>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</si>
  <si>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</si>
  <si>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</si>
  <si>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</si>
  <si>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</si>
  <si>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</si>
  <si>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</si>
  <si>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</si>
  <si>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</si>
  <si>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</si>
  <si>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</si>
  <si>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</si>
  <si>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</si>
  <si>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</si>
  <si>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</si>
  <si>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</si>
  <si>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</si>
  <si>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</si>
  <si>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</si>
  <si>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</si>
  <si>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</si>
  <si>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</si>
  <si>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</si>
  <si>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</si>
  <si>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</si>
  <si>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</si>
  <si>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</si>
  <si>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</si>
  <si>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</si>
  <si>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</si>
  <si>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</si>
  <si>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</si>
  <si>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</si>
  <si>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</si>
  <si>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</si>
  <si>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</si>
  <si>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</si>
  <si>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</si>
  <si>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</si>
  <si>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</si>
  <si>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</si>
  <si>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</si>
  <si>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</si>
  <si>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</si>
  <si>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</si>
  <si>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</si>
  <si>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</si>
  <si>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</si>
  <si>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</si>
  <si>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</si>
  <si>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</si>
  <si>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</si>
  <si>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</si>
  <si>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</si>
  <si>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</si>
  <si>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</si>
  <si>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</si>
  <si>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</si>
  <si>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</si>
  <si>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</si>
  <si>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</si>
  <si>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</si>
  <si>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</si>
  <si>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</si>
  <si>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</si>
  <si>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</si>
  <si>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</si>
  <si>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</si>
  <si>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</si>
  <si>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</si>
  <si>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</si>
  <si>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</si>
  <si>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</si>
  <si>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</si>
  <si>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</si>
  <si>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</si>
  <si>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</si>
  <si>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</si>
  <si>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</si>
  <si>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</si>
  <si>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</si>
  <si>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</si>
  <si>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</si>
  <si>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</si>
  <si>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</si>
  <si>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</si>
  <si>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</si>
  <si>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</si>
  <si>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</si>
  <si>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</si>
  <si>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</si>
  <si>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</si>
  <si>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</si>
  <si>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</si>
  <si>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</si>
  <si>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</si>
  <si>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</si>
  <si>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</si>
  <si>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</si>
  <si>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</si>
  <si>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</si>
  <si>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</si>
  <si>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</si>
  <si>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</si>
  <si>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</si>
  <si>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</si>
  <si>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</si>
  <si>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</si>
  <si>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</si>
  <si>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</si>
  <si>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</si>
  <si>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</si>
  <si>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</si>
  <si>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</si>
  <si>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</si>
  <si>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</si>
  <si>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</si>
  <si>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</si>
  <si>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</si>
  <si>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</si>
  <si>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</si>
  <si>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</si>
  <si>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</si>
  <si>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</si>
  <si>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</si>
  <si>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</si>
  <si>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</si>
  <si>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</si>
  <si>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</si>
  <si>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</si>
  <si>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</si>
  <si>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</si>
  <si>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</si>
  <si>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</si>
  <si>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</si>
  <si>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</si>
  <si>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</si>
  <si>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</si>
  <si>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</si>
  <si>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</si>
  <si>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</si>
  <si>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</si>
  <si>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</si>
  <si>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</si>
  <si>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</si>
  <si>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</si>
  <si>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</si>
  <si>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</si>
  <si>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</si>
  <si>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</si>
  <si>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</si>
  <si>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</si>
  <si>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</si>
  <si>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</si>
  <si>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</si>
  <si>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</si>
  <si>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</si>
  <si>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</si>
  <si>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</si>
  <si>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</si>
  <si>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</si>
  <si>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</si>
  <si>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</si>
  <si>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</si>
  <si>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</si>
  <si>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</si>
  <si>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</si>
  <si>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</si>
  <si>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</si>
  <si>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</si>
  <si>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</si>
  <si>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</si>
  <si>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</si>
  <si>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</si>
  <si>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</si>
  <si>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</si>
  <si>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</si>
  <si>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</si>
  <si>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</si>
  <si>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</si>
  <si>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</si>
  <si>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</si>
  <si>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</si>
  <si>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</si>
  <si>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</si>
  <si>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</si>
  <si>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</si>
  <si>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</si>
  <si>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</si>
  <si>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</si>
  <si>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</si>
  <si>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</si>
  <si>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</si>
  <si>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</si>
  <si>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</si>
  <si>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</si>
  <si>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</si>
  <si>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</si>
  <si>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</si>
  <si>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</si>
  <si>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</si>
  <si>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</si>
  <si>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</si>
  <si>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</si>
  <si>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</si>
  <si>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</si>
  <si>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</si>
  <si>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</si>
  <si>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</si>
  <si>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</si>
  <si>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</si>
  <si>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</si>
  <si>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</si>
  <si>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</si>
  <si>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</si>
  <si>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</si>
  <si>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</si>
  <si>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</si>
  <si>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</si>
  <si>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</si>
  <si>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</si>
  <si>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</si>
  <si>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</si>
  <si>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</si>
  <si>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</si>
  <si>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</si>
  <si>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</si>
  <si>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</si>
  <si>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</si>
  <si>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</si>
  <si>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</si>
  <si>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</si>
  <si>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</si>
  <si>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</si>
  <si>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</si>
  <si>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</si>
  <si>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</si>
  <si>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</si>
  <si>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</si>
  <si>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</si>
  <si>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</si>
  <si>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</si>
  <si>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</si>
  <si>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</si>
  <si>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</si>
  <si>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</si>
  <si>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</si>
  <si>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</si>
  <si>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</si>
  <si>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</si>
  <si>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</si>
  <si>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</si>
  <si>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</si>
  <si>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</si>
  <si>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</si>
  <si>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</si>
  <si>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</si>
  <si>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</si>
  <si>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</si>
  <si>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</si>
  <si>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</si>
  <si>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</si>
  <si>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</si>
  <si>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</si>
  <si>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</si>
  <si>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</si>
  <si>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</si>
  <si>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</si>
  <si>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</si>
  <si>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</si>
  <si>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</si>
  <si>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</si>
  <si>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</si>
  <si>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</si>
  <si>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</si>
  <si>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</si>
  <si>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</si>
  <si>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</si>
  <si>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</si>
  <si>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</si>
  <si>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</si>
  <si>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</si>
  <si>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</si>
  <si>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</si>
  <si>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</si>
  <si>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</si>
  <si>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</si>
  <si>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</si>
  <si>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</si>
  <si>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</si>
  <si>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</si>
  <si>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</si>
  <si>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</si>
  <si>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</si>
  <si>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</si>
  <si>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</si>
  <si>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</si>
  <si>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</si>
  <si>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</si>
  <si>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</si>
  <si>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</si>
  <si>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</si>
  <si>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</si>
  <si>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</si>
  <si>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</si>
  <si>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</si>
  <si>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</si>
  <si>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</si>
  <si>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</si>
  <si>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</si>
  <si>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</si>
  <si>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</si>
  <si>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</si>
  <si>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</si>
  <si>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</si>
  <si>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</si>
  <si>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</si>
  <si>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</si>
  <si>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</si>
  <si>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</si>
  <si>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</si>
  <si>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</si>
  <si>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</si>
  <si>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</si>
  <si>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</si>
  <si>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</si>
  <si>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</si>
  <si>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</si>
  <si>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</si>
  <si>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</si>
  <si>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</si>
  <si>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</si>
  <si>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</si>
  <si>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</si>
  <si>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</si>
  <si>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</si>
  <si>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</si>
  <si>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</si>
  <si>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</si>
  <si>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</si>
  <si>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</si>
  <si>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</si>
  <si>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</si>
  <si>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</si>
  <si>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</si>
  <si>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</si>
  <si>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</si>
  <si>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</si>
  <si>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</si>
  <si>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</si>
  <si>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</si>
  <si>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</si>
  <si>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</si>
  <si>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</si>
  <si>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</si>
  <si>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</si>
  <si>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</si>
  <si>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</si>
  <si>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</si>
  <si>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</si>
  <si>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</si>
  <si>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</si>
  <si>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</si>
  <si>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</si>
  <si>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</si>
  <si>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</si>
  <si>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</si>
  <si>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</si>
  <si>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</si>
  <si>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</si>
  <si>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</si>
  <si>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</si>
  <si>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</si>
  <si>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</si>
  <si>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</si>
  <si>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</si>
  <si>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</si>
  <si>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</si>
  <si>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</si>
  <si>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</si>
  <si>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</si>
  <si>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</si>
  <si>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</si>
  <si>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</si>
  <si>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</si>
  <si>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</si>
  <si>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</si>
  <si>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</si>
  <si>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</si>
  <si>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</si>
  <si>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</si>
  <si>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</si>
  <si>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</si>
  <si>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</si>
  <si>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</si>
  <si>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</si>
  <si>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</si>
  <si>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</si>
  <si>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</si>
  <si>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</si>
  <si>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</si>
  <si>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</si>
  <si>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</si>
  <si>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</si>
  <si>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</si>
  <si>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</si>
  <si>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</si>
  <si>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</si>
  <si>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</si>
  <si>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</si>
  <si>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</si>
  <si>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</si>
  <si>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</si>
  <si>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</si>
  <si>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</si>
  <si>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</si>
  <si>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</si>
  <si>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</si>
  <si>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</si>
  <si>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</si>
  <si>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</si>
  <si>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</si>
  <si>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</si>
  <si>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</si>
  <si>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</si>
  <si>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</si>
  <si>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</si>
  <si>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</si>
  <si>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</si>
  <si>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</si>
  <si>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</si>
  <si>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</si>
  <si>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</si>
  <si>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</si>
  <si>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</si>
  <si>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</si>
  <si>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</si>
  <si>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</si>
  <si>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</si>
  <si>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</si>
  <si>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</si>
  <si>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</si>
  <si>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</si>
  <si>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</si>
  <si>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</si>
  <si>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</si>
  <si>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</si>
  <si>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</si>
  <si>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</si>
  <si>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</si>
  <si>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</si>
  <si>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</si>
  <si>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</si>
  <si>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</si>
  <si>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</si>
  <si>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</si>
  <si>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</si>
  <si>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</si>
  <si>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</si>
  <si>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</si>
  <si>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</si>
  <si>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</si>
  <si>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</si>
  <si>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</si>
  <si>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</si>
  <si>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</si>
  <si>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</si>
  <si>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</si>
  <si>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</si>
  <si>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</si>
  <si>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</si>
  <si>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</si>
  <si>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</si>
  <si>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</si>
  <si>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</si>
  <si>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</si>
  <si>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</si>
  <si>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</si>
  <si>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</si>
  <si>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</si>
  <si>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</si>
  <si>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</si>
  <si>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</si>
  <si>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</si>
  <si>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</si>
  <si>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</si>
  <si>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</si>
  <si>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</si>
  <si>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</si>
  <si>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</si>
  <si>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</si>
  <si>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</si>
  <si>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</si>
  <si>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</si>
  <si>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</si>
  <si>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</si>
  <si>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</si>
  <si>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</si>
  <si>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</si>
  <si>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</si>
  <si>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</si>
  <si>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</si>
  <si>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</si>
  <si>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</si>
  <si>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</si>
  <si>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</si>
  <si>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</si>
  <si>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</si>
  <si>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</si>
  <si>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</si>
  <si>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</si>
  <si>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</si>
  <si>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</si>
  <si>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</si>
  <si>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</si>
  <si>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</si>
  <si>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</si>
  <si>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</si>
  <si>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</si>
  <si>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</si>
  <si>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</si>
  <si>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</si>
  <si>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</si>
  <si>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</si>
  <si>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</si>
  <si>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</si>
  <si>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</si>
  <si>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</si>
  <si>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</si>
  <si>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</si>
  <si>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</si>
  <si>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</si>
  <si>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</si>
  <si>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</si>
  <si>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</si>
  <si>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</si>
  <si>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</si>
  <si>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</si>
  <si>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</si>
  <si>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</si>
  <si>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</si>
  <si>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</si>
  <si>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</si>
  <si>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</si>
  <si>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</si>
  <si>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</si>
  <si>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</si>
  <si>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</si>
  <si>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</si>
  <si>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</si>
  <si>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</si>
  <si>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</si>
  <si>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</si>
  <si>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</si>
  <si>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</si>
  <si>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</si>
  <si>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</si>
  <si>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</si>
  <si>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</si>
  <si>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</si>
  <si>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</si>
  <si>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</si>
  <si>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</si>
  <si>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</si>
  <si>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</si>
  <si>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</si>
  <si>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</si>
  <si>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</si>
  <si>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</si>
  <si>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</si>
  <si>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</si>
  <si>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</si>
  <si>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</si>
  <si>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</si>
  <si>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</si>
  <si>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</si>
  <si>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</si>
  <si>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</si>
  <si>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</si>
  <si>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</si>
  <si>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</si>
  <si>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</si>
  <si>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</si>
  <si>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</si>
  <si>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</si>
  <si>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Time</t>
  </si>
  <si>
    <t>Credit Card</t>
  </si>
  <si>
    <t>Total Asset</t>
  </si>
  <si>
    <t>Total Liability</t>
  </si>
  <si>
    <t>Other Asset</t>
  </si>
  <si>
    <t>OA / CC</t>
  </si>
  <si>
    <t>TL / CC</t>
  </si>
  <si>
    <t>TA / CC</t>
  </si>
  <si>
    <t>Residual (NW)</t>
  </si>
  <si>
    <t>TA / NW</t>
  </si>
  <si>
    <t>TA / TL</t>
  </si>
  <si>
    <t>Avg OA/CC</t>
  </si>
  <si>
    <t>Avg TA/TL</t>
  </si>
  <si>
    <t>Avg TL/CC</t>
  </si>
  <si>
    <t>CC / TA</t>
    <phoneticPr fontId="26" type="noConversion"/>
  </si>
  <si>
    <t>Avg CC/TA</t>
    <phoneticPr fontId="26" type="noConversion"/>
  </si>
  <si>
    <t>Avg TA/NW</t>
    <phoneticPr fontId="26" type="noConversion"/>
  </si>
  <si>
    <t>Large time deposits, all commercial banks, seasonally adjusted</t>
    <phoneticPr fontId="26" type="noConversion"/>
  </si>
  <si>
    <t>Credit Card</t>
    <phoneticPr fontId="26" type="noConversion"/>
  </si>
  <si>
    <t>Consumer Credit</t>
    <phoneticPr fontId="26" type="noConversion"/>
  </si>
  <si>
    <t>Deposits</t>
    <phoneticPr fontId="26" type="noConversion"/>
  </si>
  <si>
    <t>Net Worth</t>
    <phoneticPr fontId="26" type="noConversion"/>
  </si>
  <si>
    <t>TA / Deposits</t>
    <phoneticPr fontId="26" type="noConversion"/>
  </si>
  <si>
    <t>Deposits / CC</t>
    <phoneticPr fontId="26" type="noConversion"/>
  </si>
  <si>
    <t>Avg D/CC</t>
    <phoneticPr fontId="26" type="noConversion"/>
  </si>
  <si>
    <t>Avg TA/D</t>
    <phoneticPr fontId="26" type="noConversion"/>
  </si>
  <si>
    <t>Total Deposits</t>
    <phoneticPr fontId="26" type="noConversion"/>
  </si>
  <si>
    <t>Residual (NW) - D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</si>
</sst>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9" x14ac:knownFonts="1">
    <font>
      <sz val="10"/>
      <name val="Arial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4"/>
      <name val="Times New Roman"/>
      <family val="1"/>
    </font>
    <font>
      <u/>
      <sz val="10"/>
      <color indexed="12"/>
      <name val="Arial"/>
      <family val="2"/>
    </font>
    <font>
      <b/>
      <sz val="14"/>
      <color rgb="FF0000FF"/>
      <name val="Times New Roman"/>
      <family val="1"/>
      <charset val="136"/>
    </font>
    <font>
      <b/>
      <sz val="10"/>
      <color rgb="FF0000FF"/>
      <name val="Arial"/>
      <family val="2"/>
      <charset val="136"/>
    </font>
    <font>
      <b/>
      <sz val="14"/>
      <name val="Times New Roman"/>
      <family val="1"/>
      <charset val="136"/>
    </font>
    <font>
      <b/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9"/>
      <name val="細明體"/>
      <family val="3"/>
      <charset val="136"/>
    </font>
    <font>
      <b/>
      <sz val="12"/>
      <color rgb="FF0000FF"/>
      <name val="Times New Roman"/>
      <family val="1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0" fontId="18" fillId="33" borderId="0" xfId="0" applyFont="1" applyFill="1"/>
    <xf numFmtId="0" fontId="19" fillId="33" borderId="0" xfId="0" applyFont="1" applyFill="1"/>
    <xf numFmtId="0" fontId="0" fillId="34" borderId="10" xfId="0" applyFill="1" applyBorder="1"/>
    <xf numFmtId="0" fontId="0" fillId="33" borderId="11" xfId="0" applyFill="1" applyBorder="1"/>
    <xf numFmtId="0" fontId="20" fillId="33" borderId="0" xfId="0" applyFont="1" applyFill="1"/>
    <xf numFmtId="0" fontId="21" fillId="0" borderId="0" xfId="0" applyFont="1"/>
    <xf numFmtId="0" fontId="21" fillId="33" borderId="11" xfId="0" applyFont="1" applyFill="1" applyBorder="1"/>
    <xf numFmtId="0" fontId="22" fillId="33" borderId="0" xfId="0" applyFont="1" applyFill="1"/>
    <xf numFmtId="0" fontId="23" fillId="0" borderId="0" xfId="0" applyFont="1"/>
    <xf numFmtId="0" fontId="23" fillId="33" borderId="11" xfId="0" applyFont="1" applyFill="1" applyBorder="1"/>
    <xf numFmtId="1" fontId="0" fillId="0" borderId="0" xfId="0" applyNumberFormat="1"/>
    <xf numFmtId="1" fontId="21" fillId="0" borderId="0" xfId="0" applyNumberFormat="1" applyFont="1"/>
    <xf numFmtId="1" fontId="23" fillId="0" borderId="0" xfId="0" applyNumberFormat="1" applyFont="1"/>
    <xf numFmtId="0" fontId="24" fillId="0" borderId="0" xfId="0" applyFont="1" applyAlignment="1">
      <alignment horizontal="right"/>
    </xf>
    <xf numFmtId="0" fontId="25" fillId="35" borderId="12" xfId="0" applyFont="1" applyFill="1" applyBorder="1" applyAlignment="1">
      <alignment horizontal="right"/>
    </xf>
    <xf numFmtId="0" fontId="25" fillId="35" borderId="14" xfId="0" applyFont="1" applyFill="1" applyBorder="1" applyAlignment="1">
      <alignment horizontal="center"/>
    </xf>
    <xf numFmtId="0" fontId="24" fillId="0" borderId="13" xfId="0" applyFont="1" applyBorder="1" applyAlignment="1">
      <alignment horizontal="center"/>
    </xf>
    <xf numFmtId="1" fontId="24" fillId="0" borderId="13" xfId="0" applyNumberFormat="1" applyFont="1" applyBorder="1" applyAlignment="1">
      <alignment horizontal="center"/>
    </xf>
    <xf numFmtId="0" fontId="25" fillId="35" borderId="16" xfId="0" applyFont="1" applyFill="1" applyBorder="1" applyAlignment="1">
      <alignment horizontal="center"/>
    </xf>
    <xf numFmtId="1" fontId="24" fillId="0" borderId="15" xfId="0" applyNumberFormat="1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2" fontId="24" fillId="0" borderId="15" xfId="0" applyNumberFormat="1" applyFont="1" applyBorder="1" applyAlignment="1">
      <alignment horizontal="center"/>
    </xf>
    <xf numFmtId="0" fontId="24" fillId="35" borderId="13" xfId="0" applyFont="1" applyFill="1" applyBorder="1" applyAlignment="1">
      <alignment horizontal="center"/>
    </xf>
    <xf numFmtId="0" fontId="27" fillId="35" borderId="13" xfId="0" applyFont="1" applyFill="1" applyBorder="1" applyAlignment="1">
      <alignment horizontal="center"/>
    </xf>
    <xf numFmtId="1" fontId="27" fillId="0" borderId="15" xfId="0" applyNumberFormat="1" applyFont="1" applyBorder="1" applyAlignment="1">
      <alignment horizontal="center"/>
    </xf>
    <xf numFmtId="1" fontId="27" fillId="0" borderId="13" xfId="0" applyNumberFormat="1" applyFont="1" applyBorder="1" applyAlignment="1">
      <alignment horizontal="center"/>
    </xf>
    <xf numFmtId="2" fontId="27" fillId="0" borderId="15" xfId="0" applyNumberFormat="1" applyFont="1" applyBorder="1" applyAlignment="1">
      <alignment horizontal="center"/>
    </xf>
    <xf numFmtId="0" fontId="27" fillId="0" borderId="0" xfId="0" applyFont="1" applyAlignment="1">
      <alignment horizontal="right"/>
    </xf>
    <xf numFmtId="176" fontId="27" fillId="0" borderId="0" xfId="0" applyNumberFormat="1" applyFont="1" applyAlignment="1">
      <alignment horizontal="right"/>
    </xf>
    <xf numFmtId="176" fontId="24" fillId="0" borderId="15" xfId="0" applyNumberFormat="1" applyFont="1" applyBorder="1" applyAlignment="1">
      <alignment horizontal="center"/>
    </xf>
    <xf numFmtId="176" fontId="27" fillId="0" borderId="15" xfId="0" applyNumberFormat="1" applyFont="1" applyBorder="1" applyAlignment="1">
      <alignment horizontal="center"/>
    </xf>
    <xf numFmtId="1" fontId="24" fillId="0" borderId="15" xfId="0" applyNumberFormat="1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1" fontId="27" fillId="0" borderId="15" xfId="0" applyNumberFormat="1" applyFont="1" applyFill="1" applyBorder="1" applyAlignment="1">
      <alignment horizontal="center"/>
    </xf>
    <xf numFmtId="0" fontId="28" fillId="0" borderId="0" xfId="0" applyFont="1"/>
    <xf numFmtId="0" fontId="24" fillId="35" borderId="14" xfId="0" applyFont="1" applyFill="1" applyBorder="1" applyAlignment="1">
      <alignment horizontal="center"/>
    </xf>
    <xf numFmtId="1" fontId="24" fillId="0" borderId="16" xfId="0" applyNumberFormat="1" applyFont="1" applyFill="1" applyBorder="1" applyAlignment="1">
      <alignment horizontal="center"/>
    </xf>
    <xf numFmtId="1" fontId="24" fillId="0" borderId="16" xfId="0" applyNumberFormat="1" applyFont="1" applyBorder="1" applyAlignment="1">
      <alignment horizontal="center"/>
    </xf>
    <xf numFmtId="1" fontId="24" fillId="0" borderId="14" xfId="0" applyNumberFormat="1" applyFont="1" applyBorder="1" applyAlignment="1">
      <alignment horizontal="center"/>
    </xf>
    <xf numFmtId="176" fontId="24" fillId="0" borderId="16" xfId="0" applyNumberFormat="1" applyFont="1" applyBorder="1" applyAlignment="1">
      <alignment horizontal="center"/>
    </xf>
    <xf numFmtId="0" fontId="27" fillId="0" borderId="12" xfId="0" applyFont="1" applyBorder="1" applyAlignment="1">
      <alignment horizontal="right"/>
    </xf>
    <xf numFmtId="0" fontId="24" fillId="0" borderId="12" xfId="0" applyFont="1" applyBorder="1" applyAlignment="1">
      <alignment horizontal="right"/>
    </xf>
    <xf numFmtId="0" fontId="27" fillId="0" borderId="0" xfId="0" applyFont="1" applyAlignment="1">
      <alignment horizontal="center"/>
    </xf>
    <xf numFmtId="176" fontId="27" fillId="0" borderId="0" xfId="0" applyNumberFormat="1" applyFont="1" applyAlignment="1">
      <alignment horizontal="center"/>
    </xf>
    <xf numFmtId="0" fontId="23" fillId="33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ederalreserve.gov/datadownload/Output.aspx?rel=H8&amp;series=9c11dc6ad1288b9a2d155c0df14a3809&amp;lastobs=&amp;from=&amp;to=&amp;filetype=spreadsheetml&amp;label=include&amp;layout=seriescolum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09"/>
  <sheetViews>
    <sheetView topLeftCell="A690" workbookViewId="0">
      <selection activeCell="AO1" sqref="AO1:AO1048576"/>
    </sheetView>
  </sheetViews>
  <sheetFormatPr defaultRowHeight="12.7" x14ac:dyDescent="0.4"/>
  <cols>
    <col min="1" max="1" width="17.1171875" bestFit="1" customWidth="1"/>
    <col min="2" max="20" width="0" hidden="1" customWidth="1"/>
    <col min="22" max="22" width="9.1171875" style="6" customWidth="1"/>
    <col min="26" max="33" width="0" hidden="1" customWidth="1"/>
    <col min="34" max="34" width="9.1171875" style="9"/>
    <col min="41" max="41" width="9.1171875" style="9"/>
    <col min="45" max="45" width="11.234375" bestFit="1" customWidth="1"/>
  </cols>
  <sheetData>
    <row r="1" spans="1:45" s="1" customFormat="1" ht="17.7" x14ac:dyDescent="0.55000000000000004">
      <c r="A1" s="2" t="s">
        <v>0</v>
      </c>
      <c r="B1" s="1" t="s">
        <v>1</v>
      </c>
      <c r="V1" s="5"/>
      <c r="AH1" s="8"/>
      <c r="AO1" s="8"/>
    </row>
    <row r="2" spans="1:45" x14ac:dyDescent="0.4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s="6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s="9" t="s">
        <v>35</v>
      </c>
      <c r="AI2" t="s">
        <v>36</v>
      </c>
      <c r="AJ2" s="35" t="s">
        <v>1058</v>
      </c>
      <c r="AK2" t="s">
        <v>37</v>
      </c>
      <c r="AL2" t="s">
        <v>38</v>
      </c>
      <c r="AM2" t="s">
        <v>39</v>
      </c>
      <c r="AN2" t="s">
        <v>40</v>
      </c>
      <c r="AO2" s="9" t="s">
        <v>41</v>
      </c>
      <c r="AP2" t="s">
        <v>42</v>
      </c>
      <c r="AQ2" t="s">
        <v>43</v>
      </c>
      <c r="AR2" t="s">
        <v>44</v>
      </c>
      <c r="AS2" s="45" t="s">
        <v>1067</v>
      </c>
    </row>
    <row r="3" spans="1:45" x14ac:dyDescent="0.4">
      <c r="A3" t="s">
        <v>45</v>
      </c>
      <c r="B3" t="s">
        <v>46</v>
      </c>
      <c r="C3" t="s">
        <v>46</v>
      </c>
      <c r="D3" t="s">
        <v>46</v>
      </c>
      <c r="E3" t="s">
        <v>46</v>
      </c>
      <c r="F3" t="s">
        <v>46</v>
      </c>
      <c r="G3" t="s">
        <v>46</v>
      </c>
      <c r="H3" t="s">
        <v>46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46</v>
      </c>
      <c r="U3" t="s">
        <v>46</v>
      </c>
      <c r="V3" s="6" t="s">
        <v>46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s="9" t="s">
        <v>46</v>
      </c>
      <c r="AI3" t="s">
        <v>46</v>
      </c>
      <c r="AJ3" t="s">
        <v>46</v>
      </c>
      <c r="AK3" t="s">
        <v>46</v>
      </c>
      <c r="AL3" t="s">
        <v>46</v>
      </c>
      <c r="AM3" t="s">
        <v>46</v>
      </c>
      <c r="AN3" t="s">
        <v>46</v>
      </c>
      <c r="AO3" s="9" t="s">
        <v>46</v>
      </c>
      <c r="AP3" t="s">
        <v>46</v>
      </c>
      <c r="AQ3" t="s">
        <v>46</v>
      </c>
      <c r="AR3" t="s">
        <v>46</v>
      </c>
    </row>
    <row r="4" spans="1:45" x14ac:dyDescent="0.4">
      <c r="A4" t="s">
        <v>47</v>
      </c>
      <c r="B4">
        <v>1000000</v>
      </c>
      <c r="C4">
        <v>1000000</v>
      </c>
      <c r="D4">
        <v>1000000</v>
      </c>
      <c r="E4">
        <v>1000000</v>
      </c>
      <c r="F4">
        <v>1000000</v>
      </c>
      <c r="G4">
        <v>1000000</v>
      </c>
      <c r="H4">
        <v>1000000</v>
      </c>
      <c r="I4">
        <v>1000000</v>
      </c>
      <c r="J4">
        <v>1000000</v>
      </c>
      <c r="K4">
        <v>1000000</v>
      </c>
      <c r="L4">
        <v>1000000</v>
      </c>
      <c r="M4">
        <v>1000000</v>
      </c>
      <c r="N4">
        <v>1000000</v>
      </c>
      <c r="O4">
        <v>1000000</v>
      </c>
      <c r="P4">
        <v>1000000</v>
      </c>
      <c r="Q4">
        <v>1000000</v>
      </c>
      <c r="R4">
        <v>1000000</v>
      </c>
      <c r="S4">
        <v>1000000</v>
      </c>
      <c r="T4">
        <v>1000000</v>
      </c>
      <c r="U4">
        <v>1000000</v>
      </c>
      <c r="V4" s="6">
        <v>1000000</v>
      </c>
      <c r="W4">
        <v>1000000</v>
      </c>
      <c r="X4">
        <v>1000000</v>
      </c>
      <c r="Y4">
        <v>1000000</v>
      </c>
      <c r="Z4">
        <v>1000000</v>
      </c>
      <c r="AA4">
        <v>1000000</v>
      </c>
      <c r="AB4">
        <v>1000000</v>
      </c>
      <c r="AC4">
        <v>1000000</v>
      </c>
      <c r="AD4">
        <v>1000000</v>
      </c>
      <c r="AE4">
        <v>1000000</v>
      </c>
      <c r="AF4">
        <v>1000000</v>
      </c>
      <c r="AG4">
        <v>1000000</v>
      </c>
      <c r="AH4" s="9">
        <v>1000000</v>
      </c>
      <c r="AI4">
        <v>1000000</v>
      </c>
      <c r="AJ4">
        <v>1000000</v>
      </c>
      <c r="AK4">
        <v>1000000</v>
      </c>
      <c r="AL4">
        <v>1000000</v>
      </c>
      <c r="AM4">
        <v>1000000</v>
      </c>
      <c r="AN4">
        <v>1000000</v>
      </c>
      <c r="AO4" s="9">
        <v>1000000</v>
      </c>
      <c r="AP4">
        <v>1000000</v>
      </c>
      <c r="AQ4">
        <v>1000000</v>
      </c>
      <c r="AR4">
        <v>1000000</v>
      </c>
    </row>
    <row r="5" spans="1:45" x14ac:dyDescent="0.4">
      <c r="A5" t="s">
        <v>48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s="6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s="9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s="9" t="s">
        <v>49</v>
      </c>
      <c r="AP5" t="s">
        <v>49</v>
      </c>
      <c r="AQ5" t="s">
        <v>49</v>
      </c>
      <c r="AR5" t="s">
        <v>49</v>
      </c>
    </row>
    <row r="6" spans="1:45" x14ac:dyDescent="0.4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S6" t="s">
        <v>68</v>
      </c>
      <c r="T6" t="s">
        <v>69</v>
      </c>
      <c r="U6" t="s">
        <v>70</v>
      </c>
      <c r="V6" s="6" t="s">
        <v>71</v>
      </c>
      <c r="W6" t="s">
        <v>72</v>
      </c>
      <c r="X6" t="s">
        <v>73</v>
      </c>
      <c r="Y6" t="s">
        <v>74</v>
      </c>
      <c r="Z6" t="s">
        <v>75</v>
      </c>
      <c r="AA6" t="s">
        <v>76</v>
      </c>
      <c r="AB6" t="s">
        <v>77</v>
      </c>
      <c r="AC6" t="s">
        <v>78</v>
      </c>
      <c r="AD6" t="s">
        <v>79</v>
      </c>
      <c r="AE6" t="s">
        <v>80</v>
      </c>
      <c r="AF6" t="s">
        <v>81</v>
      </c>
      <c r="AG6" t="s">
        <v>82</v>
      </c>
      <c r="AH6" s="9" t="s">
        <v>83</v>
      </c>
      <c r="AI6" t="s">
        <v>84</v>
      </c>
      <c r="AJ6" t="s">
        <v>85</v>
      </c>
      <c r="AK6" t="s">
        <v>86</v>
      </c>
      <c r="AL6" t="s">
        <v>87</v>
      </c>
      <c r="AM6" t="s">
        <v>88</v>
      </c>
      <c r="AN6" t="s">
        <v>89</v>
      </c>
      <c r="AO6" s="9" t="s">
        <v>90</v>
      </c>
      <c r="AP6" t="s">
        <v>91</v>
      </c>
      <c r="AQ6" t="s">
        <v>92</v>
      </c>
      <c r="AR6" t="s">
        <v>93</v>
      </c>
    </row>
    <row r="7" spans="1:45" ht="13" thickBot="1" x14ac:dyDescent="0.45">
      <c r="A7" s="3" t="s">
        <v>94</v>
      </c>
      <c r="B7" s="4" t="s">
        <v>95</v>
      </c>
      <c r="C7" s="4" t="s">
        <v>96</v>
      </c>
      <c r="D7" s="4" t="s">
        <v>97</v>
      </c>
      <c r="E7" s="4" t="s">
        <v>98</v>
      </c>
      <c r="F7" s="4" t="s">
        <v>99</v>
      </c>
      <c r="G7" s="4" t="s">
        <v>100</v>
      </c>
      <c r="H7" s="4" t="s">
        <v>101</v>
      </c>
      <c r="I7" s="4" t="s">
        <v>102</v>
      </c>
      <c r="J7" s="4" t="s">
        <v>103</v>
      </c>
      <c r="K7" s="4" t="s">
        <v>104</v>
      </c>
      <c r="L7" s="4" t="s">
        <v>105</v>
      </c>
      <c r="M7" s="4" t="s">
        <v>106</v>
      </c>
      <c r="N7" s="4" t="s">
        <v>107</v>
      </c>
      <c r="O7" s="4" t="s">
        <v>108</v>
      </c>
      <c r="P7" s="4" t="s">
        <v>109</v>
      </c>
      <c r="Q7" s="4" t="s">
        <v>110</v>
      </c>
      <c r="R7" s="4" t="s">
        <v>111</v>
      </c>
      <c r="S7" s="4" t="s">
        <v>112</v>
      </c>
      <c r="T7" s="4" t="s">
        <v>113</v>
      </c>
      <c r="U7" s="4" t="s">
        <v>114</v>
      </c>
      <c r="V7" s="7" t="s">
        <v>115</v>
      </c>
      <c r="W7" s="4" t="s">
        <v>116</v>
      </c>
      <c r="X7" s="4" t="s">
        <v>117</v>
      </c>
      <c r="Y7" s="4" t="s">
        <v>118</v>
      </c>
      <c r="Z7" s="4" t="s">
        <v>119</v>
      </c>
      <c r="AA7" s="4" t="s">
        <v>120</v>
      </c>
      <c r="AB7" s="4" t="s">
        <v>121</v>
      </c>
      <c r="AC7" s="4" t="s">
        <v>122</v>
      </c>
      <c r="AD7" s="4" t="s">
        <v>123</v>
      </c>
      <c r="AE7" s="4" t="s">
        <v>124</v>
      </c>
      <c r="AF7" s="4" t="s">
        <v>125</v>
      </c>
      <c r="AG7" s="4" t="s">
        <v>126</v>
      </c>
      <c r="AH7" s="10" t="s">
        <v>127</v>
      </c>
      <c r="AI7" s="4" t="s">
        <v>128</v>
      </c>
      <c r="AJ7" s="4" t="s">
        <v>129</v>
      </c>
      <c r="AK7" s="4" t="s">
        <v>130</v>
      </c>
      <c r="AL7" s="4" t="s">
        <v>131</v>
      </c>
      <c r="AM7" s="4" t="s">
        <v>132</v>
      </c>
      <c r="AN7" s="4" t="s">
        <v>133</v>
      </c>
      <c r="AO7" s="10" t="s">
        <v>134</v>
      </c>
      <c r="AP7" s="4" t="s">
        <v>135</v>
      </c>
      <c r="AQ7" s="4" t="s">
        <v>136</v>
      </c>
      <c r="AR7" s="4" t="s">
        <v>137</v>
      </c>
    </row>
    <row r="8" spans="1:45" x14ac:dyDescent="0.4">
      <c r="A8" s="3" t="s">
        <v>138</v>
      </c>
      <c r="B8">
        <v>109116.7</v>
      </c>
      <c r="C8">
        <v>82379.3</v>
      </c>
      <c r="D8">
        <v>74124.7</v>
      </c>
      <c r="E8" t="s">
        <v>139</v>
      </c>
      <c r="F8" t="s">
        <v>139</v>
      </c>
      <c r="G8">
        <v>8254.5</v>
      </c>
      <c r="H8" t="s">
        <v>139</v>
      </c>
      <c r="I8" t="s">
        <v>139</v>
      </c>
      <c r="J8">
        <v>26737.5</v>
      </c>
      <c r="K8">
        <v>11289.4</v>
      </c>
      <c r="L8">
        <v>6796</v>
      </c>
      <c r="M8" t="s">
        <v>139</v>
      </c>
      <c r="N8" t="s">
        <v>139</v>
      </c>
      <c r="O8" t="s">
        <v>139</v>
      </c>
      <c r="P8" t="s">
        <v>139</v>
      </c>
      <c r="Q8" t="s">
        <v>139</v>
      </c>
      <c r="R8" t="s">
        <v>139</v>
      </c>
      <c r="S8" t="s">
        <v>139</v>
      </c>
      <c r="T8" t="s">
        <v>139</v>
      </c>
      <c r="U8">
        <v>4161.2</v>
      </c>
      <c r="V8" s="6" t="s">
        <v>139</v>
      </c>
      <c r="W8" t="s">
        <v>139</v>
      </c>
      <c r="X8" t="s">
        <v>139</v>
      </c>
      <c r="Y8" t="s">
        <v>139</v>
      </c>
      <c r="Z8" t="s">
        <v>139</v>
      </c>
      <c r="AA8" t="s">
        <v>139</v>
      </c>
      <c r="AB8" t="s">
        <v>139</v>
      </c>
      <c r="AC8" t="s">
        <v>139</v>
      </c>
      <c r="AD8" t="s">
        <v>139</v>
      </c>
      <c r="AE8" t="s">
        <v>139</v>
      </c>
      <c r="AF8" t="s">
        <v>139</v>
      </c>
      <c r="AG8" t="s">
        <v>139</v>
      </c>
      <c r="AH8" s="9" t="s">
        <v>139</v>
      </c>
      <c r="AI8" t="s">
        <v>139</v>
      </c>
      <c r="AJ8" t="s">
        <v>139</v>
      </c>
      <c r="AK8" t="s">
        <v>139</v>
      </c>
      <c r="AL8" t="s">
        <v>139</v>
      </c>
      <c r="AM8" t="s">
        <v>139</v>
      </c>
      <c r="AN8" t="s">
        <v>139</v>
      </c>
      <c r="AO8" s="9" t="s">
        <v>139</v>
      </c>
      <c r="AP8" t="s">
        <v>139</v>
      </c>
      <c r="AQ8" t="s">
        <v>139</v>
      </c>
      <c r="AR8" t="s">
        <v>139</v>
      </c>
    </row>
    <row r="9" spans="1:45" x14ac:dyDescent="0.4">
      <c r="A9" s="3" t="s">
        <v>140</v>
      </c>
      <c r="B9">
        <v>108530.3</v>
      </c>
      <c r="C9">
        <v>81273.399999999994</v>
      </c>
      <c r="D9">
        <v>73208</v>
      </c>
      <c r="E9" t="s">
        <v>139</v>
      </c>
      <c r="F9" t="s">
        <v>139</v>
      </c>
      <c r="G9">
        <v>8065.4</v>
      </c>
      <c r="H9" t="s">
        <v>139</v>
      </c>
      <c r="I9" t="s">
        <v>139</v>
      </c>
      <c r="J9">
        <v>27257</v>
      </c>
      <c r="K9">
        <v>11517.9</v>
      </c>
      <c r="L9">
        <v>6955.1</v>
      </c>
      <c r="M9" t="s">
        <v>139</v>
      </c>
      <c r="N9" t="s">
        <v>139</v>
      </c>
      <c r="O9" t="s">
        <v>139</v>
      </c>
      <c r="P9" t="s">
        <v>139</v>
      </c>
      <c r="Q9" t="s">
        <v>139</v>
      </c>
      <c r="R9" t="s">
        <v>139</v>
      </c>
      <c r="S9" t="s">
        <v>139</v>
      </c>
      <c r="T9" t="s">
        <v>139</v>
      </c>
      <c r="U9">
        <v>4296.6000000000004</v>
      </c>
      <c r="V9" s="6" t="s">
        <v>139</v>
      </c>
      <c r="W9" t="s">
        <v>139</v>
      </c>
      <c r="X9" t="s">
        <v>139</v>
      </c>
      <c r="Y9" t="s">
        <v>139</v>
      </c>
      <c r="Z9" t="s">
        <v>139</v>
      </c>
      <c r="AA9" t="s">
        <v>139</v>
      </c>
      <c r="AB9" t="s">
        <v>139</v>
      </c>
      <c r="AC9" t="s">
        <v>139</v>
      </c>
      <c r="AD9" t="s">
        <v>139</v>
      </c>
      <c r="AE9" t="s">
        <v>139</v>
      </c>
      <c r="AF9" t="s">
        <v>139</v>
      </c>
      <c r="AG9" t="s">
        <v>139</v>
      </c>
      <c r="AH9" s="9" t="s">
        <v>139</v>
      </c>
      <c r="AI9" t="s">
        <v>139</v>
      </c>
      <c r="AJ9" t="s">
        <v>139</v>
      </c>
      <c r="AK9" t="s">
        <v>139</v>
      </c>
      <c r="AL9" t="s">
        <v>139</v>
      </c>
      <c r="AM9" t="s">
        <v>139</v>
      </c>
      <c r="AN9" t="s">
        <v>139</v>
      </c>
      <c r="AO9" s="9" t="s">
        <v>139</v>
      </c>
      <c r="AP9" t="s">
        <v>139</v>
      </c>
      <c r="AQ9" t="s">
        <v>139</v>
      </c>
      <c r="AR9" t="s">
        <v>139</v>
      </c>
    </row>
    <row r="10" spans="1:45" x14ac:dyDescent="0.4">
      <c r="A10" s="3" t="s">
        <v>141</v>
      </c>
      <c r="B10">
        <v>108370.6</v>
      </c>
      <c r="C10">
        <v>80565.3</v>
      </c>
      <c r="D10">
        <v>72498.3</v>
      </c>
      <c r="E10" t="s">
        <v>139</v>
      </c>
      <c r="F10" t="s">
        <v>139</v>
      </c>
      <c r="G10">
        <v>8067</v>
      </c>
      <c r="H10" t="s">
        <v>139</v>
      </c>
      <c r="I10" t="s">
        <v>139</v>
      </c>
      <c r="J10">
        <v>27805.4</v>
      </c>
      <c r="K10">
        <v>11766.7</v>
      </c>
      <c r="L10">
        <v>7124.9</v>
      </c>
      <c r="M10" t="s">
        <v>139</v>
      </c>
      <c r="N10" t="s">
        <v>139</v>
      </c>
      <c r="O10" t="s">
        <v>139</v>
      </c>
      <c r="P10" t="s">
        <v>139</v>
      </c>
      <c r="Q10" t="s">
        <v>139</v>
      </c>
      <c r="R10" t="s">
        <v>139</v>
      </c>
      <c r="S10" t="s">
        <v>139</v>
      </c>
      <c r="T10" t="s">
        <v>139</v>
      </c>
      <c r="U10">
        <v>4430.6000000000004</v>
      </c>
      <c r="V10" s="6" t="s">
        <v>139</v>
      </c>
      <c r="W10" t="s">
        <v>139</v>
      </c>
      <c r="X10" t="s">
        <v>139</v>
      </c>
      <c r="Y10" t="s">
        <v>139</v>
      </c>
      <c r="Z10" t="s">
        <v>139</v>
      </c>
      <c r="AA10" t="s">
        <v>139</v>
      </c>
      <c r="AB10" t="s">
        <v>139</v>
      </c>
      <c r="AC10" t="s">
        <v>139</v>
      </c>
      <c r="AD10" t="s">
        <v>139</v>
      </c>
      <c r="AE10" t="s">
        <v>139</v>
      </c>
      <c r="AF10" t="s">
        <v>139</v>
      </c>
      <c r="AG10" t="s">
        <v>139</v>
      </c>
      <c r="AH10" s="9" t="s">
        <v>139</v>
      </c>
      <c r="AI10" t="s">
        <v>139</v>
      </c>
      <c r="AJ10" t="s">
        <v>139</v>
      </c>
      <c r="AK10" t="s">
        <v>139</v>
      </c>
      <c r="AL10" t="s">
        <v>139</v>
      </c>
      <c r="AM10" t="s">
        <v>139</v>
      </c>
      <c r="AN10" t="s">
        <v>139</v>
      </c>
      <c r="AO10" s="9" t="s">
        <v>139</v>
      </c>
      <c r="AP10" t="s">
        <v>139</v>
      </c>
      <c r="AQ10" t="s">
        <v>139</v>
      </c>
      <c r="AR10" t="s">
        <v>139</v>
      </c>
    </row>
    <row r="11" spans="1:45" x14ac:dyDescent="0.4">
      <c r="A11" s="3" t="s">
        <v>142</v>
      </c>
      <c r="B11">
        <v>108560.8</v>
      </c>
      <c r="C11">
        <v>80189.399999999994</v>
      </c>
      <c r="D11">
        <v>72226.399999999994</v>
      </c>
      <c r="E11" t="s">
        <v>139</v>
      </c>
      <c r="F11" t="s">
        <v>139</v>
      </c>
      <c r="G11">
        <v>7962.9</v>
      </c>
      <c r="H11" t="s">
        <v>139</v>
      </c>
      <c r="I11" t="s">
        <v>139</v>
      </c>
      <c r="J11">
        <v>28371.4</v>
      </c>
      <c r="K11">
        <v>12026.9</v>
      </c>
      <c r="L11">
        <v>7296.6</v>
      </c>
      <c r="M11" t="s">
        <v>139</v>
      </c>
      <c r="N11" t="s">
        <v>139</v>
      </c>
      <c r="O11" t="s">
        <v>139</v>
      </c>
      <c r="P11" t="s">
        <v>139</v>
      </c>
      <c r="Q11" t="s">
        <v>139</v>
      </c>
      <c r="R11" t="s">
        <v>139</v>
      </c>
      <c r="S11" t="s">
        <v>139</v>
      </c>
      <c r="T11" t="s">
        <v>139</v>
      </c>
      <c r="U11">
        <v>4568.7</v>
      </c>
      <c r="V11" s="6" t="s">
        <v>139</v>
      </c>
      <c r="W11" t="s">
        <v>139</v>
      </c>
      <c r="X11" t="s">
        <v>139</v>
      </c>
      <c r="Y11" t="s">
        <v>139</v>
      </c>
      <c r="Z11" t="s">
        <v>139</v>
      </c>
      <c r="AA11" t="s">
        <v>139</v>
      </c>
      <c r="AB11" t="s">
        <v>139</v>
      </c>
      <c r="AC11" t="s">
        <v>139</v>
      </c>
      <c r="AD11" t="s">
        <v>139</v>
      </c>
      <c r="AE11" t="s">
        <v>139</v>
      </c>
      <c r="AF11" t="s">
        <v>139</v>
      </c>
      <c r="AG11" t="s">
        <v>139</v>
      </c>
      <c r="AH11" s="9" t="s">
        <v>139</v>
      </c>
      <c r="AI11" t="s">
        <v>139</v>
      </c>
      <c r="AJ11" t="s">
        <v>139</v>
      </c>
      <c r="AK11" t="s">
        <v>139</v>
      </c>
      <c r="AL11" t="s">
        <v>139</v>
      </c>
      <c r="AM11" t="s">
        <v>139</v>
      </c>
      <c r="AN11" t="s">
        <v>139</v>
      </c>
      <c r="AO11" s="9" t="s">
        <v>139</v>
      </c>
      <c r="AP11" t="s">
        <v>139</v>
      </c>
      <c r="AQ11" t="s">
        <v>139</v>
      </c>
      <c r="AR11" t="s">
        <v>139</v>
      </c>
    </row>
    <row r="12" spans="1:45" x14ac:dyDescent="0.4">
      <c r="A12" s="3" t="s">
        <v>143</v>
      </c>
      <c r="B12">
        <v>108539</v>
      </c>
      <c r="C12">
        <v>79606.7</v>
      </c>
      <c r="D12">
        <v>71902.100000000006</v>
      </c>
      <c r="E12" t="s">
        <v>139</v>
      </c>
      <c r="F12" t="s">
        <v>139</v>
      </c>
      <c r="G12">
        <v>7704.6</v>
      </c>
      <c r="H12" t="s">
        <v>139</v>
      </c>
      <c r="I12" t="s">
        <v>139</v>
      </c>
      <c r="J12">
        <v>28932.2</v>
      </c>
      <c r="K12">
        <v>12278.8</v>
      </c>
      <c r="L12">
        <v>7469.9</v>
      </c>
      <c r="M12" t="s">
        <v>139</v>
      </c>
      <c r="N12" t="s">
        <v>139</v>
      </c>
      <c r="O12" t="s">
        <v>139</v>
      </c>
      <c r="P12" t="s">
        <v>139</v>
      </c>
      <c r="Q12" t="s">
        <v>139</v>
      </c>
      <c r="R12" t="s">
        <v>139</v>
      </c>
      <c r="S12" t="s">
        <v>139</v>
      </c>
      <c r="T12" t="s">
        <v>139</v>
      </c>
      <c r="U12">
        <v>4708.7</v>
      </c>
      <c r="V12" s="6" t="s">
        <v>139</v>
      </c>
      <c r="W12" t="s">
        <v>139</v>
      </c>
      <c r="X12" t="s">
        <v>139</v>
      </c>
      <c r="Y12" t="s">
        <v>139</v>
      </c>
      <c r="Z12" t="s">
        <v>139</v>
      </c>
      <c r="AA12" t="s">
        <v>139</v>
      </c>
      <c r="AB12" t="s">
        <v>139</v>
      </c>
      <c r="AC12" t="s">
        <v>139</v>
      </c>
      <c r="AD12" t="s">
        <v>139</v>
      </c>
      <c r="AE12" t="s">
        <v>139</v>
      </c>
      <c r="AF12" t="s">
        <v>139</v>
      </c>
      <c r="AG12" t="s">
        <v>139</v>
      </c>
      <c r="AH12" s="9" t="s">
        <v>139</v>
      </c>
      <c r="AI12" t="s">
        <v>139</v>
      </c>
      <c r="AJ12" t="s">
        <v>139</v>
      </c>
      <c r="AK12" t="s">
        <v>139</v>
      </c>
      <c r="AL12" t="s">
        <v>139</v>
      </c>
      <c r="AM12" t="s">
        <v>139</v>
      </c>
      <c r="AN12" t="s">
        <v>139</v>
      </c>
      <c r="AO12" s="9" t="s">
        <v>139</v>
      </c>
      <c r="AP12" t="s">
        <v>139</v>
      </c>
      <c r="AQ12" t="s">
        <v>139</v>
      </c>
      <c r="AR12" t="s">
        <v>139</v>
      </c>
    </row>
    <row r="13" spans="1:45" x14ac:dyDescent="0.4">
      <c r="A13" s="3" t="s">
        <v>144</v>
      </c>
      <c r="B13">
        <v>108459.4</v>
      </c>
      <c r="C13">
        <v>78854.3</v>
      </c>
      <c r="D13">
        <v>71414</v>
      </c>
      <c r="E13" t="s">
        <v>139</v>
      </c>
      <c r="F13" t="s">
        <v>139</v>
      </c>
      <c r="G13">
        <v>7440.4</v>
      </c>
      <c r="H13" t="s">
        <v>139</v>
      </c>
      <c r="I13" t="s">
        <v>139</v>
      </c>
      <c r="J13">
        <v>29605</v>
      </c>
      <c r="K13">
        <v>12483.2</v>
      </c>
      <c r="L13">
        <v>7636.1</v>
      </c>
      <c r="M13" t="s">
        <v>139</v>
      </c>
      <c r="N13" t="s">
        <v>139</v>
      </c>
      <c r="O13" t="s">
        <v>139</v>
      </c>
      <c r="P13" t="s">
        <v>139</v>
      </c>
      <c r="Q13" t="s">
        <v>139</v>
      </c>
      <c r="R13" t="s">
        <v>139</v>
      </c>
      <c r="S13" t="s">
        <v>139</v>
      </c>
      <c r="T13" t="s">
        <v>139</v>
      </c>
      <c r="U13">
        <v>4846.5</v>
      </c>
      <c r="V13" s="6" t="s">
        <v>139</v>
      </c>
      <c r="W13" t="s">
        <v>139</v>
      </c>
      <c r="X13" t="s">
        <v>139</v>
      </c>
      <c r="Y13" t="s">
        <v>139</v>
      </c>
      <c r="Z13" t="s">
        <v>139</v>
      </c>
      <c r="AA13" t="s">
        <v>139</v>
      </c>
      <c r="AB13" t="s">
        <v>139</v>
      </c>
      <c r="AC13" t="s">
        <v>139</v>
      </c>
      <c r="AD13" t="s">
        <v>139</v>
      </c>
      <c r="AE13" t="s">
        <v>139</v>
      </c>
      <c r="AF13" t="s">
        <v>139</v>
      </c>
      <c r="AG13" t="s">
        <v>139</v>
      </c>
      <c r="AH13" s="9" t="s">
        <v>139</v>
      </c>
      <c r="AI13" t="s">
        <v>139</v>
      </c>
      <c r="AJ13" t="s">
        <v>139</v>
      </c>
      <c r="AK13" t="s">
        <v>139</v>
      </c>
      <c r="AL13" t="s">
        <v>139</v>
      </c>
      <c r="AM13" t="s">
        <v>139</v>
      </c>
      <c r="AN13" t="s">
        <v>139</v>
      </c>
      <c r="AO13" s="9" t="s">
        <v>139</v>
      </c>
      <c r="AP13" t="s">
        <v>139</v>
      </c>
      <c r="AQ13" t="s">
        <v>139</v>
      </c>
      <c r="AR13" t="s">
        <v>139</v>
      </c>
    </row>
    <row r="14" spans="1:45" x14ac:dyDescent="0.4">
      <c r="A14" s="3" t="s">
        <v>145</v>
      </c>
      <c r="B14">
        <v>108747.5</v>
      </c>
      <c r="C14">
        <v>77749.5</v>
      </c>
      <c r="D14">
        <v>71104.800000000003</v>
      </c>
      <c r="E14" t="s">
        <v>139</v>
      </c>
      <c r="F14" t="s">
        <v>139</v>
      </c>
      <c r="G14">
        <v>6644.7</v>
      </c>
      <c r="H14" t="s">
        <v>139</v>
      </c>
      <c r="I14" t="s">
        <v>139</v>
      </c>
      <c r="J14">
        <v>30998</v>
      </c>
      <c r="K14">
        <v>12780</v>
      </c>
      <c r="L14">
        <v>7809.2</v>
      </c>
      <c r="M14" t="s">
        <v>139</v>
      </c>
      <c r="N14" t="s">
        <v>139</v>
      </c>
      <c r="O14" t="s">
        <v>139</v>
      </c>
      <c r="P14" t="s">
        <v>139</v>
      </c>
      <c r="Q14" t="s">
        <v>139</v>
      </c>
      <c r="R14" t="s">
        <v>139</v>
      </c>
      <c r="S14" t="s">
        <v>139</v>
      </c>
      <c r="T14" t="s">
        <v>139</v>
      </c>
      <c r="U14">
        <v>4981.5</v>
      </c>
      <c r="V14" s="6" t="s">
        <v>139</v>
      </c>
      <c r="W14" t="s">
        <v>139</v>
      </c>
      <c r="X14" t="s">
        <v>139</v>
      </c>
      <c r="Y14" t="s">
        <v>139</v>
      </c>
      <c r="Z14" t="s">
        <v>139</v>
      </c>
      <c r="AA14" t="s">
        <v>139</v>
      </c>
      <c r="AB14" t="s">
        <v>139</v>
      </c>
      <c r="AC14" t="s">
        <v>139</v>
      </c>
      <c r="AD14" t="s">
        <v>139</v>
      </c>
      <c r="AE14" t="s">
        <v>139</v>
      </c>
      <c r="AF14" t="s">
        <v>139</v>
      </c>
      <c r="AG14" t="s">
        <v>139</v>
      </c>
      <c r="AH14" s="9" t="s">
        <v>139</v>
      </c>
      <c r="AI14" t="s">
        <v>139</v>
      </c>
      <c r="AJ14" t="s">
        <v>139</v>
      </c>
      <c r="AK14" t="s">
        <v>139</v>
      </c>
      <c r="AL14" t="s">
        <v>139</v>
      </c>
      <c r="AM14" t="s">
        <v>139</v>
      </c>
      <c r="AN14" t="s">
        <v>139</v>
      </c>
      <c r="AO14" s="9" t="s">
        <v>139</v>
      </c>
      <c r="AP14" t="s">
        <v>139</v>
      </c>
      <c r="AQ14" t="s">
        <v>139</v>
      </c>
      <c r="AR14" t="s">
        <v>139</v>
      </c>
    </row>
    <row r="15" spans="1:45" x14ac:dyDescent="0.4">
      <c r="A15" s="3" t="s">
        <v>146</v>
      </c>
      <c r="B15">
        <v>109045.3</v>
      </c>
      <c r="C15">
        <v>77544.899999999994</v>
      </c>
      <c r="D15">
        <v>70835.5</v>
      </c>
      <c r="E15" t="s">
        <v>139</v>
      </c>
      <c r="F15" t="s">
        <v>139</v>
      </c>
      <c r="G15">
        <v>6709.5</v>
      </c>
      <c r="H15" t="s">
        <v>139</v>
      </c>
      <c r="I15" t="s">
        <v>139</v>
      </c>
      <c r="J15">
        <v>31500.400000000001</v>
      </c>
      <c r="K15">
        <v>13082.2</v>
      </c>
      <c r="L15">
        <v>7980.9</v>
      </c>
      <c r="M15" t="s">
        <v>139</v>
      </c>
      <c r="N15" t="s">
        <v>139</v>
      </c>
      <c r="O15" t="s">
        <v>139</v>
      </c>
      <c r="P15" t="s">
        <v>139</v>
      </c>
      <c r="Q15" t="s">
        <v>139</v>
      </c>
      <c r="R15" t="s">
        <v>139</v>
      </c>
      <c r="S15" t="s">
        <v>139</v>
      </c>
      <c r="T15" t="s">
        <v>139</v>
      </c>
      <c r="U15">
        <v>5116.8</v>
      </c>
      <c r="V15" s="6" t="s">
        <v>139</v>
      </c>
      <c r="W15" t="s">
        <v>139</v>
      </c>
      <c r="X15" t="s">
        <v>139</v>
      </c>
      <c r="Y15" t="s">
        <v>139</v>
      </c>
      <c r="Z15" t="s">
        <v>139</v>
      </c>
      <c r="AA15" t="s">
        <v>139</v>
      </c>
      <c r="AB15" t="s">
        <v>139</v>
      </c>
      <c r="AC15" t="s">
        <v>139</v>
      </c>
      <c r="AD15" t="s">
        <v>139</v>
      </c>
      <c r="AE15" t="s">
        <v>139</v>
      </c>
      <c r="AF15" t="s">
        <v>139</v>
      </c>
      <c r="AG15" t="s">
        <v>139</v>
      </c>
      <c r="AH15" s="9" t="s">
        <v>139</v>
      </c>
      <c r="AI15" t="s">
        <v>139</v>
      </c>
      <c r="AJ15" t="s">
        <v>139</v>
      </c>
      <c r="AK15" t="s">
        <v>139</v>
      </c>
      <c r="AL15" t="s">
        <v>139</v>
      </c>
      <c r="AM15" t="s">
        <v>139</v>
      </c>
      <c r="AN15" t="s">
        <v>139</v>
      </c>
      <c r="AO15" s="9" t="s">
        <v>139</v>
      </c>
      <c r="AP15" t="s">
        <v>139</v>
      </c>
      <c r="AQ15" t="s">
        <v>139</v>
      </c>
      <c r="AR15" t="s">
        <v>139</v>
      </c>
    </row>
    <row r="16" spans="1:45" x14ac:dyDescent="0.4">
      <c r="A16" s="3" t="s">
        <v>147</v>
      </c>
      <c r="B16">
        <v>109921.9</v>
      </c>
      <c r="C16">
        <v>77952.7</v>
      </c>
      <c r="D16">
        <v>71156.5</v>
      </c>
      <c r="E16" t="s">
        <v>139</v>
      </c>
      <c r="F16" t="s">
        <v>139</v>
      </c>
      <c r="G16">
        <v>6796.1</v>
      </c>
      <c r="H16" t="s">
        <v>139</v>
      </c>
      <c r="I16" t="s">
        <v>139</v>
      </c>
      <c r="J16">
        <v>31969.200000000001</v>
      </c>
      <c r="K16">
        <v>13352.3</v>
      </c>
      <c r="L16">
        <v>8148.7</v>
      </c>
      <c r="M16" t="s">
        <v>139</v>
      </c>
      <c r="N16" t="s">
        <v>139</v>
      </c>
      <c r="O16" t="s">
        <v>139</v>
      </c>
      <c r="P16" t="s">
        <v>139</v>
      </c>
      <c r="Q16" t="s">
        <v>139</v>
      </c>
      <c r="R16" t="s">
        <v>139</v>
      </c>
      <c r="S16" t="s">
        <v>139</v>
      </c>
      <c r="T16" t="s">
        <v>139</v>
      </c>
      <c r="U16">
        <v>5248.4</v>
      </c>
      <c r="V16" s="6" t="s">
        <v>139</v>
      </c>
      <c r="W16" t="s">
        <v>139</v>
      </c>
      <c r="X16" t="s">
        <v>139</v>
      </c>
      <c r="Y16" t="s">
        <v>139</v>
      </c>
      <c r="Z16" t="s">
        <v>139</v>
      </c>
      <c r="AA16" t="s">
        <v>139</v>
      </c>
      <c r="AB16" t="s">
        <v>139</v>
      </c>
      <c r="AC16" t="s">
        <v>139</v>
      </c>
      <c r="AD16" t="s">
        <v>139</v>
      </c>
      <c r="AE16" t="s">
        <v>139</v>
      </c>
      <c r="AF16" t="s">
        <v>139</v>
      </c>
      <c r="AG16" t="s">
        <v>139</v>
      </c>
      <c r="AH16" s="9" t="s">
        <v>139</v>
      </c>
      <c r="AI16" t="s">
        <v>139</v>
      </c>
      <c r="AJ16" t="s">
        <v>139</v>
      </c>
      <c r="AK16" t="s">
        <v>139</v>
      </c>
      <c r="AL16" t="s">
        <v>139</v>
      </c>
      <c r="AM16" t="s">
        <v>139</v>
      </c>
      <c r="AN16" t="s">
        <v>139</v>
      </c>
      <c r="AO16" s="9" t="s">
        <v>139</v>
      </c>
      <c r="AP16" t="s">
        <v>139</v>
      </c>
      <c r="AQ16" t="s">
        <v>139</v>
      </c>
      <c r="AR16" t="s">
        <v>139</v>
      </c>
    </row>
    <row r="17" spans="1:44" x14ac:dyDescent="0.4">
      <c r="A17" s="3" t="s">
        <v>148</v>
      </c>
      <c r="B17">
        <v>110375.5</v>
      </c>
      <c r="C17">
        <v>77936.5</v>
      </c>
      <c r="D17">
        <v>71101.5</v>
      </c>
      <c r="E17" t="s">
        <v>139</v>
      </c>
      <c r="F17" t="s">
        <v>139</v>
      </c>
      <c r="G17">
        <v>6835</v>
      </c>
      <c r="H17" t="s">
        <v>139</v>
      </c>
      <c r="I17" t="s">
        <v>139</v>
      </c>
      <c r="J17">
        <v>32439</v>
      </c>
      <c r="K17">
        <v>13628.7</v>
      </c>
      <c r="L17">
        <v>8317.4</v>
      </c>
      <c r="M17" t="s">
        <v>139</v>
      </c>
      <c r="N17" t="s">
        <v>139</v>
      </c>
      <c r="O17" t="s">
        <v>139</v>
      </c>
      <c r="P17" t="s">
        <v>139</v>
      </c>
      <c r="Q17" t="s">
        <v>139</v>
      </c>
      <c r="R17" t="s">
        <v>139</v>
      </c>
      <c r="S17" t="s">
        <v>139</v>
      </c>
      <c r="T17" t="s">
        <v>139</v>
      </c>
      <c r="U17">
        <v>5381.9</v>
      </c>
      <c r="V17" s="6" t="s">
        <v>139</v>
      </c>
      <c r="W17" t="s">
        <v>139</v>
      </c>
      <c r="X17" t="s">
        <v>139</v>
      </c>
      <c r="Y17" t="s">
        <v>139</v>
      </c>
      <c r="Z17" t="s">
        <v>139</v>
      </c>
      <c r="AA17" t="s">
        <v>139</v>
      </c>
      <c r="AB17" t="s">
        <v>139</v>
      </c>
      <c r="AC17" t="s">
        <v>139</v>
      </c>
      <c r="AD17" t="s">
        <v>139</v>
      </c>
      <c r="AE17" t="s">
        <v>139</v>
      </c>
      <c r="AF17" t="s">
        <v>139</v>
      </c>
      <c r="AG17" t="s">
        <v>139</v>
      </c>
      <c r="AH17" s="9" t="s">
        <v>139</v>
      </c>
      <c r="AI17" t="s">
        <v>139</v>
      </c>
      <c r="AJ17" t="s">
        <v>139</v>
      </c>
      <c r="AK17" t="s">
        <v>139</v>
      </c>
      <c r="AL17" t="s">
        <v>139</v>
      </c>
      <c r="AM17" t="s">
        <v>139</v>
      </c>
      <c r="AN17" t="s">
        <v>139</v>
      </c>
      <c r="AO17" s="9" t="s">
        <v>139</v>
      </c>
      <c r="AP17" t="s">
        <v>139</v>
      </c>
      <c r="AQ17" t="s">
        <v>139</v>
      </c>
      <c r="AR17" t="s">
        <v>139</v>
      </c>
    </row>
    <row r="18" spans="1:44" x14ac:dyDescent="0.4">
      <c r="A18" s="3" t="s">
        <v>149</v>
      </c>
      <c r="B18">
        <v>110432.6</v>
      </c>
      <c r="C18">
        <v>77541.600000000006</v>
      </c>
      <c r="D18">
        <v>70724.600000000006</v>
      </c>
      <c r="E18" t="s">
        <v>139</v>
      </c>
      <c r="F18" t="s">
        <v>139</v>
      </c>
      <c r="G18">
        <v>6817</v>
      </c>
      <c r="H18" t="s">
        <v>139</v>
      </c>
      <c r="I18" t="s">
        <v>139</v>
      </c>
      <c r="J18">
        <v>32891.1</v>
      </c>
      <c r="K18">
        <v>13899.8</v>
      </c>
      <c r="L18">
        <v>8484.5</v>
      </c>
      <c r="M18" t="s">
        <v>139</v>
      </c>
      <c r="N18" t="s">
        <v>139</v>
      </c>
      <c r="O18" t="s">
        <v>139</v>
      </c>
      <c r="P18" t="s">
        <v>139</v>
      </c>
      <c r="Q18" t="s">
        <v>139</v>
      </c>
      <c r="R18" t="s">
        <v>139</v>
      </c>
      <c r="S18" t="s">
        <v>139</v>
      </c>
      <c r="T18" t="s">
        <v>139</v>
      </c>
      <c r="U18">
        <v>5514.2</v>
      </c>
      <c r="V18" s="6" t="s">
        <v>139</v>
      </c>
      <c r="W18" t="s">
        <v>139</v>
      </c>
      <c r="X18" t="s">
        <v>139</v>
      </c>
      <c r="Y18" t="s">
        <v>139</v>
      </c>
      <c r="Z18" t="s">
        <v>139</v>
      </c>
      <c r="AA18" t="s">
        <v>139</v>
      </c>
      <c r="AB18" t="s">
        <v>139</v>
      </c>
      <c r="AC18" t="s">
        <v>139</v>
      </c>
      <c r="AD18" t="s">
        <v>139</v>
      </c>
      <c r="AE18" t="s">
        <v>139</v>
      </c>
      <c r="AF18" t="s">
        <v>139</v>
      </c>
      <c r="AG18" t="s">
        <v>139</v>
      </c>
      <c r="AH18" s="9" t="s">
        <v>139</v>
      </c>
      <c r="AI18" t="s">
        <v>139</v>
      </c>
      <c r="AJ18" t="s">
        <v>139</v>
      </c>
      <c r="AK18" t="s">
        <v>139</v>
      </c>
      <c r="AL18" t="s">
        <v>139</v>
      </c>
      <c r="AM18" t="s">
        <v>139</v>
      </c>
      <c r="AN18" t="s">
        <v>139</v>
      </c>
      <c r="AO18" s="9" t="s">
        <v>139</v>
      </c>
      <c r="AP18" t="s">
        <v>139</v>
      </c>
      <c r="AQ18" t="s">
        <v>139</v>
      </c>
      <c r="AR18" t="s">
        <v>139</v>
      </c>
    </row>
    <row r="19" spans="1:44" x14ac:dyDescent="0.4">
      <c r="A19" s="3" t="s">
        <v>150</v>
      </c>
      <c r="B19">
        <v>110296.7</v>
      </c>
      <c r="C19">
        <v>76921.3</v>
      </c>
      <c r="D19">
        <v>70083.3</v>
      </c>
      <c r="E19" t="s">
        <v>139</v>
      </c>
      <c r="F19" t="s">
        <v>139</v>
      </c>
      <c r="G19">
        <v>6837.9</v>
      </c>
      <c r="H19" t="s">
        <v>139</v>
      </c>
      <c r="I19" t="s">
        <v>139</v>
      </c>
      <c r="J19">
        <v>33375.4</v>
      </c>
      <c r="K19">
        <v>14205.3</v>
      </c>
      <c r="L19">
        <v>8642.7999999999993</v>
      </c>
      <c r="M19" t="s">
        <v>139</v>
      </c>
      <c r="N19" t="s">
        <v>139</v>
      </c>
      <c r="O19" t="s">
        <v>139</v>
      </c>
      <c r="P19" t="s">
        <v>139</v>
      </c>
      <c r="Q19" t="s">
        <v>139</v>
      </c>
      <c r="R19" t="s">
        <v>139</v>
      </c>
      <c r="S19" t="s">
        <v>139</v>
      </c>
      <c r="T19" t="s">
        <v>139</v>
      </c>
      <c r="U19">
        <v>5645.6</v>
      </c>
      <c r="V19" s="6" t="s">
        <v>139</v>
      </c>
      <c r="W19" t="s">
        <v>139</v>
      </c>
      <c r="X19" t="s">
        <v>139</v>
      </c>
      <c r="Y19" t="s">
        <v>139</v>
      </c>
      <c r="Z19" t="s">
        <v>139</v>
      </c>
      <c r="AA19" t="s">
        <v>139</v>
      </c>
      <c r="AB19" t="s">
        <v>139</v>
      </c>
      <c r="AC19" t="s">
        <v>139</v>
      </c>
      <c r="AD19" t="s">
        <v>139</v>
      </c>
      <c r="AE19" t="s">
        <v>139</v>
      </c>
      <c r="AF19" t="s">
        <v>139</v>
      </c>
      <c r="AG19" t="s">
        <v>139</v>
      </c>
      <c r="AH19" s="9" t="s">
        <v>139</v>
      </c>
      <c r="AI19" t="s">
        <v>139</v>
      </c>
      <c r="AJ19" t="s">
        <v>139</v>
      </c>
      <c r="AK19" t="s">
        <v>139</v>
      </c>
      <c r="AL19" t="s">
        <v>139</v>
      </c>
      <c r="AM19" t="s">
        <v>139</v>
      </c>
      <c r="AN19" t="s">
        <v>139</v>
      </c>
      <c r="AO19" s="9" t="s">
        <v>139</v>
      </c>
      <c r="AP19" t="s">
        <v>139</v>
      </c>
      <c r="AQ19" t="s">
        <v>139</v>
      </c>
      <c r="AR19" t="s">
        <v>139</v>
      </c>
    </row>
    <row r="20" spans="1:44" x14ac:dyDescent="0.4">
      <c r="A20" s="3" t="s">
        <v>151</v>
      </c>
      <c r="B20">
        <v>110595.3</v>
      </c>
      <c r="C20">
        <v>76678.3</v>
      </c>
      <c r="D20">
        <v>69821.3</v>
      </c>
      <c r="E20" t="s">
        <v>139</v>
      </c>
      <c r="F20" t="s">
        <v>139</v>
      </c>
      <c r="G20">
        <v>6857</v>
      </c>
      <c r="H20" t="s">
        <v>139</v>
      </c>
      <c r="I20" t="s">
        <v>139</v>
      </c>
      <c r="J20">
        <v>33917</v>
      </c>
      <c r="K20">
        <v>14404.9</v>
      </c>
      <c r="L20">
        <v>8819.4</v>
      </c>
      <c r="M20" t="s">
        <v>139</v>
      </c>
      <c r="N20" t="s">
        <v>139</v>
      </c>
      <c r="O20" t="s">
        <v>139</v>
      </c>
      <c r="P20" t="s">
        <v>139</v>
      </c>
      <c r="Q20" t="s">
        <v>139</v>
      </c>
      <c r="R20" t="s">
        <v>139</v>
      </c>
      <c r="S20" t="s">
        <v>139</v>
      </c>
      <c r="T20" t="s">
        <v>139</v>
      </c>
      <c r="U20">
        <v>5778.6</v>
      </c>
      <c r="V20" s="6" t="s">
        <v>139</v>
      </c>
      <c r="W20" t="s">
        <v>139</v>
      </c>
      <c r="X20" t="s">
        <v>139</v>
      </c>
      <c r="Y20" t="s">
        <v>139</v>
      </c>
      <c r="Z20" t="s">
        <v>139</v>
      </c>
      <c r="AA20" t="s">
        <v>139</v>
      </c>
      <c r="AB20" t="s">
        <v>139</v>
      </c>
      <c r="AC20" t="s">
        <v>139</v>
      </c>
      <c r="AD20" t="s">
        <v>139</v>
      </c>
      <c r="AE20" t="s">
        <v>139</v>
      </c>
      <c r="AF20" t="s">
        <v>139</v>
      </c>
      <c r="AG20" t="s">
        <v>139</v>
      </c>
      <c r="AH20" s="9" t="s">
        <v>139</v>
      </c>
      <c r="AI20" t="s">
        <v>139</v>
      </c>
      <c r="AJ20" t="s">
        <v>139</v>
      </c>
      <c r="AK20" t="s">
        <v>139</v>
      </c>
      <c r="AL20" t="s">
        <v>139</v>
      </c>
      <c r="AM20" t="s">
        <v>139</v>
      </c>
      <c r="AN20" t="s">
        <v>139</v>
      </c>
      <c r="AO20" s="9" t="s">
        <v>139</v>
      </c>
      <c r="AP20" t="s">
        <v>139</v>
      </c>
      <c r="AQ20" t="s">
        <v>139</v>
      </c>
      <c r="AR20" t="s">
        <v>139</v>
      </c>
    </row>
    <row r="21" spans="1:44" x14ac:dyDescent="0.4">
      <c r="A21" s="3" t="s">
        <v>152</v>
      </c>
      <c r="B21">
        <v>110076.1</v>
      </c>
      <c r="C21">
        <v>75632</v>
      </c>
      <c r="D21">
        <v>68797.899999999994</v>
      </c>
      <c r="E21" t="s">
        <v>139</v>
      </c>
      <c r="F21" t="s">
        <v>139</v>
      </c>
      <c r="G21">
        <v>6834.1</v>
      </c>
      <c r="H21" t="s">
        <v>139</v>
      </c>
      <c r="I21" t="s">
        <v>139</v>
      </c>
      <c r="J21">
        <v>34444.1</v>
      </c>
      <c r="K21">
        <v>14563.5</v>
      </c>
      <c r="L21">
        <v>8951.7999999999993</v>
      </c>
      <c r="M21" t="s">
        <v>139</v>
      </c>
      <c r="N21" t="s">
        <v>139</v>
      </c>
      <c r="O21" t="s">
        <v>139</v>
      </c>
      <c r="P21" t="s">
        <v>139</v>
      </c>
      <c r="Q21" t="s">
        <v>139</v>
      </c>
      <c r="R21" t="s">
        <v>139</v>
      </c>
      <c r="S21" t="s">
        <v>139</v>
      </c>
      <c r="T21" t="s">
        <v>139</v>
      </c>
      <c r="U21">
        <v>5903</v>
      </c>
      <c r="V21" s="6" t="s">
        <v>139</v>
      </c>
      <c r="W21" t="s">
        <v>139</v>
      </c>
      <c r="X21" t="s">
        <v>139</v>
      </c>
      <c r="Y21" t="s">
        <v>139</v>
      </c>
      <c r="Z21" t="s">
        <v>139</v>
      </c>
      <c r="AA21" t="s">
        <v>139</v>
      </c>
      <c r="AB21" t="s">
        <v>139</v>
      </c>
      <c r="AC21" t="s">
        <v>139</v>
      </c>
      <c r="AD21" t="s">
        <v>139</v>
      </c>
      <c r="AE21" t="s">
        <v>139</v>
      </c>
      <c r="AF21" t="s">
        <v>139</v>
      </c>
      <c r="AG21" t="s">
        <v>139</v>
      </c>
      <c r="AH21" s="9" t="s">
        <v>139</v>
      </c>
      <c r="AI21" t="s">
        <v>139</v>
      </c>
      <c r="AJ21" t="s">
        <v>139</v>
      </c>
      <c r="AK21" t="s">
        <v>139</v>
      </c>
      <c r="AL21" t="s">
        <v>139</v>
      </c>
      <c r="AM21" t="s">
        <v>139</v>
      </c>
      <c r="AN21" t="s">
        <v>139</v>
      </c>
      <c r="AO21" s="9" t="s">
        <v>139</v>
      </c>
      <c r="AP21" t="s">
        <v>139</v>
      </c>
      <c r="AQ21" t="s">
        <v>139</v>
      </c>
      <c r="AR21" t="s">
        <v>139</v>
      </c>
    </row>
    <row r="22" spans="1:44" x14ac:dyDescent="0.4">
      <c r="A22" s="3" t="s">
        <v>153</v>
      </c>
      <c r="B22">
        <v>108884.9</v>
      </c>
      <c r="C22">
        <v>73852.7</v>
      </c>
      <c r="D22">
        <v>66888.3</v>
      </c>
      <c r="E22" t="s">
        <v>139</v>
      </c>
      <c r="F22" t="s">
        <v>139</v>
      </c>
      <c r="G22">
        <v>6964.4</v>
      </c>
      <c r="H22" t="s">
        <v>139</v>
      </c>
      <c r="I22" t="s">
        <v>139</v>
      </c>
      <c r="J22">
        <v>35032.199999999997</v>
      </c>
      <c r="K22">
        <v>14745.4</v>
      </c>
      <c r="L22">
        <v>9094.6</v>
      </c>
      <c r="M22" t="s">
        <v>139</v>
      </c>
      <c r="N22" t="s">
        <v>139</v>
      </c>
      <c r="O22" t="s">
        <v>139</v>
      </c>
      <c r="P22" t="s">
        <v>139</v>
      </c>
      <c r="Q22" t="s">
        <v>139</v>
      </c>
      <c r="R22" t="s">
        <v>139</v>
      </c>
      <c r="S22" t="s">
        <v>139</v>
      </c>
      <c r="T22" t="s">
        <v>139</v>
      </c>
      <c r="U22">
        <v>6027.2</v>
      </c>
      <c r="V22" s="6" t="s">
        <v>139</v>
      </c>
      <c r="W22" t="s">
        <v>139</v>
      </c>
      <c r="X22" t="s">
        <v>139</v>
      </c>
      <c r="Y22" t="s">
        <v>139</v>
      </c>
      <c r="Z22" t="s">
        <v>139</v>
      </c>
      <c r="AA22" t="s">
        <v>139</v>
      </c>
      <c r="AB22" t="s">
        <v>139</v>
      </c>
      <c r="AC22" t="s">
        <v>139</v>
      </c>
      <c r="AD22" t="s">
        <v>139</v>
      </c>
      <c r="AE22" t="s">
        <v>139</v>
      </c>
      <c r="AF22" t="s">
        <v>139</v>
      </c>
      <c r="AG22" t="s">
        <v>139</v>
      </c>
      <c r="AH22" s="9" t="s">
        <v>139</v>
      </c>
      <c r="AI22" t="s">
        <v>139</v>
      </c>
      <c r="AJ22" t="s">
        <v>139</v>
      </c>
      <c r="AK22" t="s">
        <v>139</v>
      </c>
      <c r="AL22" t="s">
        <v>139</v>
      </c>
      <c r="AM22" t="s">
        <v>139</v>
      </c>
      <c r="AN22" t="s">
        <v>139</v>
      </c>
      <c r="AO22" s="9" t="s">
        <v>139</v>
      </c>
      <c r="AP22" t="s">
        <v>139</v>
      </c>
      <c r="AQ22" t="s">
        <v>139</v>
      </c>
      <c r="AR22" t="s">
        <v>139</v>
      </c>
    </row>
    <row r="23" spans="1:44" x14ac:dyDescent="0.4">
      <c r="A23" s="3" t="s">
        <v>154</v>
      </c>
      <c r="B23">
        <v>109168.4</v>
      </c>
      <c r="C23">
        <v>73549.2</v>
      </c>
      <c r="D23">
        <v>66528.800000000003</v>
      </c>
      <c r="E23" t="s">
        <v>139</v>
      </c>
      <c r="F23" t="s">
        <v>139</v>
      </c>
      <c r="G23">
        <v>7020.4</v>
      </c>
      <c r="H23" t="s">
        <v>139</v>
      </c>
      <c r="I23" t="s">
        <v>139</v>
      </c>
      <c r="J23">
        <v>35619.199999999997</v>
      </c>
      <c r="K23">
        <v>14930.1</v>
      </c>
      <c r="L23">
        <v>9238.2000000000007</v>
      </c>
      <c r="M23" t="s">
        <v>139</v>
      </c>
      <c r="N23" t="s">
        <v>139</v>
      </c>
      <c r="O23" t="s">
        <v>139</v>
      </c>
      <c r="P23" t="s">
        <v>139</v>
      </c>
      <c r="Q23" t="s">
        <v>139</v>
      </c>
      <c r="R23" t="s">
        <v>139</v>
      </c>
      <c r="S23" t="s">
        <v>139</v>
      </c>
      <c r="T23" t="s">
        <v>139</v>
      </c>
      <c r="U23">
        <v>6155.9</v>
      </c>
      <c r="V23" s="6" t="s">
        <v>139</v>
      </c>
      <c r="W23" t="s">
        <v>139</v>
      </c>
      <c r="X23" t="s">
        <v>139</v>
      </c>
      <c r="Y23" t="s">
        <v>139</v>
      </c>
      <c r="Z23" t="s">
        <v>139</v>
      </c>
      <c r="AA23" t="s">
        <v>139</v>
      </c>
      <c r="AB23" t="s">
        <v>139</v>
      </c>
      <c r="AC23" t="s">
        <v>139</v>
      </c>
      <c r="AD23" t="s">
        <v>139</v>
      </c>
      <c r="AE23" t="s">
        <v>139</v>
      </c>
      <c r="AF23" t="s">
        <v>139</v>
      </c>
      <c r="AG23" t="s">
        <v>139</v>
      </c>
      <c r="AH23" s="9" t="s">
        <v>139</v>
      </c>
      <c r="AI23" t="s">
        <v>139</v>
      </c>
      <c r="AJ23" t="s">
        <v>139</v>
      </c>
      <c r="AK23" t="s">
        <v>139</v>
      </c>
      <c r="AL23" t="s">
        <v>139</v>
      </c>
      <c r="AM23" t="s">
        <v>139</v>
      </c>
      <c r="AN23" t="s">
        <v>139</v>
      </c>
      <c r="AO23" s="9" t="s">
        <v>139</v>
      </c>
      <c r="AP23" t="s">
        <v>139</v>
      </c>
      <c r="AQ23" t="s">
        <v>139</v>
      </c>
      <c r="AR23" t="s">
        <v>139</v>
      </c>
    </row>
    <row r="24" spans="1:44" x14ac:dyDescent="0.4">
      <c r="A24" s="3" t="s">
        <v>155</v>
      </c>
      <c r="B24">
        <v>109613.4</v>
      </c>
      <c r="C24">
        <v>73448.2</v>
      </c>
      <c r="D24">
        <v>66459.899999999994</v>
      </c>
      <c r="E24" t="s">
        <v>139</v>
      </c>
      <c r="F24" t="s">
        <v>139</v>
      </c>
      <c r="G24">
        <v>6988.3</v>
      </c>
      <c r="H24" t="s">
        <v>139</v>
      </c>
      <c r="I24" t="s">
        <v>139</v>
      </c>
      <c r="J24">
        <v>36165.300000000003</v>
      </c>
      <c r="K24">
        <v>15097.6</v>
      </c>
      <c r="L24">
        <v>9378.2000000000007</v>
      </c>
      <c r="M24" t="s">
        <v>139</v>
      </c>
      <c r="N24" t="s">
        <v>139</v>
      </c>
      <c r="O24" t="s">
        <v>139</v>
      </c>
      <c r="P24" t="s">
        <v>139</v>
      </c>
      <c r="Q24" t="s">
        <v>139</v>
      </c>
      <c r="R24" t="s">
        <v>139</v>
      </c>
      <c r="S24" t="s">
        <v>139</v>
      </c>
      <c r="T24" t="s">
        <v>139</v>
      </c>
      <c r="U24">
        <v>6282.2</v>
      </c>
      <c r="V24" s="6" t="s">
        <v>139</v>
      </c>
      <c r="W24" t="s">
        <v>139</v>
      </c>
      <c r="X24" t="s">
        <v>139</v>
      </c>
      <c r="Y24" t="s">
        <v>139</v>
      </c>
      <c r="Z24" t="s">
        <v>139</v>
      </c>
      <c r="AA24" t="s">
        <v>139</v>
      </c>
      <c r="AB24" t="s">
        <v>139</v>
      </c>
      <c r="AC24" t="s">
        <v>139</v>
      </c>
      <c r="AD24" t="s">
        <v>139</v>
      </c>
      <c r="AE24" t="s">
        <v>139</v>
      </c>
      <c r="AF24" t="s">
        <v>139</v>
      </c>
      <c r="AG24" t="s">
        <v>139</v>
      </c>
      <c r="AH24" s="9" t="s">
        <v>139</v>
      </c>
      <c r="AI24" t="s">
        <v>139</v>
      </c>
      <c r="AJ24" t="s">
        <v>139</v>
      </c>
      <c r="AK24" t="s">
        <v>139</v>
      </c>
      <c r="AL24" t="s">
        <v>139</v>
      </c>
      <c r="AM24" t="s">
        <v>139</v>
      </c>
      <c r="AN24" t="s">
        <v>139</v>
      </c>
      <c r="AO24" s="9" t="s">
        <v>139</v>
      </c>
      <c r="AP24" t="s">
        <v>139</v>
      </c>
      <c r="AQ24" t="s">
        <v>139</v>
      </c>
      <c r="AR24" t="s">
        <v>139</v>
      </c>
    </row>
    <row r="25" spans="1:44" x14ac:dyDescent="0.4">
      <c r="A25" s="3" t="s">
        <v>156</v>
      </c>
      <c r="B25">
        <v>109295.5</v>
      </c>
      <c r="C25">
        <v>72632.2</v>
      </c>
      <c r="D25">
        <v>65647.7</v>
      </c>
      <c r="E25" t="s">
        <v>139</v>
      </c>
      <c r="F25" t="s">
        <v>139</v>
      </c>
      <c r="G25">
        <v>6984.5</v>
      </c>
      <c r="H25" t="s">
        <v>139</v>
      </c>
      <c r="I25" t="s">
        <v>139</v>
      </c>
      <c r="J25">
        <v>36663.300000000003</v>
      </c>
      <c r="K25">
        <v>15215.8</v>
      </c>
      <c r="L25">
        <v>9513.2000000000007</v>
      </c>
      <c r="M25" t="s">
        <v>139</v>
      </c>
      <c r="N25" t="s">
        <v>139</v>
      </c>
      <c r="O25" t="s">
        <v>139</v>
      </c>
      <c r="P25" t="s">
        <v>139</v>
      </c>
      <c r="Q25" t="s">
        <v>139</v>
      </c>
      <c r="R25" t="s">
        <v>139</v>
      </c>
      <c r="S25" t="s">
        <v>139</v>
      </c>
      <c r="T25" t="s">
        <v>139</v>
      </c>
      <c r="U25">
        <v>6408.7</v>
      </c>
      <c r="V25" s="6" t="s">
        <v>139</v>
      </c>
      <c r="W25" t="s">
        <v>139</v>
      </c>
      <c r="X25" t="s">
        <v>139</v>
      </c>
      <c r="Y25" t="s">
        <v>139</v>
      </c>
      <c r="Z25" t="s">
        <v>139</v>
      </c>
      <c r="AA25" t="s">
        <v>139</v>
      </c>
      <c r="AB25" t="s">
        <v>139</v>
      </c>
      <c r="AC25" t="s">
        <v>139</v>
      </c>
      <c r="AD25" t="s">
        <v>139</v>
      </c>
      <c r="AE25" t="s">
        <v>139</v>
      </c>
      <c r="AF25" t="s">
        <v>139</v>
      </c>
      <c r="AG25" t="s">
        <v>139</v>
      </c>
      <c r="AH25" s="9" t="s">
        <v>139</v>
      </c>
      <c r="AI25" t="s">
        <v>139</v>
      </c>
      <c r="AJ25" t="s">
        <v>139</v>
      </c>
      <c r="AK25" t="s">
        <v>139</v>
      </c>
      <c r="AL25" t="s">
        <v>139</v>
      </c>
      <c r="AM25" t="s">
        <v>139</v>
      </c>
      <c r="AN25" t="s">
        <v>139</v>
      </c>
      <c r="AO25" s="9" t="s">
        <v>139</v>
      </c>
      <c r="AP25" t="s">
        <v>139</v>
      </c>
      <c r="AQ25" t="s">
        <v>139</v>
      </c>
      <c r="AR25" t="s">
        <v>139</v>
      </c>
    </row>
    <row r="26" spans="1:44" x14ac:dyDescent="0.4">
      <c r="A26" s="3" t="s">
        <v>157</v>
      </c>
      <c r="B26">
        <v>109745.4</v>
      </c>
      <c r="C26">
        <v>72760.100000000006</v>
      </c>
      <c r="D26">
        <v>65718.399999999994</v>
      </c>
      <c r="E26" t="s">
        <v>139</v>
      </c>
      <c r="F26" t="s">
        <v>139</v>
      </c>
      <c r="G26">
        <v>7041.8</v>
      </c>
      <c r="H26" t="s">
        <v>139</v>
      </c>
      <c r="I26" t="s">
        <v>139</v>
      </c>
      <c r="J26">
        <v>36985.199999999997</v>
      </c>
      <c r="K26">
        <v>15270.5</v>
      </c>
      <c r="L26">
        <v>9626.2999999999993</v>
      </c>
      <c r="M26" t="s">
        <v>139</v>
      </c>
      <c r="N26" t="s">
        <v>139</v>
      </c>
      <c r="O26" t="s">
        <v>139</v>
      </c>
      <c r="P26" t="s">
        <v>139</v>
      </c>
      <c r="Q26" t="s">
        <v>139</v>
      </c>
      <c r="R26" t="s">
        <v>139</v>
      </c>
      <c r="S26" t="s">
        <v>139</v>
      </c>
      <c r="T26" t="s">
        <v>139</v>
      </c>
      <c r="U26">
        <v>6502.5</v>
      </c>
      <c r="V26" s="6" t="s">
        <v>139</v>
      </c>
      <c r="W26" t="s">
        <v>139</v>
      </c>
      <c r="X26" t="s">
        <v>139</v>
      </c>
      <c r="Y26" t="s">
        <v>139</v>
      </c>
      <c r="Z26" t="s">
        <v>139</v>
      </c>
      <c r="AA26" t="s">
        <v>139</v>
      </c>
      <c r="AB26" t="s">
        <v>139</v>
      </c>
      <c r="AC26" t="s">
        <v>139</v>
      </c>
      <c r="AD26" t="s">
        <v>139</v>
      </c>
      <c r="AE26" t="s">
        <v>139</v>
      </c>
      <c r="AF26" t="s">
        <v>139</v>
      </c>
      <c r="AG26" t="s">
        <v>139</v>
      </c>
      <c r="AH26" s="9" t="s">
        <v>139</v>
      </c>
      <c r="AI26" t="s">
        <v>139</v>
      </c>
      <c r="AJ26" t="s">
        <v>139</v>
      </c>
      <c r="AK26" t="s">
        <v>139</v>
      </c>
      <c r="AL26" t="s">
        <v>139</v>
      </c>
      <c r="AM26" t="s">
        <v>139</v>
      </c>
      <c r="AN26" t="s">
        <v>139</v>
      </c>
      <c r="AO26" s="9" t="s">
        <v>139</v>
      </c>
      <c r="AP26" t="s">
        <v>139</v>
      </c>
      <c r="AQ26" t="s">
        <v>139</v>
      </c>
      <c r="AR26" t="s">
        <v>139</v>
      </c>
    </row>
    <row r="27" spans="1:44" x14ac:dyDescent="0.4">
      <c r="A27" s="3" t="s">
        <v>158</v>
      </c>
      <c r="B27">
        <v>110007.6</v>
      </c>
      <c r="C27">
        <v>72903.3</v>
      </c>
      <c r="D27">
        <v>65805.100000000006</v>
      </c>
      <c r="E27" t="s">
        <v>139</v>
      </c>
      <c r="F27" t="s">
        <v>139</v>
      </c>
      <c r="G27">
        <v>7098.2</v>
      </c>
      <c r="H27" t="s">
        <v>139</v>
      </c>
      <c r="I27" t="s">
        <v>139</v>
      </c>
      <c r="J27">
        <v>37104.300000000003</v>
      </c>
      <c r="K27">
        <v>15212</v>
      </c>
      <c r="L27">
        <v>9714.1</v>
      </c>
      <c r="M27" t="s">
        <v>139</v>
      </c>
      <c r="N27" t="s">
        <v>139</v>
      </c>
      <c r="O27" t="s">
        <v>139</v>
      </c>
      <c r="P27" t="s">
        <v>139</v>
      </c>
      <c r="Q27" t="s">
        <v>139</v>
      </c>
      <c r="R27" t="s">
        <v>139</v>
      </c>
      <c r="S27" t="s">
        <v>139</v>
      </c>
      <c r="T27" t="s">
        <v>139</v>
      </c>
      <c r="U27">
        <v>6574.9</v>
      </c>
      <c r="V27" s="6" t="s">
        <v>139</v>
      </c>
      <c r="W27" t="s">
        <v>139</v>
      </c>
      <c r="X27" t="s">
        <v>139</v>
      </c>
      <c r="Y27" t="s">
        <v>139</v>
      </c>
      <c r="Z27" t="s">
        <v>139</v>
      </c>
      <c r="AA27" t="s">
        <v>139</v>
      </c>
      <c r="AB27" t="s">
        <v>139</v>
      </c>
      <c r="AC27" t="s">
        <v>139</v>
      </c>
      <c r="AD27" t="s">
        <v>139</v>
      </c>
      <c r="AE27" t="s">
        <v>139</v>
      </c>
      <c r="AF27" t="s">
        <v>139</v>
      </c>
      <c r="AG27" t="s">
        <v>139</v>
      </c>
      <c r="AH27" s="9" t="s">
        <v>139</v>
      </c>
      <c r="AI27" t="s">
        <v>139</v>
      </c>
      <c r="AJ27" t="s">
        <v>139</v>
      </c>
      <c r="AK27" t="s">
        <v>139</v>
      </c>
      <c r="AL27" t="s">
        <v>139</v>
      </c>
      <c r="AM27" t="s">
        <v>139</v>
      </c>
      <c r="AN27" t="s">
        <v>139</v>
      </c>
      <c r="AO27" s="9" t="s">
        <v>139</v>
      </c>
      <c r="AP27" t="s">
        <v>139</v>
      </c>
      <c r="AQ27" t="s">
        <v>139</v>
      </c>
      <c r="AR27" t="s">
        <v>139</v>
      </c>
    </row>
    <row r="28" spans="1:44" x14ac:dyDescent="0.4">
      <c r="A28" s="3" t="s">
        <v>159</v>
      </c>
      <c r="B28">
        <v>108561.8</v>
      </c>
      <c r="C28">
        <v>71348.3</v>
      </c>
      <c r="D28">
        <v>64221</v>
      </c>
      <c r="E28" t="s">
        <v>139</v>
      </c>
      <c r="F28" t="s">
        <v>139</v>
      </c>
      <c r="G28">
        <v>7127.3</v>
      </c>
      <c r="H28" t="s">
        <v>139</v>
      </c>
      <c r="I28" t="s">
        <v>139</v>
      </c>
      <c r="J28">
        <v>37213.5</v>
      </c>
      <c r="K28">
        <v>15147.8</v>
      </c>
      <c r="L28">
        <v>9802.2000000000007</v>
      </c>
      <c r="M28" t="s">
        <v>139</v>
      </c>
      <c r="N28" t="s">
        <v>139</v>
      </c>
      <c r="O28" t="s">
        <v>139</v>
      </c>
      <c r="P28" t="s">
        <v>139</v>
      </c>
      <c r="Q28" t="s">
        <v>139</v>
      </c>
      <c r="R28" t="s">
        <v>139</v>
      </c>
      <c r="S28" t="s">
        <v>139</v>
      </c>
      <c r="T28" t="s">
        <v>139</v>
      </c>
      <c r="U28">
        <v>6647</v>
      </c>
      <c r="V28" s="6" t="s">
        <v>139</v>
      </c>
      <c r="W28" t="s">
        <v>139</v>
      </c>
      <c r="X28" t="s">
        <v>139</v>
      </c>
      <c r="Y28" t="s">
        <v>139</v>
      </c>
      <c r="Z28" t="s">
        <v>139</v>
      </c>
      <c r="AA28" t="s">
        <v>139</v>
      </c>
      <c r="AB28" t="s">
        <v>139</v>
      </c>
      <c r="AC28" t="s">
        <v>139</v>
      </c>
      <c r="AD28" t="s">
        <v>139</v>
      </c>
      <c r="AE28" t="s">
        <v>139</v>
      </c>
      <c r="AF28" t="s">
        <v>139</v>
      </c>
      <c r="AG28" t="s">
        <v>139</v>
      </c>
      <c r="AH28" s="9" t="s">
        <v>139</v>
      </c>
      <c r="AI28" t="s">
        <v>139</v>
      </c>
      <c r="AJ28" t="s">
        <v>139</v>
      </c>
      <c r="AK28" t="s">
        <v>139</v>
      </c>
      <c r="AL28" t="s">
        <v>139</v>
      </c>
      <c r="AM28" t="s">
        <v>139</v>
      </c>
      <c r="AN28" t="s">
        <v>139</v>
      </c>
      <c r="AO28" s="9" t="s">
        <v>139</v>
      </c>
      <c r="AP28" t="s">
        <v>139</v>
      </c>
      <c r="AQ28" t="s">
        <v>139</v>
      </c>
      <c r="AR28" t="s">
        <v>139</v>
      </c>
    </row>
    <row r="29" spans="1:44" x14ac:dyDescent="0.4">
      <c r="A29" s="3" t="s">
        <v>160</v>
      </c>
      <c r="B29">
        <v>108423.8</v>
      </c>
      <c r="C29">
        <v>71113.399999999994</v>
      </c>
      <c r="D29">
        <v>64078.1</v>
      </c>
      <c r="E29" t="s">
        <v>139</v>
      </c>
      <c r="F29" t="s">
        <v>139</v>
      </c>
      <c r="G29">
        <v>7035.3</v>
      </c>
      <c r="H29" t="s">
        <v>139</v>
      </c>
      <c r="I29" t="s">
        <v>139</v>
      </c>
      <c r="J29">
        <v>37310.400000000001</v>
      </c>
      <c r="K29">
        <v>15094.5</v>
      </c>
      <c r="L29">
        <v>9889.5</v>
      </c>
      <c r="M29" t="s">
        <v>139</v>
      </c>
      <c r="N29" t="s">
        <v>139</v>
      </c>
      <c r="O29" t="s">
        <v>139</v>
      </c>
      <c r="P29" t="s">
        <v>139</v>
      </c>
      <c r="Q29" t="s">
        <v>139</v>
      </c>
      <c r="R29" t="s">
        <v>139</v>
      </c>
      <c r="S29" t="s">
        <v>139</v>
      </c>
      <c r="T29" t="s">
        <v>139</v>
      </c>
      <c r="U29">
        <v>6719.1</v>
      </c>
      <c r="V29" s="6" t="s">
        <v>139</v>
      </c>
      <c r="W29" t="s">
        <v>139</v>
      </c>
      <c r="X29" t="s">
        <v>139</v>
      </c>
      <c r="Y29" t="s">
        <v>139</v>
      </c>
      <c r="Z29" t="s">
        <v>139</v>
      </c>
      <c r="AA29" t="s">
        <v>139</v>
      </c>
      <c r="AB29" t="s">
        <v>139</v>
      </c>
      <c r="AC29" t="s">
        <v>139</v>
      </c>
      <c r="AD29" t="s">
        <v>139</v>
      </c>
      <c r="AE29" t="s">
        <v>139</v>
      </c>
      <c r="AF29" t="s">
        <v>139</v>
      </c>
      <c r="AG29" t="s">
        <v>139</v>
      </c>
      <c r="AH29" s="9" t="s">
        <v>139</v>
      </c>
      <c r="AI29" t="s">
        <v>139</v>
      </c>
      <c r="AJ29" t="s">
        <v>139</v>
      </c>
      <c r="AK29" t="s">
        <v>139</v>
      </c>
      <c r="AL29" t="s">
        <v>139</v>
      </c>
      <c r="AM29" t="s">
        <v>139</v>
      </c>
      <c r="AN29" t="s">
        <v>139</v>
      </c>
      <c r="AO29" s="9" t="s">
        <v>139</v>
      </c>
      <c r="AP29" t="s">
        <v>139</v>
      </c>
      <c r="AQ29" t="s">
        <v>139</v>
      </c>
      <c r="AR29" t="s">
        <v>139</v>
      </c>
    </row>
    <row r="30" spans="1:44" x14ac:dyDescent="0.4">
      <c r="A30" s="3" t="s">
        <v>161</v>
      </c>
      <c r="B30">
        <v>108453.4</v>
      </c>
      <c r="C30">
        <v>71043.8</v>
      </c>
      <c r="D30">
        <v>64108.6</v>
      </c>
      <c r="E30" t="s">
        <v>139</v>
      </c>
      <c r="F30" t="s">
        <v>139</v>
      </c>
      <c r="G30">
        <v>6935.3</v>
      </c>
      <c r="H30" t="s">
        <v>139</v>
      </c>
      <c r="I30" t="s">
        <v>139</v>
      </c>
      <c r="J30">
        <v>37409.599999999999</v>
      </c>
      <c r="K30">
        <v>15046.2</v>
      </c>
      <c r="L30">
        <v>9975</v>
      </c>
      <c r="M30" t="s">
        <v>139</v>
      </c>
      <c r="N30" t="s">
        <v>139</v>
      </c>
      <c r="O30" t="s">
        <v>139</v>
      </c>
      <c r="P30" t="s">
        <v>139</v>
      </c>
      <c r="Q30" t="s">
        <v>139</v>
      </c>
      <c r="R30" t="s">
        <v>139</v>
      </c>
      <c r="S30" t="s">
        <v>139</v>
      </c>
      <c r="T30" t="s">
        <v>139</v>
      </c>
      <c r="U30">
        <v>6790.5</v>
      </c>
      <c r="V30" s="6" t="s">
        <v>139</v>
      </c>
      <c r="W30" t="s">
        <v>139</v>
      </c>
      <c r="X30" t="s">
        <v>139</v>
      </c>
      <c r="Y30" t="s">
        <v>139</v>
      </c>
      <c r="Z30" t="s">
        <v>139</v>
      </c>
      <c r="AA30" t="s">
        <v>139</v>
      </c>
      <c r="AB30" t="s">
        <v>139</v>
      </c>
      <c r="AC30" t="s">
        <v>139</v>
      </c>
      <c r="AD30" t="s">
        <v>139</v>
      </c>
      <c r="AE30" t="s">
        <v>139</v>
      </c>
      <c r="AF30" t="s">
        <v>139</v>
      </c>
      <c r="AG30" t="s">
        <v>139</v>
      </c>
      <c r="AH30" s="9" t="s">
        <v>139</v>
      </c>
      <c r="AI30" t="s">
        <v>139</v>
      </c>
      <c r="AJ30" t="s">
        <v>139</v>
      </c>
      <c r="AK30" t="s">
        <v>139</v>
      </c>
      <c r="AL30" t="s">
        <v>139</v>
      </c>
      <c r="AM30" t="s">
        <v>139</v>
      </c>
      <c r="AN30" t="s">
        <v>139</v>
      </c>
      <c r="AO30" s="9" t="s">
        <v>139</v>
      </c>
      <c r="AP30" t="s">
        <v>139</v>
      </c>
      <c r="AQ30" t="s">
        <v>139</v>
      </c>
      <c r="AR30" t="s">
        <v>139</v>
      </c>
    </row>
    <row r="31" spans="1:44" x14ac:dyDescent="0.4">
      <c r="A31" s="3" t="s">
        <v>162</v>
      </c>
      <c r="B31">
        <v>108429.6</v>
      </c>
      <c r="C31">
        <v>70874.8</v>
      </c>
      <c r="D31">
        <v>63962.5</v>
      </c>
      <c r="E31" t="s">
        <v>139</v>
      </c>
      <c r="F31" t="s">
        <v>139</v>
      </c>
      <c r="G31">
        <v>6912.3</v>
      </c>
      <c r="H31" t="s">
        <v>139</v>
      </c>
      <c r="I31" t="s">
        <v>139</v>
      </c>
      <c r="J31">
        <v>37554.800000000003</v>
      </c>
      <c r="K31">
        <v>15034.8</v>
      </c>
      <c r="L31">
        <v>10054.6</v>
      </c>
      <c r="M31" t="s">
        <v>139</v>
      </c>
      <c r="N31" t="s">
        <v>139</v>
      </c>
      <c r="O31" t="s">
        <v>139</v>
      </c>
      <c r="P31" t="s">
        <v>139</v>
      </c>
      <c r="Q31" t="s">
        <v>139</v>
      </c>
      <c r="R31" t="s">
        <v>139</v>
      </c>
      <c r="S31" t="s">
        <v>139</v>
      </c>
      <c r="T31" t="s">
        <v>139</v>
      </c>
      <c r="U31">
        <v>6863.2</v>
      </c>
      <c r="V31" s="6" t="s">
        <v>139</v>
      </c>
      <c r="W31" t="s">
        <v>139</v>
      </c>
      <c r="X31" t="s">
        <v>139</v>
      </c>
      <c r="Y31" t="s">
        <v>139</v>
      </c>
      <c r="Z31" t="s">
        <v>139</v>
      </c>
      <c r="AA31" t="s">
        <v>139</v>
      </c>
      <c r="AB31" t="s">
        <v>139</v>
      </c>
      <c r="AC31" t="s">
        <v>139</v>
      </c>
      <c r="AD31" t="s">
        <v>139</v>
      </c>
      <c r="AE31" t="s">
        <v>139</v>
      </c>
      <c r="AF31" t="s">
        <v>139</v>
      </c>
      <c r="AG31" t="s">
        <v>139</v>
      </c>
      <c r="AH31" s="9" t="s">
        <v>139</v>
      </c>
      <c r="AI31" t="s">
        <v>139</v>
      </c>
      <c r="AJ31" t="s">
        <v>139</v>
      </c>
      <c r="AK31" t="s">
        <v>139</v>
      </c>
      <c r="AL31" t="s">
        <v>139</v>
      </c>
      <c r="AM31" t="s">
        <v>139</v>
      </c>
      <c r="AN31" t="s">
        <v>139</v>
      </c>
      <c r="AO31" s="9" t="s">
        <v>139</v>
      </c>
      <c r="AP31" t="s">
        <v>139</v>
      </c>
      <c r="AQ31" t="s">
        <v>139</v>
      </c>
      <c r="AR31" t="s">
        <v>139</v>
      </c>
    </row>
    <row r="32" spans="1:44" x14ac:dyDescent="0.4">
      <c r="A32" s="3" t="s">
        <v>163</v>
      </c>
      <c r="B32">
        <v>108764.1</v>
      </c>
      <c r="C32">
        <v>71066.5</v>
      </c>
      <c r="D32">
        <v>64191.199999999997</v>
      </c>
      <c r="E32" t="s">
        <v>139</v>
      </c>
      <c r="F32" t="s">
        <v>139</v>
      </c>
      <c r="G32">
        <v>6875.3</v>
      </c>
      <c r="H32" t="s">
        <v>139</v>
      </c>
      <c r="I32" t="s">
        <v>139</v>
      </c>
      <c r="J32">
        <v>37697.599999999999</v>
      </c>
      <c r="K32">
        <v>14925.4</v>
      </c>
      <c r="L32">
        <v>10141.5</v>
      </c>
      <c r="M32" t="s">
        <v>139</v>
      </c>
      <c r="N32" t="s">
        <v>139</v>
      </c>
      <c r="O32" t="s">
        <v>139</v>
      </c>
      <c r="P32" t="s">
        <v>139</v>
      </c>
      <c r="Q32" t="s">
        <v>139</v>
      </c>
      <c r="R32" t="s">
        <v>139</v>
      </c>
      <c r="S32" t="s">
        <v>139</v>
      </c>
      <c r="T32" t="s">
        <v>139</v>
      </c>
      <c r="U32">
        <v>6930.4</v>
      </c>
      <c r="V32" s="6" t="s">
        <v>139</v>
      </c>
      <c r="W32" t="s">
        <v>139</v>
      </c>
      <c r="X32" t="s">
        <v>139</v>
      </c>
      <c r="Y32" t="s">
        <v>139</v>
      </c>
      <c r="Z32" t="s">
        <v>139</v>
      </c>
      <c r="AA32" t="s">
        <v>139</v>
      </c>
      <c r="AB32" t="s">
        <v>139</v>
      </c>
      <c r="AC32" t="s">
        <v>139</v>
      </c>
      <c r="AD32" t="s">
        <v>139</v>
      </c>
      <c r="AE32" t="s">
        <v>139</v>
      </c>
      <c r="AF32" t="s">
        <v>139</v>
      </c>
      <c r="AG32" t="s">
        <v>139</v>
      </c>
      <c r="AH32" s="9" t="s">
        <v>139</v>
      </c>
      <c r="AI32" t="s">
        <v>139</v>
      </c>
      <c r="AJ32" t="s">
        <v>139</v>
      </c>
      <c r="AK32" t="s">
        <v>139</v>
      </c>
      <c r="AL32" t="s">
        <v>139</v>
      </c>
      <c r="AM32" t="s">
        <v>139</v>
      </c>
      <c r="AN32" t="s">
        <v>139</v>
      </c>
      <c r="AO32" s="9" t="s">
        <v>139</v>
      </c>
      <c r="AP32" t="s">
        <v>139</v>
      </c>
      <c r="AQ32" t="s">
        <v>139</v>
      </c>
      <c r="AR32" t="s">
        <v>139</v>
      </c>
    </row>
    <row r="33" spans="1:44" x14ac:dyDescent="0.4">
      <c r="A33" s="3" t="s">
        <v>164</v>
      </c>
      <c r="B33">
        <v>108447.9</v>
      </c>
      <c r="C33">
        <v>70618</v>
      </c>
      <c r="D33">
        <v>63713.599999999999</v>
      </c>
      <c r="E33" t="s">
        <v>139</v>
      </c>
      <c r="F33" t="s">
        <v>139</v>
      </c>
      <c r="G33">
        <v>6904.4</v>
      </c>
      <c r="H33" t="s">
        <v>139</v>
      </c>
      <c r="I33" t="s">
        <v>139</v>
      </c>
      <c r="J33">
        <v>37829.9</v>
      </c>
      <c r="K33">
        <v>14787.4</v>
      </c>
      <c r="L33">
        <v>10185.5</v>
      </c>
      <c r="M33" t="s">
        <v>139</v>
      </c>
      <c r="N33" t="s">
        <v>139</v>
      </c>
      <c r="O33" t="s">
        <v>139</v>
      </c>
      <c r="P33" t="s">
        <v>139</v>
      </c>
      <c r="Q33" t="s">
        <v>139</v>
      </c>
      <c r="R33" t="s">
        <v>139</v>
      </c>
      <c r="S33" t="s">
        <v>139</v>
      </c>
      <c r="T33" t="s">
        <v>139</v>
      </c>
      <c r="U33">
        <v>6991.1</v>
      </c>
      <c r="V33" s="6" t="s">
        <v>139</v>
      </c>
      <c r="W33" t="s">
        <v>139</v>
      </c>
      <c r="X33" t="s">
        <v>139</v>
      </c>
      <c r="Y33" t="s">
        <v>139</v>
      </c>
      <c r="Z33" t="s">
        <v>139</v>
      </c>
      <c r="AA33" t="s">
        <v>139</v>
      </c>
      <c r="AB33" t="s">
        <v>139</v>
      </c>
      <c r="AC33" t="s">
        <v>139</v>
      </c>
      <c r="AD33" t="s">
        <v>139</v>
      </c>
      <c r="AE33" t="s">
        <v>139</v>
      </c>
      <c r="AF33" t="s">
        <v>139</v>
      </c>
      <c r="AG33" t="s">
        <v>139</v>
      </c>
      <c r="AH33" s="9" t="s">
        <v>139</v>
      </c>
      <c r="AI33" t="s">
        <v>139</v>
      </c>
      <c r="AJ33" t="s">
        <v>139</v>
      </c>
      <c r="AK33" t="s">
        <v>139</v>
      </c>
      <c r="AL33" t="s">
        <v>139</v>
      </c>
      <c r="AM33" t="s">
        <v>139</v>
      </c>
      <c r="AN33" t="s">
        <v>139</v>
      </c>
      <c r="AO33" s="9" t="s">
        <v>139</v>
      </c>
      <c r="AP33" t="s">
        <v>139</v>
      </c>
      <c r="AQ33" t="s">
        <v>139</v>
      </c>
      <c r="AR33" t="s">
        <v>139</v>
      </c>
    </row>
    <row r="34" spans="1:44" x14ac:dyDescent="0.4">
      <c r="A34" s="3" t="s">
        <v>165</v>
      </c>
      <c r="B34">
        <v>107601.8</v>
      </c>
      <c r="C34">
        <v>69614.7</v>
      </c>
      <c r="D34">
        <v>62650.3</v>
      </c>
      <c r="E34" t="s">
        <v>139</v>
      </c>
      <c r="F34" t="s">
        <v>139</v>
      </c>
      <c r="G34">
        <v>6964.5</v>
      </c>
      <c r="H34" t="s">
        <v>139</v>
      </c>
      <c r="I34" t="s">
        <v>139</v>
      </c>
      <c r="J34">
        <v>37987.1</v>
      </c>
      <c r="K34">
        <v>14662.1</v>
      </c>
      <c r="L34">
        <v>10236.799999999999</v>
      </c>
      <c r="M34" t="s">
        <v>139</v>
      </c>
      <c r="N34" t="s">
        <v>139</v>
      </c>
      <c r="O34" t="s">
        <v>139</v>
      </c>
      <c r="P34" t="s">
        <v>139</v>
      </c>
      <c r="Q34" t="s">
        <v>139</v>
      </c>
      <c r="R34" t="s">
        <v>139</v>
      </c>
      <c r="S34" t="s">
        <v>139</v>
      </c>
      <c r="T34" t="s">
        <v>139</v>
      </c>
      <c r="U34">
        <v>7051.4</v>
      </c>
      <c r="V34" s="6" t="s">
        <v>139</v>
      </c>
      <c r="W34" t="s">
        <v>139</v>
      </c>
      <c r="X34" t="s">
        <v>139</v>
      </c>
      <c r="Y34" t="s">
        <v>139</v>
      </c>
      <c r="Z34" t="s">
        <v>139</v>
      </c>
      <c r="AA34" t="s">
        <v>139</v>
      </c>
      <c r="AB34" t="s">
        <v>139</v>
      </c>
      <c r="AC34" t="s">
        <v>139</v>
      </c>
      <c r="AD34" t="s">
        <v>139</v>
      </c>
      <c r="AE34" t="s">
        <v>139</v>
      </c>
      <c r="AF34" t="s">
        <v>139</v>
      </c>
      <c r="AG34" t="s">
        <v>139</v>
      </c>
      <c r="AH34" s="9" t="s">
        <v>139</v>
      </c>
      <c r="AI34" t="s">
        <v>139</v>
      </c>
      <c r="AJ34" t="s">
        <v>139</v>
      </c>
      <c r="AK34" t="s">
        <v>139</v>
      </c>
      <c r="AL34" t="s">
        <v>139</v>
      </c>
      <c r="AM34" t="s">
        <v>139</v>
      </c>
      <c r="AN34" t="s">
        <v>139</v>
      </c>
      <c r="AO34" s="9" t="s">
        <v>139</v>
      </c>
      <c r="AP34" t="s">
        <v>139</v>
      </c>
      <c r="AQ34" t="s">
        <v>139</v>
      </c>
      <c r="AR34" t="s">
        <v>139</v>
      </c>
    </row>
    <row r="35" spans="1:44" x14ac:dyDescent="0.4">
      <c r="A35" s="3" t="s">
        <v>166</v>
      </c>
      <c r="B35">
        <v>107995.4</v>
      </c>
      <c r="C35">
        <v>69876.100000000006</v>
      </c>
      <c r="D35">
        <v>62895.7</v>
      </c>
      <c r="E35" t="s">
        <v>139</v>
      </c>
      <c r="F35" t="s">
        <v>139</v>
      </c>
      <c r="G35">
        <v>6980.4</v>
      </c>
      <c r="H35" t="s">
        <v>139</v>
      </c>
      <c r="I35" t="s">
        <v>139</v>
      </c>
      <c r="J35">
        <v>38119.300000000003</v>
      </c>
      <c r="K35">
        <v>14514.9</v>
      </c>
      <c r="L35">
        <v>10283.799999999999</v>
      </c>
      <c r="M35" t="s">
        <v>139</v>
      </c>
      <c r="N35" t="s">
        <v>139</v>
      </c>
      <c r="O35" t="s">
        <v>139</v>
      </c>
      <c r="P35" t="s">
        <v>139</v>
      </c>
      <c r="Q35" t="s">
        <v>139</v>
      </c>
      <c r="R35" t="s">
        <v>139</v>
      </c>
      <c r="S35" t="s">
        <v>139</v>
      </c>
      <c r="T35" t="s">
        <v>139</v>
      </c>
      <c r="U35">
        <v>7114.5</v>
      </c>
      <c r="V35" s="6" t="s">
        <v>139</v>
      </c>
      <c r="W35" t="s">
        <v>139</v>
      </c>
      <c r="X35" t="s">
        <v>139</v>
      </c>
      <c r="Y35" t="s">
        <v>139</v>
      </c>
      <c r="Z35" t="s">
        <v>139</v>
      </c>
      <c r="AA35" t="s">
        <v>139</v>
      </c>
      <c r="AB35" t="s">
        <v>139</v>
      </c>
      <c r="AC35" t="s">
        <v>139</v>
      </c>
      <c r="AD35" t="s">
        <v>139</v>
      </c>
      <c r="AE35" t="s">
        <v>139</v>
      </c>
      <c r="AF35" t="s">
        <v>139</v>
      </c>
      <c r="AG35" t="s">
        <v>139</v>
      </c>
      <c r="AH35" s="9" t="s">
        <v>139</v>
      </c>
      <c r="AI35" t="s">
        <v>139</v>
      </c>
      <c r="AJ35" t="s">
        <v>139</v>
      </c>
      <c r="AK35" t="s">
        <v>139</v>
      </c>
      <c r="AL35" t="s">
        <v>139</v>
      </c>
      <c r="AM35" t="s">
        <v>139</v>
      </c>
      <c r="AN35" t="s">
        <v>139</v>
      </c>
      <c r="AO35" s="9" t="s">
        <v>139</v>
      </c>
      <c r="AP35" t="s">
        <v>139</v>
      </c>
      <c r="AQ35" t="s">
        <v>139</v>
      </c>
      <c r="AR35" t="s">
        <v>139</v>
      </c>
    </row>
    <row r="36" spans="1:44" x14ac:dyDescent="0.4">
      <c r="A36" s="3" t="s">
        <v>167</v>
      </c>
      <c r="B36">
        <v>109283.2</v>
      </c>
      <c r="C36">
        <v>71053.100000000006</v>
      </c>
      <c r="D36">
        <v>64026.7</v>
      </c>
      <c r="E36" t="s">
        <v>139</v>
      </c>
      <c r="F36" t="s">
        <v>139</v>
      </c>
      <c r="G36">
        <v>7026.4</v>
      </c>
      <c r="H36" t="s">
        <v>139</v>
      </c>
      <c r="I36" t="s">
        <v>139</v>
      </c>
      <c r="J36">
        <v>38230.1</v>
      </c>
      <c r="K36">
        <v>14345.5</v>
      </c>
      <c r="L36">
        <v>10328.5</v>
      </c>
      <c r="M36" t="s">
        <v>139</v>
      </c>
      <c r="N36" t="s">
        <v>139</v>
      </c>
      <c r="O36" t="s">
        <v>139</v>
      </c>
      <c r="P36" t="s">
        <v>139</v>
      </c>
      <c r="Q36" t="s">
        <v>139</v>
      </c>
      <c r="R36" t="s">
        <v>139</v>
      </c>
      <c r="S36" t="s">
        <v>139</v>
      </c>
      <c r="T36" t="s">
        <v>139</v>
      </c>
      <c r="U36">
        <v>7176.9</v>
      </c>
      <c r="V36" s="6" t="s">
        <v>139</v>
      </c>
      <c r="W36" t="s">
        <v>139</v>
      </c>
      <c r="X36" t="s">
        <v>139</v>
      </c>
      <c r="Y36" t="s">
        <v>139</v>
      </c>
      <c r="Z36" t="s">
        <v>139</v>
      </c>
      <c r="AA36" t="s">
        <v>139</v>
      </c>
      <c r="AB36" t="s">
        <v>139</v>
      </c>
      <c r="AC36" t="s">
        <v>139</v>
      </c>
      <c r="AD36" t="s">
        <v>139</v>
      </c>
      <c r="AE36" t="s">
        <v>139</v>
      </c>
      <c r="AF36" t="s">
        <v>139</v>
      </c>
      <c r="AG36" t="s">
        <v>139</v>
      </c>
      <c r="AH36" s="9" t="s">
        <v>139</v>
      </c>
      <c r="AI36" t="s">
        <v>139</v>
      </c>
      <c r="AJ36" t="s">
        <v>139</v>
      </c>
      <c r="AK36" t="s">
        <v>139</v>
      </c>
      <c r="AL36" t="s">
        <v>139</v>
      </c>
      <c r="AM36" t="s">
        <v>139</v>
      </c>
      <c r="AN36" t="s">
        <v>139</v>
      </c>
      <c r="AO36" s="9" t="s">
        <v>139</v>
      </c>
      <c r="AP36" t="s">
        <v>139</v>
      </c>
      <c r="AQ36" t="s">
        <v>139</v>
      </c>
      <c r="AR36" t="s">
        <v>139</v>
      </c>
    </row>
    <row r="37" spans="1:44" x14ac:dyDescent="0.4">
      <c r="A37" s="3" t="s">
        <v>168</v>
      </c>
      <c r="B37">
        <v>109560.9</v>
      </c>
      <c r="C37">
        <v>71255.3</v>
      </c>
      <c r="D37">
        <v>64144.3</v>
      </c>
      <c r="E37" t="s">
        <v>139</v>
      </c>
      <c r="F37" t="s">
        <v>139</v>
      </c>
      <c r="G37">
        <v>7111</v>
      </c>
      <c r="H37" t="s">
        <v>139</v>
      </c>
      <c r="I37" t="s">
        <v>139</v>
      </c>
      <c r="J37">
        <v>38305.5</v>
      </c>
      <c r="K37">
        <v>14138.6</v>
      </c>
      <c r="L37">
        <v>10367.299999999999</v>
      </c>
      <c r="M37" t="s">
        <v>139</v>
      </c>
      <c r="N37" t="s">
        <v>139</v>
      </c>
      <c r="O37" t="s">
        <v>139</v>
      </c>
      <c r="P37" t="s">
        <v>139</v>
      </c>
      <c r="Q37" t="s">
        <v>139</v>
      </c>
      <c r="R37" t="s">
        <v>139</v>
      </c>
      <c r="S37" t="s">
        <v>139</v>
      </c>
      <c r="T37" t="s">
        <v>139</v>
      </c>
      <c r="U37">
        <v>7240.2</v>
      </c>
      <c r="V37" s="6" t="s">
        <v>139</v>
      </c>
      <c r="W37" t="s">
        <v>139</v>
      </c>
      <c r="X37" t="s">
        <v>139</v>
      </c>
      <c r="Y37" t="s">
        <v>139</v>
      </c>
      <c r="Z37" t="s">
        <v>139</v>
      </c>
      <c r="AA37" t="s">
        <v>139</v>
      </c>
      <c r="AB37" t="s">
        <v>139</v>
      </c>
      <c r="AC37" t="s">
        <v>139</v>
      </c>
      <c r="AD37" t="s">
        <v>139</v>
      </c>
      <c r="AE37" t="s">
        <v>139</v>
      </c>
      <c r="AF37" t="s">
        <v>139</v>
      </c>
      <c r="AG37" t="s">
        <v>139</v>
      </c>
      <c r="AH37" s="9" t="s">
        <v>139</v>
      </c>
      <c r="AI37" t="s">
        <v>139</v>
      </c>
      <c r="AJ37" t="s">
        <v>139</v>
      </c>
      <c r="AK37" t="s">
        <v>139</v>
      </c>
      <c r="AL37" t="s">
        <v>139</v>
      </c>
      <c r="AM37" t="s">
        <v>139</v>
      </c>
      <c r="AN37" t="s">
        <v>139</v>
      </c>
      <c r="AO37" s="9" t="s">
        <v>139</v>
      </c>
      <c r="AP37" t="s">
        <v>139</v>
      </c>
      <c r="AQ37" t="s">
        <v>139</v>
      </c>
      <c r="AR37" t="s">
        <v>139</v>
      </c>
    </row>
    <row r="38" spans="1:44" x14ac:dyDescent="0.4">
      <c r="A38" s="3" t="s">
        <v>169</v>
      </c>
      <c r="B38">
        <v>110927.6</v>
      </c>
      <c r="C38">
        <v>72519.3</v>
      </c>
      <c r="D38">
        <v>65213.9</v>
      </c>
      <c r="E38" t="s">
        <v>139</v>
      </c>
      <c r="F38" t="s">
        <v>139</v>
      </c>
      <c r="G38">
        <v>7305.4</v>
      </c>
      <c r="H38" t="s">
        <v>139</v>
      </c>
      <c r="I38" t="s">
        <v>139</v>
      </c>
      <c r="J38">
        <v>38408.300000000003</v>
      </c>
      <c r="K38">
        <v>14021.2</v>
      </c>
      <c r="L38">
        <v>10428.4</v>
      </c>
      <c r="M38" t="s">
        <v>139</v>
      </c>
      <c r="N38" t="s">
        <v>139</v>
      </c>
      <c r="O38" t="s">
        <v>139</v>
      </c>
      <c r="P38" t="s">
        <v>139</v>
      </c>
      <c r="Q38" t="s">
        <v>139</v>
      </c>
      <c r="R38" t="s">
        <v>139</v>
      </c>
      <c r="S38" t="s">
        <v>139</v>
      </c>
      <c r="T38" t="s">
        <v>139</v>
      </c>
      <c r="U38">
        <v>7348.6</v>
      </c>
      <c r="V38" s="6" t="s">
        <v>139</v>
      </c>
      <c r="W38" t="s">
        <v>139</v>
      </c>
      <c r="X38" t="s">
        <v>139</v>
      </c>
      <c r="Y38" t="s">
        <v>139</v>
      </c>
      <c r="Z38" t="s">
        <v>139</v>
      </c>
      <c r="AA38" t="s">
        <v>139</v>
      </c>
      <c r="AB38" t="s">
        <v>139</v>
      </c>
      <c r="AC38" t="s">
        <v>139</v>
      </c>
      <c r="AD38" t="s">
        <v>139</v>
      </c>
      <c r="AE38" t="s">
        <v>139</v>
      </c>
      <c r="AF38" t="s">
        <v>139</v>
      </c>
      <c r="AG38" t="s">
        <v>139</v>
      </c>
      <c r="AH38" s="9" t="s">
        <v>139</v>
      </c>
      <c r="AI38" t="s">
        <v>139</v>
      </c>
      <c r="AJ38" t="s">
        <v>139</v>
      </c>
      <c r="AK38" t="s">
        <v>139</v>
      </c>
      <c r="AL38" t="s">
        <v>139</v>
      </c>
      <c r="AM38" t="s">
        <v>139</v>
      </c>
      <c r="AN38" t="s">
        <v>139</v>
      </c>
      <c r="AO38" s="9" t="s">
        <v>139</v>
      </c>
      <c r="AP38" t="s">
        <v>139</v>
      </c>
      <c r="AQ38" t="s">
        <v>139</v>
      </c>
      <c r="AR38" t="s">
        <v>139</v>
      </c>
    </row>
    <row r="39" spans="1:44" x14ac:dyDescent="0.4">
      <c r="A39" s="3" t="s">
        <v>170</v>
      </c>
      <c r="B39">
        <v>113145.9</v>
      </c>
      <c r="C39">
        <v>74682.600000000006</v>
      </c>
      <c r="D39">
        <v>67206</v>
      </c>
      <c r="E39" t="s">
        <v>139</v>
      </c>
      <c r="F39" t="s">
        <v>139</v>
      </c>
      <c r="G39">
        <v>7476.5</v>
      </c>
      <c r="H39" t="s">
        <v>139</v>
      </c>
      <c r="I39" t="s">
        <v>139</v>
      </c>
      <c r="J39">
        <v>38463.300000000003</v>
      </c>
      <c r="K39">
        <v>13923</v>
      </c>
      <c r="L39">
        <v>10493.3</v>
      </c>
      <c r="M39" t="s">
        <v>139</v>
      </c>
      <c r="N39" t="s">
        <v>139</v>
      </c>
      <c r="O39" t="s">
        <v>139</v>
      </c>
      <c r="P39" t="s">
        <v>139</v>
      </c>
      <c r="Q39" t="s">
        <v>139</v>
      </c>
      <c r="R39" t="s">
        <v>139</v>
      </c>
      <c r="S39" t="s">
        <v>139</v>
      </c>
      <c r="T39" t="s">
        <v>139</v>
      </c>
      <c r="U39">
        <v>7485.7</v>
      </c>
      <c r="V39" s="6" t="s">
        <v>139</v>
      </c>
      <c r="W39" t="s">
        <v>139</v>
      </c>
      <c r="X39" t="s">
        <v>139</v>
      </c>
      <c r="Y39" t="s">
        <v>139</v>
      </c>
      <c r="Z39" t="s">
        <v>139</v>
      </c>
      <c r="AA39" t="s">
        <v>139</v>
      </c>
      <c r="AB39" t="s">
        <v>139</v>
      </c>
      <c r="AC39" t="s">
        <v>139</v>
      </c>
      <c r="AD39" t="s">
        <v>139</v>
      </c>
      <c r="AE39" t="s">
        <v>139</v>
      </c>
      <c r="AF39" t="s">
        <v>139</v>
      </c>
      <c r="AG39" t="s">
        <v>139</v>
      </c>
      <c r="AH39" s="9" t="s">
        <v>139</v>
      </c>
      <c r="AI39" t="s">
        <v>139</v>
      </c>
      <c r="AJ39" t="s">
        <v>139</v>
      </c>
      <c r="AK39" t="s">
        <v>139</v>
      </c>
      <c r="AL39" t="s">
        <v>139</v>
      </c>
      <c r="AM39" t="s">
        <v>139</v>
      </c>
      <c r="AN39" t="s">
        <v>139</v>
      </c>
      <c r="AO39" s="9" t="s">
        <v>139</v>
      </c>
      <c r="AP39" t="s">
        <v>139</v>
      </c>
      <c r="AQ39" t="s">
        <v>139</v>
      </c>
      <c r="AR39" t="s">
        <v>139</v>
      </c>
    </row>
    <row r="40" spans="1:44" x14ac:dyDescent="0.4">
      <c r="A40" s="3" t="s">
        <v>171</v>
      </c>
      <c r="B40">
        <v>114198.1</v>
      </c>
      <c r="C40">
        <v>75690.3</v>
      </c>
      <c r="D40">
        <v>68103.7</v>
      </c>
      <c r="E40" t="s">
        <v>139</v>
      </c>
      <c r="F40" t="s">
        <v>139</v>
      </c>
      <c r="G40">
        <v>7586.6</v>
      </c>
      <c r="H40" t="s">
        <v>139</v>
      </c>
      <c r="I40" t="s">
        <v>139</v>
      </c>
      <c r="J40">
        <v>38507.800000000003</v>
      </c>
      <c r="K40">
        <v>13824.6</v>
      </c>
      <c r="L40">
        <v>10557.3</v>
      </c>
      <c r="M40" t="s">
        <v>139</v>
      </c>
      <c r="N40" t="s">
        <v>139</v>
      </c>
      <c r="O40" t="s">
        <v>139</v>
      </c>
      <c r="P40" t="s">
        <v>139</v>
      </c>
      <c r="Q40" t="s">
        <v>139</v>
      </c>
      <c r="R40" t="s">
        <v>139</v>
      </c>
      <c r="S40" t="s">
        <v>139</v>
      </c>
      <c r="T40" t="s">
        <v>139</v>
      </c>
      <c r="U40">
        <v>7623.2</v>
      </c>
      <c r="V40" s="6" t="s">
        <v>139</v>
      </c>
      <c r="W40" t="s">
        <v>139</v>
      </c>
      <c r="X40" t="s">
        <v>139</v>
      </c>
      <c r="Y40" t="s">
        <v>139</v>
      </c>
      <c r="Z40" t="s">
        <v>139</v>
      </c>
      <c r="AA40" t="s">
        <v>139</v>
      </c>
      <c r="AB40" t="s">
        <v>139</v>
      </c>
      <c r="AC40" t="s">
        <v>139</v>
      </c>
      <c r="AD40" t="s">
        <v>139</v>
      </c>
      <c r="AE40" t="s">
        <v>139</v>
      </c>
      <c r="AF40" t="s">
        <v>139</v>
      </c>
      <c r="AG40" t="s">
        <v>139</v>
      </c>
      <c r="AH40" s="9" t="s">
        <v>139</v>
      </c>
      <c r="AI40" t="s">
        <v>139</v>
      </c>
      <c r="AJ40" t="s">
        <v>139</v>
      </c>
      <c r="AK40" t="s">
        <v>139</v>
      </c>
      <c r="AL40" t="s">
        <v>139</v>
      </c>
      <c r="AM40" t="s">
        <v>139</v>
      </c>
      <c r="AN40" t="s">
        <v>139</v>
      </c>
      <c r="AO40" s="9" t="s">
        <v>139</v>
      </c>
      <c r="AP40" t="s">
        <v>139</v>
      </c>
      <c r="AQ40" t="s">
        <v>139</v>
      </c>
      <c r="AR40" t="s">
        <v>139</v>
      </c>
    </row>
    <row r="41" spans="1:44" x14ac:dyDescent="0.4">
      <c r="A41" s="3" t="s">
        <v>172</v>
      </c>
      <c r="B41">
        <v>114922.6</v>
      </c>
      <c r="C41">
        <v>76375.5</v>
      </c>
      <c r="D41">
        <v>68761.100000000006</v>
      </c>
      <c r="E41" t="s">
        <v>139</v>
      </c>
      <c r="F41" t="s">
        <v>139</v>
      </c>
      <c r="G41">
        <v>7614.4</v>
      </c>
      <c r="H41" t="s">
        <v>139</v>
      </c>
      <c r="I41" t="s">
        <v>139</v>
      </c>
      <c r="J41">
        <v>38547.1</v>
      </c>
      <c r="K41">
        <v>13737.6</v>
      </c>
      <c r="L41">
        <v>10621.3</v>
      </c>
      <c r="M41" t="s">
        <v>139</v>
      </c>
      <c r="N41" t="s">
        <v>139</v>
      </c>
      <c r="O41" t="s">
        <v>139</v>
      </c>
      <c r="P41" t="s">
        <v>139</v>
      </c>
      <c r="Q41" t="s">
        <v>139</v>
      </c>
      <c r="R41" t="s">
        <v>139</v>
      </c>
      <c r="S41" t="s">
        <v>139</v>
      </c>
      <c r="T41" t="s">
        <v>139</v>
      </c>
      <c r="U41">
        <v>7758.4</v>
      </c>
      <c r="V41" s="6" t="s">
        <v>139</v>
      </c>
      <c r="W41" t="s">
        <v>139</v>
      </c>
      <c r="X41" t="s">
        <v>139</v>
      </c>
      <c r="Y41" t="s">
        <v>139</v>
      </c>
      <c r="Z41" t="s">
        <v>139</v>
      </c>
      <c r="AA41" t="s">
        <v>139</v>
      </c>
      <c r="AB41" t="s">
        <v>139</v>
      </c>
      <c r="AC41" t="s">
        <v>139</v>
      </c>
      <c r="AD41" t="s">
        <v>139</v>
      </c>
      <c r="AE41" t="s">
        <v>139</v>
      </c>
      <c r="AF41" t="s">
        <v>139</v>
      </c>
      <c r="AG41" t="s">
        <v>139</v>
      </c>
      <c r="AH41" s="9" t="s">
        <v>139</v>
      </c>
      <c r="AI41" t="s">
        <v>139</v>
      </c>
      <c r="AJ41" t="s">
        <v>139</v>
      </c>
      <c r="AK41" t="s">
        <v>139</v>
      </c>
      <c r="AL41" t="s">
        <v>139</v>
      </c>
      <c r="AM41" t="s">
        <v>139</v>
      </c>
      <c r="AN41" t="s">
        <v>139</v>
      </c>
      <c r="AO41" s="9" t="s">
        <v>139</v>
      </c>
      <c r="AP41" t="s">
        <v>139</v>
      </c>
      <c r="AQ41" t="s">
        <v>139</v>
      </c>
      <c r="AR41" t="s">
        <v>139</v>
      </c>
    </row>
    <row r="42" spans="1:44" x14ac:dyDescent="0.4">
      <c r="A42" s="3" t="s">
        <v>173</v>
      </c>
      <c r="B42">
        <v>114887.4</v>
      </c>
      <c r="C42">
        <v>76303.199999999997</v>
      </c>
      <c r="D42">
        <v>68692.3</v>
      </c>
      <c r="E42" t="s">
        <v>139</v>
      </c>
      <c r="F42" t="s">
        <v>139</v>
      </c>
      <c r="G42">
        <v>7610.9</v>
      </c>
      <c r="H42" t="s">
        <v>139</v>
      </c>
      <c r="I42" t="s">
        <v>139</v>
      </c>
      <c r="J42">
        <v>38584.199999999997</v>
      </c>
      <c r="K42">
        <v>13654.8</v>
      </c>
      <c r="L42">
        <v>10684.1</v>
      </c>
      <c r="M42" t="s">
        <v>139</v>
      </c>
      <c r="N42" t="s">
        <v>139</v>
      </c>
      <c r="O42" t="s">
        <v>139</v>
      </c>
      <c r="P42" t="s">
        <v>139</v>
      </c>
      <c r="Q42" t="s">
        <v>139</v>
      </c>
      <c r="R42" t="s">
        <v>139</v>
      </c>
      <c r="S42" t="s">
        <v>139</v>
      </c>
      <c r="T42" t="s">
        <v>139</v>
      </c>
      <c r="U42">
        <v>7893.8</v>
      </c>
      <c r="V42" s="6" t="s">
        <v>139</v>
      </c>
      <c r="W42" t="s">
        <v>139</v>
      </c>
      <c r="X42" t="s">
        <v>139</v>
      </c>
      <c r="Y42" t="s">
        <v>139</v>
      </c>
      <c r="Z42" t="s">
        <v>139</v>
      </c>
      <c r="AA42" t="s">
        <v>139</v>
      </c>
      <c r="AB42" t="s">
        <v>139</v>
      </c>
      <c r="AC42" t="s">
        <v>139</v>
      </c>
      <c r="AD42" t="s">
        <v>139</v>
      </c>
      <c r="AE42" t="s">
        <v>139</v>
      </c>
      <c r="AF42" t="s">
        <v>139</v>
      </c>
      <c r="AG42" t="s">
        <v>139</v>
      </c>
      <c r="AH42" s="9" t="s">
        <v>139</v>
      </c>
      <c r="AI42" t="s">
        <v>139</v>
      </c>
      <c r="AJ42" t="s">
        <v>139</v>
      </c>
      <c r="AK42" t="s">
        <v>139</v>
      </c>
      <c r="AL42" t="s">
        <v>139</v>
      </c>
      <c r="AM42" t="s">
        <v>139</v>
      </c>
      <c r="AN42" t="s">
        <v>139</v>
      </c>
      <c r="AO42" s="9" t="s">
        <v>139</v>
      </c>
      <c r="AP42" t="s">
        <v>139</v>
      </c>
      <c r="AQ42" t="s">
        <v>139</v>
      </c>
      <c r="AR42" t="s">
        <v>139</v>
      </c>
    </row>
    <row r="43" spans="1:44" x14ac:dyDescent="0.4">
      <c r="A43" s="3" t="s">
        <v>174</v>
      </c>
      <c r="B43">
        <v>115021.1</v>
      </c>
      <c r="C43">
        <v>76367.7</v>
      </c>
      <c r="D43">
        <v>68721.100000000006</v>
      </c>
      <c r="E43" t="s">
        <v>139</v>
      </c>
      <c r="F43" t="s">
        <v>139</v>
      </c>
      <c r="G43">
        <v>7646.6</v>
      </c>
      <c r="H43" t="s">
        <v>139</v>
      </c>
      <c r="I43" t="s">
        <v>139</v>
      </c>
      <c r="J43">
        <v>38653.4</v>
      </c>
      <c r="K43">
        <v>13595.7</v>
      </c>
      <c r="L43">
        <v>10745.2</v>
      </c>
      <c r="M43" t="s">
        <v>139</v>
      </c>
      <c r="N43" t="s">
        <v>139</v>
      </c>
      <c r="O43" t="s">
        <v>139</v>
      </c>
      <c r="P43" t="s">
        <v>139</v>
      </c>
      <c r="Q43" t="s">
        <v>139</v>
      </c>
      <c r="R43" t="s">
        <v>139</v>
      </c>
      <c r="S43" t="s">
        <v>139</v>
      </c>
      <c r="T43" t="s">
        <v>139</v>
      </c>
      <c r="U43">
        <v>8031.8</v>
      </c>
      <c r="V43" s="6" t="s">
        <v>139</v>
      </c>
      <c r="W43" t="s">
        <v>139</v>
      </c>
      <c r="X43" t="s">
        <v>139</v>
      </c>
      <c r="Y43" t="s">
        <v>139</v>
      </c>
      <c r="Z43" t="s">
        <v>139</v>
      </c>
      <c r="AA43" t="s">
        <v>139</v>
      </c>
      <c r="AB43" t="s">
        <v>139</v>
      </c>
      <c r="AC43" t="s">
        <v>139</v>
      </c>
      <c r="AD43" t="s">
        <v>139</v>
      </c>
      <c r="AE43" t="s">
        <v>139</v>
      </c>
      <c r="AF43" t="s">
        <v>139</v>
      </c>
      <c r="AG43" t="s">
        <v>139</v>
      </c>
      <c r="AH43" s="9" t="s">
        <v>139</v>
      </c>
      <c r="AI43" t="s">
        <v>139</v>
      </c>
      <c r="AJ43" t="s">
        <v>139</v>
      </c>
      <c r="AK43" t="s">
        <v>139</v>
      </c>
      <c r="AL43" t="s">
        <v>139</v>
      </c>
      <c r="AM43" t="s">
        <v>139</v>
      </c>
      <c r="AN43" t="s">
        <v>139</v>
      </c>
      <c r="AO43" s="9" t="s">
        <v>139</v>
      </c>
      <c r="AP43" t="s">
        <v>139</v>
      </c>
      <c r="AQ43" t="s">
        <v>139</v>
      </c>
      <c r="AR43" t="s">
        <v>139</v>
      </c>
    </row>
    <row r="44" spans="1:44" x14ac:dyDescent="0.4">
      <c r="A44" s="3" t="s">
        <v>175</v>
      </c>
      <c r="B44">
        <v>116111.2</v>
      </c>
      <c r="C44">
        <v>77069.600000000006</v>
      </c>
      <c r="D44">
        <v>69346.5</v>
      </c>
      <c r="E44" t="s">
        <v>139</v>
      </c>
      <c r="F44" t="s">
        <v>139</v>
      </c>
      <c r="G44">
        <v>7723.1</v>
      </c>
      <c r="H44" t="s">
        <v>139</v>
      </c>
      <c r="I44" t="s">
        <v>139</v>
      </c>
      <c r="J44">
        <v>39041.5</v>
      </c>
      <c r="K44">
        <v>13649.3</v>
      </c>
      <c r="L44">
        <v>10882</v>
      </c>
      <c r="M44" t="s">
        <v>139</v>
      </c>
      <c r="N44" t="s">
        <v>139</v>
      </c>
      <c r="O44" t="s">
        <v>139</v>
      </c>
      <c r="P44" t="s">
        <v>139</v>
      </c>
      <c r="Q44" t="s">
        <v>139</v>
      </c>
      <c r="R44" t="s">
        <v>139</v>
      </c>
      <c r="S44" t="s">
        <v>139</v>
      </c>
      <c r="T44" t="s">
        <v>139</v>
      </c>
      <c r="U44">
        <v>8190.5</v>
      </c>
      <c r="V44" s="6" t="s">
        <v>139</v>
      </c>
      <c r="W44" t="s">
        <v>139</v>
      </c>
      <c r="X44" t="s">
        <v>139</v>
      </c>
      <c r="Y44" t="s">
        <v>139</v>
      </c>
      <c r="Z44" t="s">
        <v>139</v>
      </c>
      <c r="AA44" t="s">
        <v>139</v>
      </c>
      <c r="AB44" t="s">
        <v>139</v>
      </c>
      <c r="AC44" t="s">
        <v>139</v>
      </c>
      <c r="AD44" t="s">
        <v>139</v>
      </c>
      <c r="AE44" t="s">
        <v>139</v>
      </c>
      <c r="AF44" t="s">
        <v>139</v>
      </c>
      <c r="AG44" t="s">
        <v>139</v>
      </c>
      <c r="AH44" s="9" t="s">
        <v>139</v>
      </c>
      <c r="AI44" t="s">
        <v>139</v>
      </c>
      <c r="AJ44" t="s">
        <v>139</v>
      </c>
      <c r="AK44" t="s">
        <v>139</v>
      </c>
      <c r="AL44" t="s">
        <v>139</v>
      </c>
      <c r="AM44" t="s">
        <v>139</v>
      </c>
      <c r="AN44" t="s">
        <v>139</v>
      </c>
      <c r="AO44" s="9" t="s">
        <v>139</v>
      </c>
      <c r="AP44" t="s">
        <v>139</v>
      </c>
      <c r="AQ44" t="s">
        <v>139</v>
      </c>
      <c r="AR44" t="s">
        <v>139</v>
      </c>
    </row>
    <row r="45" spans="1:44" x14ac:dyDescent="0.4">
      <c r="A45" s="3" t="s">
        <v>176</v>
      </c>
      <c r="B45">
        <v>116195.7</v>
      </c>
      <c r="C45">
        <v>76589.600000000006</v>
      </c>
      <c r="D45">
        <v>68785.5</v>
      </c>
      <c r="E45" t="s">
        <v>139</v>
      </c>
      <c r="F45" t="s">
        <v>139</v>
      </c>
      <c r="G45">
        <v>7804.1</v>
      </c>
      <c r="H45" t="s">
        <v>139</v>
      </c>
      <c r="I45" t="s">
        <v>139</v>
      </c>
      <c r="J45">
        <v>39606.1</v>
      </c>
      <c r="K45">
        <v>13795.7</v>
      </c>
      <c r="L45">
        <v>11030.1</v>
      </c>
      <c r="M45" t="s">
        <v>139</v>
      </c>
      <c r="N45" t="s">
        <v>139</v>
      </c>
      <c r="O45" t="s">
        <v>139</v>
      </c>
      <c r="P45" t="s">
        <v>139</v>
      </c>
      <c r="Q45" t="s">
        <v>139</v>
      </c>
      <c r="R45" t="s">
        <v>139</v>
      </c>
      <c r="S45" t="s">
        <v>139</v>
      </c>
      <c r="T45" t="s">
        <v>139</v>
      </c>
      <c r="U45">
        <v>8356.9</v>
      </c>
      <c r="V45" s="6" t="s">
        <v>139</v>
      </c>
      <c r="W45" t="s">
        <v>139</v>
      </c>
      <c r="X45" t="s">
        <v>139</v>
      </c>
      <c r="Y45" t="s">
        <v>139</v>
      </c>
      <c r="Z45" t="s">
        <v>139</v>
      </c>
      <c r="AA45" t="s">
        <v>139</v>
      </c>
      <c r="AB45" t="s">
        <v>139</v>
      </c>
      <c r="AC45" t="s">
        <v>139</v>
      </c>
      <c r="AD45" t="s">
        <v>139</v>
      </c>
      <c r="AE45" t="s">
        <v>139</v>
      </c>
      <c r="AF45" t="s">
        <v>139</v>
      </c>
      <c r="AG45" t="s">
        <v>139</v>
      </c>
      <c r="AH45" s="9" t="s">
        <v>139</v>
      </c>
      <c r="AI45" t="s">
        <v>139</v>
      </c>
      <c r="AJ45" t="s">
        <v>139</v>
      </c>
      <c r="AK45" t="s">
        <v>139</v>
      </c>
      <c r="AL45" t="s">
        <v>139</v>
      </c>
      <c r="AM45" t="s">
        <v>139</v>
      </c>
      <c r="AN45" t="s">
        <v>139</v>
      </c>
      <c r="AO45" s="9" t="s">
        <v>139</v>
      </c>
      <c r="AP45" t="s">
        <v>139</v>
      </c>
      <c r="AQ45" t="s">
        <v>139</v>
      </c>
      <c r="AR45" t="s">
        <v>139</v>
      </c>
    </row>
    <row r="46" spans="1:44" x14ac:dyDescent="0.4">
      <c r="A46" s="3" t="s">
        <v>177</v>
      </c>
      <c r="B46">
        <v>115957.3</v>
      </c>
      <c r="C46">
        <v>75744.399999999994</v>
      </c>
      <c r="D46">
        <v>67718.7</v>
      </c>
      <c r="E46" t="s">
        <v>139</v>
      </c>
      <c r="F46" t="s">
        <v>139</v>
      </c>
      <c r="G46">
        <v>8025.7</v>
      </c>
      <c r="H46" t="s">
        <v>139</v>
      </c>
      <c r="I46" t="s">
        <v>139</v>
      </c>
      <c r="J46">
        <v>40212.9</v>
      </c>
      <c r="K46">
        <v>13953.1</v>
      </c>
      <c r="L46">
        <v>11181.9</v>
      </c>
      <c r="M46" t="s">
        <v>139</v>
      </c>
      <c r="N46" t="s">
        <v>139</v>
      </c>
      <c r="O46" t="s">
        <v>139</v>
      </c>
      <c r="P46" t="s">
        <v>139</v>
      </c>
      <c r="Q46" t="s">
        <v>139</v>
      </c>
      <c r="R46" t="s">
        <v>139</v>
      </c>
      <c r="S46" t="s">
        <v>139</v>
      </c>
      <c r="T46" t="s">
        <v>139</v>
      </c>
      <c r="U46">
        <v>8523.2000000000007</v>
      </c>
      <c r="V46" s="6" t="s">
        <v>139</v>
      </c>
      <c r="W46" t="s">
        <v>139</v>
      </c>
      <c r="X46" t="s">
        <v>139</v>
      </c>
      <c r="Y46" t="s">
        <v>139</v>
      </c>
      <c r="Z46" t="s">
        <v>139</v>
      </c>
      <c r="AA46" t="s">
        <v>139</v>
      </c>
      <c r="AB46" t="s">
        <v>139</v>
      </c>
      <c r="AC46" t="s">
        <v>139</v>
      </c>
      <c r="AD46" t="s">
        <v>139</v>
      </c>
      <c r="AE46" t="s">
        <v>139</v>
      </c>
      <c r="AF46" t="s">
        <v>139</v>
      </c>
      <c r="AG46" t="s">
        <v>139</v>
      </c>
      <c r="AH46" s="9" t="s">
        <v>139</v>
      </c>
      <c r="AI46" t="s">
        <v>139</v>
      </c>
      <c r="AJ46" t="s">
        <v>139</v>
      </c>
      <c r="AK46" t="s">
        <v>139</v>
      </c>
      <c r="AL46" t="s">
        <v>139</v>
      </c>
      <c r="AM46" t="s">
        <v>139</v>
      </c>
      <c r="AN46" t="s">
        <v>139</v>
      </c>
      <c r="AO46" s="9" t="s">
        <v>139</v>
      </c>
      <c r="AP46" t="s">
        <v>139</v>
      </c>
      <c r="AQ46" t="s">
        <v>139</v>
      </c>
      <c r="AR46" t="s">
        <v>139</v>
      </c>
    </row>
    <row r="47" spans="1:44" x14ac:dyDescent="0.4">
      <c r="A47" s="3" t="s">
        <v>178</v>
      </c>
      <c r="B47">
        <v>116123.5</v>
      </c>
      <c r="C47">
        <v>75309.899999999994</v>
      </c>
      <c r="D47">
        <v>67118.600000000006</v>
      </c>
      <c r="E47" t="s">
        <v>139</v>
      </c>
      <c r="F47" t="s">
        <v>139</v>
      </c>
      <c r="G47">
        <v>8191.3</v>
      </c>
      <c r="H47" t="s">
        <v>139</v>
      </c>
      <c r="I47" t="s">
        <v>139</v>
      </c>
      <c r="J47">
        <v>40813.599999999999</v>
      </c>
      <c r="K47">
        <v>14111.9</v>
      </c>
      <c r="L47">
        <v>11329.4</v>
      </c>
      <c r="M47" t="s">
        <v>139</v>
      </c>
      <c r="N47" t="s">
        <v>139</v>
      </c>
      <c r="O47" t="s">
        <v>139</v>
      </c>
      <c r="P47" t="s">
        <v>139</v>
      </c>
      <c r="Q47" t="s">
        <v>139</v>
      </c>
      <c r="R47" t="s">
        <v>139</v>
      </c>
      <c r="S47" t="s">
        <v>139</v>
      </c>
      <c r="T47" t="s">
        <v>139</v>
      </c>
      <c r="U47">
        <v>8694.6</v>
      </c>
      <c r="V47" s="6" t="s">
        <v>139</v>
      </c>
      <c r="W47" t="s">
        <v>139</v>
      </c>
      <c r="X47" t="s">
        <v>139</v>
      </c>
      <c r="Y47" t="s">
        <v>139</v>
      </c>
      <c r="Z47" t="s">
        <v>139</v>
      </c>
      <c r="AA47" t="s">
        <v>139</v>
      </c>
      <c r="AB47" t="s">
        <v>139</v>
      </c>
      <c r="AC47" t="s">
        <v>139</v>
      </c>
      <c r="AD47" t="s">
        <v>139</v>
      </c>
      <c r="AE47" t="s">
        <v>139</v>
      </c>
      <c r="AF47" t="s">
        <v>139</v>
      </c>
      <c r="AG47" t="s">
        <v>139</v>
      </c>
      <c r="AH47" s="9" t="s">
        <v>139</v>
      </c>
      <c r="AI47" t="s">
        <v>139</v>
      </c>
      <c r="AJ47" t="s">
        <v>139</v>
      </c>
      <c r="AK47" t="s">
        <v>139</v>
      </c>
      <c r="AL47" t="s">
        <v>139</v>
      </c>
      <c r="AM47" t="s">
        <v>139</v>
      </c>
      <c r="AN47" t="s">
        <v>139</v>
      </c>
      <c r="AO47" s="9" t="s">
        <v>139</v>
      </c>
      <c r="AP47" t="s">
        <v>139</v>
      </c>
      <c r="AQ47" t="s">
        <v>139</v>
      </c>
      <c r="AR47" t="s">
        <v>139</v>
      </c>
    </row>
    <row r="48" spans="1:44" x14ac:dyDescent="0.4">
      <c r="A48" s="3" t="s">
        <v>179</v>
      </c>
      <c r="B48">
        <v>116872.3</v>
      </c>
      <c r="C48">
        <v>75509.5</v>
      </c>
      <c r="D48">
        <v>67291.600000000006</v>
      </c>
      <c r="E48" t="s">
        <v>139</v>
      </c>
      <c r="F48" t="s">
        <v>139</v>
      </c>
      <c r="G48">
        <v>8217.9</v>
      </c>
      <c r="H48" t="s">
        <v>139</v>
      </c>
      <c r="I48" t="s">
        <v>139</v>
      </c>
      <c r="J48">
        <v>41362.800000000003</v>
      </c>
      <c r="K48">
        <v>14251.9</v>
      </c>
      <c r="L48">
        <v>11472.1</v>
      </c>
      <c r="M48" t="s">
        <v>139</v>
      </c>
      <c r="N48" t="s">
        <v>139</v>
      </c>
      <c r="O48" t="s">
        <v>139</v>
      </c>
      <c r="P48" t="s">
        <v>139</v>
      </c>
      <c r="Q48" t="s">
        <v>139</v>
      </c>
      <c r="R48" t="s">
        <v>139</v>
      </c>
      <c r="S48" t="s">
        <v>139</v>
      </c>
      <c r="T48" t="s">
        <v>139</v>
      </c>
      <c r="U48">
        <v>8864.7000000000007</v>
      </c>
      <c r="V48" s="6" t="s">
        <v>139</v>
      </c>
      <c r="W48" t="s">
        <v>139</v>
      </c>
      <c r="X48" t="s">
        <v>139</v>
      </c>
      <c r="Y48" t="s">
        <v>139</v>
      </c>
      <c r="Z48" t="s">
        <v>139</v>
      </c>
      <c r="AA48" t="s">
        <v>139</v>
      </c>
      <c r="AB48" t="s">
        <v>139</v>
      </c>
      <c r="AC48" t="s">
        <v>139</v>
      </c>
      <c r="AD48" t="s">
        <v>139</v>
      </c>
      <c r="AE48" t="s">
        <v>139</v>
      </c>
      <c r="AF48" t="s">
        <v>139</v>
      </c>
      <c r="AG48" t="s">
        <v>139</v>
      </c>
      <c r="AH48" s="9" t="s">
        <v>139</v>
      </c>
      <c r="AI48" t="s">
        <v>139</v>
      </c>
      <c r="AJ48" t="s">
        <v>139</v>
      </c>
      <c r="AK48" t="s">
        <v>139</v>
      </c>
      <c r="AL48" t="s">
        <v>139</v>
      </c>
      <c r="AM48" t="s">
        <v>139</v>
      </c>
      <c r="AN48" t="s">
        <v>139</v>
      </c>
      <c r="AO48" s="9" t="s">
        <v>139</v>
      </c>
      <c r="AP48" t="s">
        <v>139</v>
      </c>
      <c r="AQ48" t="s">
        <v>139</v>
      </c>
      <c r="AR48" t="s">
        <v>139</v>
      </c>
    </row>
    <row r="49" spans="1:44" x14ac:dyDescent="0.4">
      <c r="A49" s="3" t="s">
        <v>180</v>
      </c>
      <c r="B49">
        <v>117488.2</v>
      </c>
      <c r="C49">
        <v>75574.100000000006</v>
      </c>
      <c r="D49">
        <v>67286.7</v>
      </c>
      <c r="E49" t="s">
        <v>139</v>
      </c>
      <c r="F49" t="s">
        <v>139</v>
      </c>
      <c r="G49">
        <v>8287.4</v>
      </c>
      <c r="H49" t="s">
        <v>139</v>
      </c>
      <c r="I49" t="s">
        <v>139</v>
      </c>
      <c r="J49">
        <v>41914.199999999997</v>
      </c>
      <c r="K49">
        <v>14388</v>
      </c>
      <c r="L49">
        <v>11607.6</v>
      </c>
      <c r="M49" t="s">
        <v>139</v>
      </c>
      <c r="N49" t="s">
        <v>139</v>
      </c>
      <c r="O49" t="s">
        <v>139</v>
      </c>
      <c r="P49" t="s">
        <v>139</v>
      </c>
      <c r="Q49" t="s">
        <v>139</v>
      </c>
      <c r="R49" t="s">
        <v>139</v>
      </c>
      <c r="S49" t="s">
        <v>139</v>
      </c>
      <c r="T49" t="s">
        <v>139</v>
      </c>
      <c r="U49">
        <v>9038.6</v>
      </c>
      <c r="V49" s="6" t="s">
        <v>139</v>
      </c>
      <c r="W49" t="s">
        <v>139</v>
      </c>
      <c r="X49" t="s">
        <v>139</v>
      </c>
      <c r="Y49" t="s">
        <v>139</v>
      </c>
      <c r="Z49" t="s">
        <v>139</v>
      </c>
      <c r="AA49" t="s">
        <v>139</v>
      </c>
      <c r="AB49" t="s">
        <v>139</v>
      </c>
      <c r="AC49" t="s">
        <v>139</v>
      </c>
      <c r="AD49" t="s">
        <v>139</v>
      </c>
      <c r="AE49" t="s">
        <v>139</v>
      </c>
      <c r="AF49" t="s">
        <v>139</v>
      </c>
      <c r="AG49" t="s">
        <v>139</v>
      </c>
      <c r="AH49" s="9" t="s">
        <v>139</v>
      </c>
      <c r="AI49" t="s">
        <v>139</v>
      </c>
      <c r="AJ49" t="s">
        <v>139</v>
      </c>
      <c r="AK49" t="s">
        <v>139</v>
      </c>
      <c r="AL49" t="s">
        <v>139</v>
      </c>
      <c r="AM49" t="s">
        <v>139</v>
      </c>
      <c r="AN49" t="s">
        <v>139</v>
      </c>
      <c r="AO49" s="9" t="s">
        <v>139</v>
      </c>
      <c r="AP49" t="s">
        <v>139</v>
      </c>
      <c r="AQ49" t="s">
        <v>139</v>
      </c>
      <c r="AR49" t="s">
        <v>139</v>
      </c>
    </row>
    <row r="50" spans="1:44" x14ac:dyDescent="0.4">
      <c r="A50" s="3" t="s">
        <v>181</v>
      </c>
      <c r="B50">
        <v>117714.3</v>
      </c>
      <c r="C50">
        <v>74988.800000000003</v>
      </c>
      <c r="D50">
        <v>66534.100000000006</v>
      </c>
      <c r="E50" t="s">
        <v>139</v>
      </c>
      <c r="F50" t="s">
        <v>139</v>
      </c>
      <c r="G50">
        <v>8454.7000000000007</v>
      </c>
      <c r="H50" t="s">
        <v>139</v>
      </c>
      <c r="I50" t="s">
        <v>139</v>
      </c>
      <c r="J50">
        <v>42725.5</v>
      </c>
      <c r="K50">
        <v>14771.2</v>
      </c>
      <c r="L50">
        <v>11770.2</v>
      </c>
      <c r="M50" t="s">
        <v>139</v>
      </c>
      <c r="N50" t="s">
        <v>139</v>
      </c>
      <c r="O50" t="s">
        <v>139</v>
      </c>
      <c r="P50" t="s">
        <v>139</v>
      </c>
      <c r="Q50" t="s">
        <v>139</v>
      </c>
      <c r="R50" t="s">
        <v>139</v>
      </c>
      <c r="S50" t="s">
        <v>139</v>
      </c>
      <c r="T50" t="s">
        <v>139</v>
      </c>
      <c r="U50">
        <v>9212.6</v>
      </c>
      <c r="V50" s="6" t="s">
        <v>139</v>
      </c>
      <c r="W50" t="s">
        <v>139</v>
      </c>
      <c r="X50" t="s">
        <v>139</v>
      </c>
      <c r="Y50" t="s">
        <v>139</v>
      </c>
      <c r="Z50" t="s">
        <v>139</v>
      </c>
      <c r="AA50" t="s">
        <v>139</v>
      </c>
      <c r="AB50" t="s">
        <v>139</v>
      </c>
      <c r="AC50" t="s">
        <v>139</v>
      </c>
      <c r="AD50" t="s">
        <v>139</v>
      </c>
      <c r="AE50" t="s">
        <v>139</v>
      </c>
      <c r="AF50" t="s">
        <v>139</v>
      </c>
      <c r="AG50" t="s">
        <v>139</v>
      </c>
      <c r="AH50" s="9" t="s">
        <v>139</v>
      </c>
      <c r="AI50" t="s">
        <v>139</v>
      </c>
      <c r="AJ50" t="s">
        <v>139</v>
      </c>
      <c r="AK50" t="s">
        <v>139</v>
      </c>
      <c r="AL50" t="s">
        <v>139</v>
      </c>
      <c r="AM50" t="s">
        <v>139</v>
      </c>
      <c r="AN50" t="s">
        <v>139</v>
      </c>
      <c r="AO50" s="9" t="s">
        <v>139</v>
      </c>
      <c r="AP50" t="s">
        <v>139</v>
      </c>
      <c r="AQ50" t="s">
        <v>139</v>
      </c>
      <c r="AR50" t="s">
        <v>139</v>
      </c>
    </row>
    <row r="51" spans="1:44" x14ac:dyDescent="0.4">
      <c r="A51" s="3" t="s">
        <v>182</v>
      </c>
      <c r="B51">
        <v>118215.5</v>
      </c>
      <c r="C51">
        <v>74524.2</v>
      </c>
      <c r="D51">
        <v>65837.2</v>
      </c>
      <c r="E51" t="s">
        <v>139</v>
      </c>
      <c r="F51" t="s">
        <v>139</v>
      </c>
      <c r="G51">
        <v>8687</v>
      </c>
      <c r="H51" t="s">
        <v>139</v>
      </c>
      <c r="I51" t="s">
        <v>139</v>
      </c>
      <c r="J51">
        <v>43691.3</v>
      </c>
      <c r="K51">
        <v>15297.5</v>
      </c>
      <c r="L51">
        <v>11946.1</v>
      </c>
      <c r="M51" t="s">
        <v>139</v>
      </c>
      <c r="N51" t="s">
        <v>139</v>
      </c>
      <c r="O51" t="s">
        <v>139</v>
      </c>
      <c r="P51" t="s">
        <v>139</v>
      </c>
      <c r="Q51" t="s">
        <v>139</v>
      </c>
      <c r="R51" t="s">
        <v>139</v>
      </c>
      <c r="S51" t="s">
        <v>139</v>
      </c>
      <c r="T51" t="s">
        <v>139</v>
      </c>
      <c r="U51">
        <v>9392</v>
      </c>
      <c r="V51" s="6" t="s">
        <v>139</v>
      </c>
      <c r="W51" t="s">
        <v>139</v>
      </c>
      <c r="X51" t="s">
        <v>139</v>
      </c>
      <c r="Y51" t="s">
        <v>139</v>
      </c>
      <c r="Z51" t="s">
        <v>139</v>
      </c>
      <c r="AA51" t="s">
        <v>139</v>
      </c>
      <c r="AB51" t="s">
        <v>139</v>
      </c>
      <c r="AC51" t="s">
        <v>139</v>
      </c>
      <c r="AD51" t="s">
        <v>139</v>
      </c>
      <c r="AE51" t="s">
        <v>139</v>
      </c>
      <c r="AF51" t="s">
        <v>139</v>
      </c>
      <c r="AG51" t="s">
        <v>139</v>
      </c>
      <c r="AH51" s="9" t="s">
        <v>139</v>
      </c>
      <c r="AI51" t="s">
        <v>139</v>
      </c>
      <c r="AJ51" t="s">
        <v>139</v>
      </c>
      <c r="AK51" t="s">
        <v>139</v>
      </c>
      <c r="AL51" t="s">
        <v>139</v>
      </c>
      <c r="AM51" t="s">
        <v>139</v>
      </c>
      <c r="AN51" t="s">
        <v>139</v>
      </c>
      <c r="AO51" s="9" t="s">
        <v>139</v>
      </c>
      <c r="AP51" t="s">
        <v>139</v>
      </c>
      <c r="AQ51" t="s">
        <v>139</v>
      </c>
      <c r="AR51" t="s">
        <v>139</v>
      </c>
    </row>
    <row r="52" spans="1:44" x14ac:dyDescent="0.4">
      <c r="A52" s="3" t="s">
        <v>183</v>
      </c>
      <c r="B52">
        <v>118092.9</v>
      </c>
      <c r="C52">
        <v>73463.7</v>
      </c>
      <c r="D52">
        <v>64556.9</v>
      </c>
      <c r="E52" t="s">
        <v>139</v>
      </c>
      <c r="F52" t="s">
        <v>139</v>
      </c>
      <c r="G52">
        <v>8906.7999999999993</v>
      </c>
      <c r="H52" t="s">
        <v>139</v>
      </c>
      <c r="I52" t="s">
        <v>139</v>
      </c>
      <c r="J52">
        <v>44629.1</v>
      </c>
      <c r="K52">
        <v>15807.5</v>
      </c>
      <c r="L52">
        <v>12114.5</v>
      </c>
      <c r="M52" t="s">
        <v>139</v>
      </c>
      <c r="N52" t="s">
        <v>139</v>
      </c>
      <c r="O52" t="s">
        <v>139</v>
      </c>
      <c r="P52" t="s">
        <v>139</v>
      </c>
      <c r="Q52" t="s">
        <v>139</v>
      </c>
      <c r="R52" t="s">
        <v>139</v>
      </c>
      <c r="S52" t="s">
        <v>139</v>
      </c>
      <c r="T52" t="s">
        <v>139</v>
      </c>
      <c r="U52">
        <v>9570.2000000000007</v>
      </c>
      <c r="V52" s="6" t="s">
        <v>139</v>
      </c>
      <c r="W52" t="s">
        <v>139</v>
      </c>
      <c r="X52" t="s">
        <v>139</v>
      </c>
      <c r="Y52" t="s">
        <v>139</v>
      </c>
      <c r="Z52" t="s">
        <v>139</v>
      </c>
      <c r="AA52" t="s">
        <v>139</v>
      </c>
      <c r="AB52" t="s">
        <v>139</v>
      </c>
      <c r="AC52" t="s">
        <v>139</v>
      </c>
      <c r="AD52" t="s">
        <v>139</v>
      </c>
      <c r="AE52" t="s">
        <v>139</v>
      </c>
      <c r="AF52" t="s">
        <v>139</v>
      </c>
      <c r="AG52" t="s">
        <v>139</v>
      </c>
      <c r="AH52" s="9" t="s">
        <v>139</v>
      </c>
      <c r="AI52" t="s">
        <v>139</v>
      </c>
      <c r="AJ52" t="s">
        <v>139</v>
      </c>
      <c r="AK52" t="s">
        <v>139</v>
      </c>
      <c r="AL52" t="s">
        <v>139</v>
      </c>
      <c r="AM52" t="s">
        <v>139</v>
      </c>
      <c r="AN52" t="s">
        <v>139</v>
      </c>
      <c r="AO52" s="9" t="s">
        <v>139</v>
      </c>
      <c r="AP52" t="s">
        <v>139</v>
      </c>
      <c r="AQ52" t="s">
        <v>139</v>
      </c>
      <c r="AR52" t="s">
        <v>139</v>
      </c>
    </row>
    <row r="53" spans="1:44" x14ac:dyDescent="0.4">
      <c r="A53" s="3" t="s">
        <v>184</v>
      </c>
      <c r="B53">
        <v>118482.7</v>
      </c>
      <c r="C53">
        <v>72956.7</v>
      </c>
      <c r="D53">
        <v>63998.3</v>
      </c>
      <c r="E53" t="s">
        <v>139</v>
      </c>
      <c r="F53" t="s">
        <v>139</v>
      </c>
      <c r="G53">
        <v>8958.4</v>
      </c>
      <c r="H53" t="s">
        <v>139</v>
      </c>
      <c r="I53" t="s">
        <v>139</v>
      </c>
      <c r="J53">
        <v>45526.1</v>
      </c>
      <c r="K53">
        <v>16310.4</v>
      </c>
      <c r="L53">
        <v>12283.6</v>
      </c>
      <c r="M53" t="s">
        <v>139</v>
      </c>
      <c r="N53" t="s">
        <v>139</v>
      </c>
      <c r="O53" t="s">
        <v>139</v>
      </c>
      <c r="P53" t="s">
        <v>139</v>
      </c>
      <c r="Q53" t="s">
        <v>139</v>
      </c>
      <c r="R53" t="s">
        <v>139</v>
      </c>
      <c r="S53" t="s">
        <v>139</v>
      </c>
      <c r="T53" t="s">
        <v>139</v>
      </c>
      <c r="U53">
        <v>9746.2000000000007</v>
      </c>
      <c r="V53" s="6" t="s">
        <v>139</v>
      </c>
      <c r="W53" t="s">
        <v>139</v>
      </c>
      <c r="X53" t="s">
        <v>139</v>
      </c>
      <c r="Y53" t="s">
        <v>139</v>
      </c>
      <c r="Z53" t="s">
        <v>139</v>
      </c>
      <c r="AA53" t="s">
        <v>139</v>
      </c>
      <c r="AB53" t="s">
        <v>139</v>
      </c>
      <c r="AC53" t="s">
        <v>139</v>
      </c>
      <c r="AD53" t="s">
        <v>139</v>
      </c>
      <c r="AE53" t="s">
        <v>139</v>
      </c>
      <c r="AF53" t="s">
        <v>139</v>
      </c>
      <c r="AG53" t="s">
        <v>139</v>
      </c>
      <c r="AH53" s="9" t="s">
        <v>139</v>
      </c>
      <c r="AI53" t="s">
        <v>139</v>
      </c>
      <c r="AJ53" t="s">
        <v>139</v>
      </c>
      <c r="AK53" t="s">
        <v>139</v>
      </c>
      <c r="AL53" t="s">
        <v>139</v>
      </c>
      <c r="AM53" t="s">
        <v>139</v>
      </c>
      <c r="AN53" t="s">
        <v>139</v>
      </c>
      <c r="AO53" s="9" t="s">
        <v>139</v>
      </c>
      <c r="AP53" t="s">
        <v>139</v>
      </c>
      <c r="AQ53" t="s">
        <v>139</v>
      </c>
      <c r="AR53" t="s">
        <v>139</v>
      </c>
    </row>
    <row r="54" spans="1:44" x14ac:dyDescent="0.4">
      <c r="A54" s="3" t="s">
        <v>185</v>
      </c>
      <c r="B54">
        <v>118896.1</v>
      </c>
      <c r="C54">
        <v>72482.3</v>
      </c>
      <c r="D54">
        <v>63513.5</v>
      </c>
      <c r="E54" t="s">
        <v>139</v>
      </c>
      <c r="F54" t="s">
        <v>139</v>
      </c>
      <c r="G54">
        <v>8968.7999999999993</v>
      </c>
      <c r="H54" t="s">
        <v>139</v>
      </c>
      <c r="I54" t="s">
        <v>139</v>
      </c>
      <c r="J54">
        <v>46413.8</v>
      </c>
      <c r="K54">
        <v>16809.2</v>
      </c>
      <c r="L54">
        <v>12454.4</v>
      </c>
      <c r="M54" t="s">
        <v>139</v>
      </c>
      <c r="N54" t="s">
        <v>139</v>
      </c>
      <c r="O54" t="s">
        <v>139</v>
      </c>
      <c r="P54" t="s">
        <v>139</v>
      </c>
      <c r="Q54" t="s">
        <v>139</v>
      </c>
      <c r="R54" t="s">
        <v>139</v>
      </c>
      <c r="S54" t="s">
        <v>139</v>
      </c>
      <c r="T54" t="s">
        <v>139</v>
      </c>
      <c r="U54">
        <v>9924</v>
      </c>
      <c r="V54" s="6" t="s">
        <v>139</v>
      </c>
      <c r="W54" t="s">
        <v>139</v>
      </c>
      <c r="X54" t="s">
        <v>139</v>
      </c>
      <c r="Y54" t="s">
        <v>139</v>
      </c>
      <c r="Z54" t="s">
        <v>139</v>
      </c>
      <c r="AA54" t="s">
        <v>139</v>
      </c>
      <c r="AB54" t="s">
        <v>139</v>
      </c>
      <c r="AC54" t="s">
        <v>139</v>
      </c>
      <c r="AD54" t="s">
        <v>139</v>
      </c>
      <c r="AE54" t="s">
        <v>139</v>
      </c>
      <c r="AF54" t="s">
        <v>139</v>
      </c>
      <c r="AG54" t="s">
        <v>139</v>
      </c>
      <c r="AH54" s="9" t="s">
        <v>139</v>
      </c>
      <c r="AI54" t="s">
        <v>139</v>
      </c>
      <c r="AJ54" t="s">
        <v>139</v>
      </c>
      <c r="AK54" t="s">
        <v>139</v>
      </c>
      <c r="AL54" t="s">
        <v>139</v>
      </c>
      <c r="AM54" t="s">
        <v>139</v>
      </c>
      <c r="AN54" t="s">
        <v>139</v>
      </c>
      <c r="AO54" s="9" t="s">
        <v>139</v>
      </c>
      <c r="AP54" t="s">
        <v>139</v>
      </c>
      <c r="AQ54" t="s">
        <v>139</v>
      </c>
      <c r="AR54" t="s">
        <v>139</v>
      </c>
    </row>
    <row r="55" spans="1:44" x14ac:dyDescent="0.4">
      <c r="A55" s="3" t="s">
        <v>186</v>
      </c>
      <c r="B55">
        <v>119905.8</v>
      </c>
      <c r="C55">
        <v>72610.8</v>
      </c>
      <c r="D55">
        <v>63633.8</v>
      </c>
      <c r="E55" t="s">
        <v>139</v>
      </c>
      <c r="F55" t="s">
        <v>139</v>
      </c>
      <c r="G55">
        <v>8977</v>
      </c>
      <c r="H55" t="s">
        <v>139</v>
      </c>
      <c r="I55" t="s">
        <v>139</v>
      </c>
      <c r="J55">
        <v>47295</v>
      </c>
      <c r="K55">
        <v>17306.099999999999</v>
      </c>
      <c r="L55">
        <v>12621.9</v>
      </c>
      <c r="M55" t="s">
        <v>139</v>
      </c>
      <c r="N55" t="s">
        <v>139</v>
      </c>
      <c r="O55" t="s">
        <v>139</v>
      </c>
      <c r="P55" t="s">
        <v>139</v>
      </c>
      <c r="Q55" t="s">
        <v>139</v>
      </c>
      <c r="R55" t="s">
        <v>139</v>
      </c>
      <c r="S55" t="s">
        <v>139</v>
      </c>
      <c r="T55" t="s">
        <v>139</v>
      </c>
      <c r="U55">
        <v>10099.799999999999</v>
      </c>
      <c r="V55" s="6" t="s">
        <v>139</v>
      </c>
      <c r="W55" t="s">
        <v>139</v>
      </c>
      <c r="X55" t="s">
        <v>139</v>
      </c>
      <c r="Y55" t="s">
        <v>139</v>
      </c>
      <c r="Z55" t="s">
        <v>139</v>
      </c>
      <c r="AA55" t="s">
        <v>139</v>
      </c>
      <c r="AB55" t="s">
        <v>139</v>
      </c>
      <c r="AC55" t="s">
        <v>139</v>
      </c>
      <c r="AD55" t="s">
        <v>139</v>
      </c>
      <c r="AE55" t="s">
        <v>139</v>
      </c>
      <c r="AF55" t="s">
        <v>139</v>
      </c>
      <c r="AG55" t="s">
        <v>139</v>
      </c>
      <c r="AH55" s="9" t="s">
        <v>139</v>
      </c>
      <c r="AI55" t="s">
        <v>139</v>
      </c>
      <c r="AJ55" t="s">
        <v>139</v>
      </c>
      <c r="AK55" t="s">
        <v>139</v>
      </c>
      <c r="AL55" t="s">
        <v>139</v>
      </c>
      <c r="AM55" t="s">
        <v>139</v>
      </c>
      <c r="AN55" t="s">
        <v>139</v>
      </c>
      <c r="AO55" s="9" t="s">
        <v>139</v>
      </c>
      <c r="AP55" t="s">
        <v>139</v>
      </c>
      <c r="AQ55" t="s">
        <v>139</v>
      </c>
      <c r="AR55" t="s">
        <v>139</v>
      </c>
    </row>
    <row r="56" spans="1:44" x14ac:dyDescent="0.4">
      <c r="A56" s="3" t="s">
        <v>187</v>
      </c>
      <c r="B56">
        <v>119475.2</v>
      </c>
      <c r="C56">
        <v>71414.3</v>
      </c>
      <c r="D56">
        <v>62344.2</v>
      </c>
      <c r="E56" t="s">
        <v>139</v>
      </c>
      <c r="F56" t="s">
        <v>139</v>
      </c>
      <c r="G56">
        <v>9070.1</v>
      </c>
      <c r="H56" t="s">
        <v>139</v>
      </c>
      <c r="I56" t="s">
        <v>139</v>
      </c>
      <c r="J56">
        <v>48061</v>
      </c>
      <c r="K56">
        <v>17754.2</v>
      </c>
      <c r="L56">
        <v>12779.1</v>
      </c>
      <c r="M56" t="s">
        <v>139</v>
      </c>
      <c r="N56" t="s">
        <v>139</v>
      </c>
      <c r="O56" t="s">
        <v>139</v>
      </c>
      <c r="P56" t="s">
        <v>139</v>
      </c>
      <c r="Q56" t="s">
        <v>139</v>
      </c>
      <c r="R56" t="s">
        <v>139</v>
      </c>
      <c r="S56" t="s">
        <v>139</v>
      </c>
      <c r="T56" t="s">
        <v>139</v>
      </c>
      <c r="U56">
        <v>10186.5</v>
      </c>
      <c r="V56" s="6" t="s">
        <v>139</v>
      </c>
      <c r="W56" t="s">
        <v>139</v>
      </c>
      <c r="X56" t="s">
        <v>139</v>
      </c>
      <c r="Y56" t="s">
        <v>139</v>
      </c>
      <c r="Z56" t="s">
        <v>139</v>
      </c>
      <c r="AA56" t="s">
        <v>139</v>
      </c>
      <c r="AB56" t="s">
        <v>139</v>
      </c>
      <c r="AC56" t="s">
        <v>139</v>
      </c>
      <c r="AD56" t="s">
        <v>139</v>
      </c>
      <c r="AE56" t="s">
        <v>139</v>
      </c>
      <c r="AF56" t="s">
        <v>139</v>
      </c>
      <c r="AG56" t="s">
        <v>139</v>
      </c>
      <c r="AH56" s="9" t="s">
        <v>139</v>
      </c>
      <c r="AI56" t="s">
        <v>139</v>
      </c>
      <c r="AJ56" t="s">
        <v>139</v>
      </c>
      <c r="AK56" t="s">
        <v>139</v>
      </c>
      <c r="AL56" t="s">
        <v>139</v>
      </c>
      <c r="AM56" t="s">
        <v>139</v>
      </c>
      <c r="AN56" t="s">
        <v>139</v>
      </c>
      <c r="AO56" s="9" t="s">
        <v>139</v>
      </c>
      <c r="AP56" t="s">
        <v>139</v>
      </c>
      <c r="AQ56" t="s">
        <v>139</v>
      </c>
      <c r="AR56" t="s">
        <v>139</v>
      </c>
    </row>
    <row r="57" spans="1:44" x14ac:dyDescent="0.4">
      <c r="A57" s="3" t="s">
        <v>188</v>
      </c>
      <c r="B57">
        <v>118761.9</v>
      </c>
      <c r="C57">
        <v>70051.199999999997</v>
      </c>
      <c r="D57">
        <v>60908.800000000003</v>
      </c>
      <c r="E57" t="s">
        <v>139</v>
      </c>
      <c r="F57" t="s">
        <v>139</v>
      </c>
      <c r="G57">
        <v>9142.5</v>
      </c>
      <c r="H57" t="s">
        <v>139</v>
      </c>
      <c r="I57" t="s">
        <v>139</v>
      </c>
      <c r="J57">
        <v>48710.7</v>
      </c>
      <c r="K57">
        <v>18186.2</v>
      </c>
      <c r="L57">
        <v>12893</v>
      </c>
      <c r="M57" t="s">
        <v>139</v>
      </c>
      <c r="N57" t="s">
        <v>139</v>
      </c>
      <c r="O57" t="s">
        <v>139</v>
      </c>
      <c r="P57" t="s">
        <v>139</v>
      </c>
      <c r="Q57" t="s">
        <v>139</v>
      </c>
      <c r="R57" t="s">
        <v>139</v>
      </c>
      <c r="S57" t="s">
        <v>139</v>
      </c>
      <c r="T57" t="s">
        <v>139</v>
      </c>
      <c r="U57">
        <v>10212</v>
      </c>
      <c r="V57" s="6" t="s">
        <v>139</v>
      </c>
      <c r="W57" t="s">
        <v>139</v>
      </c>
      <c r="X57" t="s">
        <v>139</v>
      </c>
      <c r="Y57" t="s">
        <v>139</v>
      </c>
      <c r="Z57" t="s">
        <v>139</v>
      </c>
      <c r="AA57" t="s">
        <v>139</v>
      </c>
      <c r="AB57" t="s">
        <v>139</v>
      </c>
      <c r="AC57" t="s">
        <v>139</v>
      </c>
      <c r="AD57" t="s">
        <v>139</v>
      </c>
      <c r="AE57" t="s">
        <v>139</v>
      </c>
      <c r="AF57" t="s">
        <v>139</v>
      </c>
      <c r="AG57" t="s">
        <v>139</v>
      </c>
      <c r="AH57" s="9" t="s">
        <v>139</v>
      </c>
      <c r="AI57" t="s">
        <v>139</v>
      </c>
      <c r="AJ57" t="s">
        <v>139</v>
      </c>
      <c r="AK57" t="s">
        <v>139</v>
      </c>
      <c r="AL57" t="s">
        <v>139</v>
      </c>
      <c r="AM57" t="s">
        <v>139</v>
      </c>
      <c r="AN57" t="s">
        <v>139</v>
      </c>
      <c r="AO57" s="9" t="s">
        <v>139</v>
      </c>
      <c r="AP57" t="s">
        <v>139</v>
      </c>
      <c r="AQ57" t="s">
        <v>139</v>
      </c>
      <c r="AR57" t="s">
        <v>139</v>
      </c>
    </row>
    <row r="58" spans="1:44" x14ac:dyDescent="0.4">
      <c r="A58" s="3" t="s">
        <v>189</v>
      </c>
      <c r="B58">
        <v>118911</v>
      </c>
      <c r="C58">
        <v>69531.7</v>
      </c>
      <c r="D58">
        <v>60312.5</v>
      </c>
      <c r="E58" t="s">
        <v>139</v>
      </c>
      <c r="F58" t="s">
        <v>139</v>
      </c>
      <c r="G58">
        <v>9219.2000000000007</v>
      </c>
      <c r="H58" t="s">
        <v>139</v>
      </c>
      <c r="I58" t="s">
        <v>139</v>
      </c>
      <c r="J58">
        <v>49379.3</v>
      </c>
      <c r="K58">
        <v>18636.3</v>
      </c>
      <c r="L58">
        <v>13007.8</v>
      </c>
      <c r="M58" t="s">
        <v>139</v>
      </c>
      <c r="N58" t="s">
        <v>139</v>
      </c>
      <c r="O58" t="s">
        <v>139</v>
      </c>
      <c r="P58" t="s">
        <v>139</v>
      </c>
      <c r="Q58" t="s">
        <v>139</v>
      </c>
      <c r="R58" t="s">
        <v>139</v>
      </c>
      <c r="S58" t="s">
        <v>139</v>
      </c>
      <c r="T58" t="s">
        <v>139</v>
      </c>
      <c r="U58">
        <v>10236.5</v>
      </c>
      <c r="V58" s="6" t="s">
        <v>139</v>
      </c>
      <c r="W58" t="s">
        <v>139</v>
      </c>
      <c r="X58" t="s">
        <v>139</v>
      </c>
      <c r="Y58" t="s">
        <v>139</v>
      </c>
      <c r="Z58" t="s">
        <v>139</v>
      </c>
      <c r="AA58" t="s">
        <v>139</v>
      </c>
      <c r="AB58" t="s">
        <v>139</v>
      </c>
      <c r="AC58" t="s">
        <v>139</v>
      </c>
      <c r="AD58" t="s">
        <v>139</v>
      </c>
      <c r="AE58" t="s">
        <v>139</v>
      </c>
      <c r="AF58" t="s">
        <v>139</v>
      </c>
      <c r="AG58" t="s">
        <v>139</v>
      </c>
      <c r="AH58" s="9" t="s">
        <v>139</v>
      </c>
      <c r="AI58" t="s">
        <v>139</v>
      </c>
      <c r="AJ58" t="s">
        <v>139</v>
      </c>
      <c r="AK58" t="s">
        <v>139</v>
      </c>
      <c r="AL58" t="s">
        <v>139</v>
      </c>
      <c r="AM58" t="s">
        <v>139</v>
      </c>
      <c r="AN58" t="s">
        <v>139</v>
      </c>
      <c r="AO58" s="9" t="s">
        <v>139</v>
      </c>
      <c r="AP58" t="s">
        <v>139</v>
      </c>
      <c r="AQ58" t="s">
        <v>139</v>
      </c>
      <c r="AR58" t="s">
        <v>139</v>
      </c>
    </row>
    <row r="59" spans="1:44" x14ac:dyDescent="0.4">
      <c r="A59" s="3" t="s">
        <v>190</v>
      </c>
      <c r="B59">
        <v>119230.5</v>
      </c>
      <c r="C59">
        <v>69185.3</v>
      </c>
      <c r="D59">
        <v>59928.1</v>
      </c>
      <c r="E59" t="s">
        <v>139</v>
      </c>
      <c r="F59" t="s">
        <v>139</v>
      </c>
      <c r="G59">
        <v>9257.2000000000007</v>
      </c>
      <c r="H59" t="s">
        <v>139</v>
      </c>
      <c r="I59" t="s">
        <v>139</v>
      </c>
      <c r="J59">
        <v>50045.2</v>
      </c>
      <c r="K59">
        <v>19103.099999999999</v>
      </c>
      <c r="L59">
        <v>13107.7</v>
      </c>
      <c r="M59" t="s">
        <v>139</v>
      </c>
      <c r="N59" t="s">
        <v>139</v>
      </c>
      <c r="O59" t="s">
        <v>139</v>
      </c>
      <c r="P59" t="s">
        <v>139</v>
      </c>
      <c r="Q59" t="s">
        <v>139</v>
      </c>
      <c r="R59" t="s">
        <v>139</v>
      </c>
      <c r="S59" t="s">
        <v>139</v>
      </c>
      <c r="T59" t="s">
        <v>139</v>
      </c>
      <c r="U59">
        <v>10262.4</v>
      </c>
      <c r="V59" s="6" t="s">
        <v>139</v>
      </c>
      <c r="W59" t="s">
        <v>139</v>
      </c>
      <c r="X59" t="s">
        <v>139</v>
      </c>
      <c r="Y59" t="s">
        <v>139</v>
      </c>
      <c r="Z59" t="s">
        <v>139</v>
      </c>
      <c r="AA59" t="s">
        <v>139</v>
      </c>
      <c r="AB59" t="s">
        <v>139</v>
      </c>
      <c r="AC59" t="s">
        <v>139</v>
      </c>
      <c r="AD59" t="s">
        <v>139</v>
      </c>
      <c r="AE59" t="s">
        <v>139</v>
      </c>
      <c r="AF59" t="s">
        <v>139</v>
      </c>
      <c r="AG59" t="s">
        <v>139</v>
      </c>
      <c r="AH59" s="9" t="s">
        <v>139</v>
      </c>
      <c r="AI59" t="s">
        <v>139</v>
      </c>
      <c r="AJ59" t="s">
        <v>139</v>
      </c>
      <c r="AK59" t="s">
        <v>139</v>
      </c>
      <c r="AL59" t="s">
        <v>139</v>
      </c>
      <c r="AM59" t="s">
        <v>139</v>
      </c>
      <c r="AN59" t="s">
        <v>139</v>
      </c>
      <c r="AO59" s="9" t="s">
        <v>139</v>
      </c>
      <c r="AP59" t="s">
        <v>139</v>
      </c>
      <c r="AQ59" t="s">
        <v>139</v>
      </c>
      <c r="AR59" t="s">
        <v>139</v>
      </c>
    </row>
    <row r="60" spans="1:44" x14ac:dyDescent="0.4">
      <c r="A60" s="3" t="s">
        <v>191</v>
      </c>
      <c r="B60">
        <v>119436.7</v>
      </c>
      <c r="C60">
        <v>68762.399999999994</v>
      </c>
      <c r="D60">
        <v>59539.9</v>
      </c>
      <c r="E60" t="s">
        <v>139</v>
      </c>
      <c r="F60" t="s">
        <v>139</v>
      </c>
      <c r="G60">
        <v>9222.4</v>
      </c>
      <c r="H60" t="s">
        <v>139</v>
      </c>
      <c r="I60" t="s">
        <v>139</v>
      </c>
      <c r="J60">
        <v>50674.400000000001</v>
      </c>
      <c r="K60">
        <v>19551.2</v>
      </c>
      <c r="L60">
        <v>13203.5</v>
      </c>
      <c r="M60" t="s">
        <v>139</v>
      </c>
      <c r="N60" t="s">
        <v>139</v>
      </c>
      <c r="O60" t="s">
        <v>139</v>
      </c>
      <c r="P60" t="s">
        <v>139</v>
      </c>
      <c r="Q60" t="s">
        <v>139</v>
      </c>
      <c r="R60" t="s">
        <v>139</v>
      </c>
      <c r="S60" t="s">
        <v>139</v>
      </c>
      <c r="T60" t="s">
        <v>139</v>
      </c>
      <c r="U60">
        <v>10287.799999999999</v>
      </c>
      <c r="V60" s="6" t="s">
        <v>139</v>
      </c>
      <c r="W60" t="s">
        <v>139</v>
      </c>
      <c r="X60" t="s">
        <v>139</v>
      </c>
      <c r="Y60" t="s">
        <v>139</v>
      </c>
      <c r="Z60" t="s">
        <v>139</v>
      </c>
      <c r="AA60" t="s">
        <v>139</v>
      </c>
      <c r="AB60" t="s">
        <v>139</v>
      </c>
      <c r="AC60" t="s">
        <v>139</v>
      </c>
      <c r="AD60" t="s">
        <v>139</v>
      </c>
      <c r="AE60" t="s">
        <v>139</v>
      </c>
      <c r="AF60" t="s">
        <v>139</v>
      </c>
      <c r="AG60" t="s">
        <v>139</v>
      </c>
      <c r="AH60" s="9" t="s">
        <v>139</v>
      </c>
      <c r="AI60" t="s">
        <v>139</v>
      </c>
      <c r="AJ60" t="s">
        <v>139</v>
      </c>
      <c r="AK60" t="s">
        <v>139</v>
      </c>
      <c r="AL60" t="s">
        <v>139</v>
      </c>
      <c r="AM60" t="s">
        <v>139</v>
      </c>
      <c r="AN60" t="s">
        <v>139</v>
      </c>
      <c r="AO60" s="9" t="s">
        <v>139</v>
      </c>
      <c r="AP60" t="s">
        <v>139</v>
      </c>
      <c r="AQ60" t="s">
        <v>139</v>
      </c>
      <c r="AR60" t="s">
        <v>139</v>
      </c>
    </row>
    <row r="61" spans="1:44" x14ac:dyDescent="0.4">
      <c r="A61" s="3" t="s">
        <v>192</v>
      </c>
      <c r="B61">
        <v>120314.3</v>
      </c>
      <c r="C61">
        <v>69007.8</v>
      </c>
      <c r="D61">
        <v>59738.5</v>
      </c>
      <c r="E61" t="s">
        <v>139</v>
      </c>
      <c r="F61" t="s">
        <v>139</v>
      </c>
      <c r="G61">
        <v>9269.2999999999993</v>
      </c>
      <c r="H61" t="s">
        <v>139</v>
      </c>
      <c r="I61" t="s">
        <v>139</v>
      </c>
      <c r="J61">
        <v>51306.5</v>
      </c>
      <c r="K61">
        <v>20003.099999999999</v>
      </c>
      <c r="L61">
        <v>13282.6</v>
      </c>
      <c r="M61" t="s">
        <v>139</v>
      </c>
      <c r="N61" t="s">
        <v>139</v>
      </c>
      <c r="O61" t="s">
        <v>139</v>
      </c>
      <c r="P61" t="s">
        <v>139</v>
      </c>
      <c r="Q61" t="s">
        <v>139</v>
      </c>
      <c r="R61" t="s">
        <v>139</v>
      </c>
      <c r="S61" t="s">
        <v>139</v>
      </c>
      <c r="T61" t="s">
        <v>139</v>
      </c>
      <c r="U61">
        <v>10314.1</v>
      </c>
      <c r="V61" s="6" t="s">
        <v>139</v>
      </c>
      <c r="W61" t="s">
        <v>139</v>
      </c>
      <c r="X61" t="s">
        <v>139</v>
      </c>
      <c r="Y61" t="s">
        <v>139</v>
      </c>
      <c r="Z61" t="s">
        <v>139</v>
      </c>
      <c r="AA61" t="s">
        <v>139</v>
      </c>
      <c r="AB61" t="s">
        <v>139</v>
      </c>
      <c r="AC61" t="s">
        <v>139</v>
      </c>
      <c r="AD61" t="s">
        <v>139</v>
      </c>
      <c r="AE61" t="s">
        <v>139</v>
      </c>
      <c r="AF61" t="s">
        <v>139</v>
      </c>
      <c r="AG61" t="s">
        <v>139</v>
      </c>
      <c r="AH61" s="9" t="s">
        <v>139</v>
      </c>
      <c r="AI61" t="s">
        <v>139</v>
      </c>
      <c r="AJ61" t="s">
        <v>139</v>
      </c>
      <c r="AK61" t="s">
        <v>139</v>
      </c>
      <c r="AL61" t="s">
        <v>139</v>
      </c>
      <c r="AM61" t="s">
        <v>139</v>
      </c>
      <c r="AN61" t="s">
        <v>139</v>
      </c>
      <c r="AO61" s="9" t="s">
        <v>139</v>
      </c>
      <c r="AP61" t="s">
        <v>139</v>
      </c>
      <c r="AQ61" t="s">
        <v>139</v>
      </c>
      <c r="AR61" t="s">
        <v>139</v>
      </c>
    </row>
    <row r="62" spans="1:44" x14ac:dyDescent="0.4">
      <c r="A62" s="3" t="s">
        <v>193</v>
      </c>
      <c r="B62">
        <v>121078.39999999999</v>
      </c>
      <c r="C62">
        <v>69347</v>
      </c>
      <c r="D62">
        <v>59981.8</v>
      </c>
      <c r="E62" t="s">
        <v>139</v>
      </c>
      <c r="F62" t="s">
        <v>139</v>
      </c>
      <c r="G62">
        <v>9365.2000000000007</v>
      </c>
      <c r="H62" t="s">
        <v>139</v>
      </c>
      <c r="I62" t="s">
        <v>139</v>
      </c>
      <c r="J62">
        <v>51731.4</v>
      </c>
      <c r="K62">
        <v>20250.900000000001</v>
      </c>
      <c r="L62">
        <v>13371.7</v>
      </c>
      <c r="M62" t="s">
        <v>139</v>
      </c>
      <c r="N62" t="s">
        <v>139</v>
      </c>
      <c r="O62" t="s">
        <v>139</v>
      </c>
      <c r="P62" t="s">
        <v>139</v>
      </c>
      <c r="Q62" t="s">
        <v>139</v>
      </c>
      <c r="R62" t="s">
        <v>139</v>
      </c>
      <c r="S62" t="s">
        <v>139</v>
      </c>
      <c r="T62" t="s">
        <v>139</v>
      </c>
      <c r="U62">
        <v>10353.6</v>
      </c>
      <c r="V62" s="6" t="s">
        <v>139</v>
      </c>
      <c r="W62" t="s">
        <v>139</v>
      </c>
      <c r="X62" t="s">
        <v>139</v>
      </c>
      <c r="Y62" t="s">
        <v>139</v>
      </c>
      <c r="Z62" t="s">
        <v>139</v>
      </c>
      <c r="AA62" t="s">
        <v>139</v>
      </c>
      <c r="AB62" t="s">
        <v>139</v>
      </c>
      <c r="AC62" t="s">
        <v>139</v>
      </c>
      <c r="AD62" t="s">
        <v>139</v>
      </c>
      <c r="AE62" t="s">
        <v>139</v>
      </c>
      <c r="AF62" t="s">
        <v>139</v>
      </c>
      <c r="AG62" t="s">
        <v>139</v>
      </c>
      <c r="AH62" s="9" t="s">
        <v>139</v>
      </c>
      <c r="AI62" t="s">
        <v>139</v>
      </c>
      <c r="AJ62" t="s">
        <v>139</v>
      </c>
      <c r="AK62" t="s">
        <v>139</v>
      </c>
      <c r="AL62" t="s">
        <v>139</v>
      </c>
      <c r="AM62" t="s">
        <v>139</v>
      </c>
      <c r="AN62" t="s">
        <v>139</v>
      </c>
      <c r="AO62" s="9" t="s">
        <v>139</v>
      </c>
      <c r="AP62" t="s">
        <v>139</v>
      </c>
      <c r="AQ62" t="s">
        <v>139</v>
      </c>
      <c r="AR62" t="s">
        <v>139</v>
      </c>
    </row>
    <row r="63" spans="1:44" x14ac:dyDescent="0.4">
      <c r="A63" s="3" t="s">
        <v>194</v>
      </c>
      <c r="B63">
        <v>121711.6</v>
      </c>
      <c r="C63">
        <v>69711.5</v>
      </c>
      <c r="D63">
        <v>60330.5</v>
      </c>
      <c r="E63" t="s">
        <v>139</v>
      </c>
      <c r="F63" t="s">
        <v>139</v>
      </c>
      <c r="G63">
        <v>9381.1</v>
      </c>
      <c r="H63" t="s">
        <v>139</v>
      </c>
      <c r="I63" t="s">
        <v>139</v>
      </c>
      <c r="J63">
        <v>52000.1</v>
      </c>
      <c r="K63">
        <v>20367.2</v>
      </c>
      <c r="L63">
        <v>13466.1</v>
      </c>
      <c r="M63" t="s">
        <v>139</v>
      </c>
      <c r="N63" t="s">
        <v>139</v>
      </c>
      <c r="O63" t="s">
        <v>139</v>
      </c>
      <c r="P63" t="s">
        <v>139</v>
      </c>
      <c r="Q63" t="s">
        <v>139</v>
      </c>
      <c r="R63" t="s">
        <v>139</v>
      </c>
      <c r="S63" t="s">
        <v>139</v>
      </c>
      <c r="T63" t="s">
        <v>139</v>
      </c>
      <c r="U63">
        <v>10403.5</v>
      </c>
      <c r="V63" s="6" t="s">
        <v>139</v>
      </c>
      <c r="W63" t="s">
        <v>139</v>
      </c>
      <c r="X63" t="s">
        <v>139</v>
      </c>
      <c r="Y63" t="s">
        <v>139</v>
      </c>
      <c r="Z63" t="s">
        <v>139</v>
      </c>
      <c r="AA63" t="s">
        <v>139</v>
      </c>
      <c r="AB63" t="s">
        <v>139</v>
      </c>
      <c r="AC63" t="s">
        <v>139</v>
      </c>
      <c r="AD63" t="s">
        <v>139</v>
      </c>
      <c r="AE63" t="s">
        <v>139</v>
      </c>
      <c r="AF63" t="s">
        <v>139</v>
      </c>
      <c r="AG63" t="s">
        <v>139</v>
      </c>
      <c r="AH63" s="9" t="s">
        <v>139</v>
      </c>
      <c r="AI63" t="s">
        <v>139</v>
      </c>
      <c r="AJ63" t="s">
        <v>139</v>
      </c>
      <c r="AK63" t="s">
        <v>139</v>
      </c>
      <c r="AL63" t="s">
        <v>139</v>
      </c>
      <c r="AM63" t="s">
        <v>139</v>
      </c>
      <c r="AN63" t="s">
        <v>139</v>
      </c>
      <c r="AO63" s="9" t="s">
        <v>139</v>
      </c>
      <c r="AP63" t="s">
        <v>139</v>
      </c>
      <c r="AQ63" t="s">
        <v>139</v>
      </c>
      <c r="AR63" t="s">
        <v>139</v>
      </c>
    </row>
    <row r="64" spans="1:44" x14ac:dyDescent="0.4">
      <c r="A64" s="3" t="s">
        <v>195</v>
      </c>
      <c r="B64">
        <v>122640.3</v>
      </c>
      <c r="C64">
        <v>70380</v>
      </c>
      <c r="D64">
        <v>60921.2</v>
      </c>
      <c r="E64" t="s">
        <v>139</v>
      </c>
      <c r="F64" t="s">
        <v>139</v>
      </c>
      <c r="G64">
        <v>9458.7999999999993</v>
      </c>
      <c r="H64" t="s">
        <v>139</v>
      </c>
      <c r="I64" t="s">
        <v>139</v>
      </c>
      <c r="J64">
        <v>52260.4</v>
      </c>
      <c r="K64">
        <v>20477.5</v>
      </c>
      <c r="L64">
        <v>13546.4</v>
      </c>
      <c r="M64" t="s">
        <v>139</v>
      </c>
      <c r="N64" t="s">
        <v>139</v>
      </c>
      <c r="O64" t="s">
        <v>139</v>
      </c>
      <c r="P64" t="s">
        <v>139</v>
      </c>
      <c r="Q64" t="s">
        <v>139</v>
      </c>
      <c r="R64" t="s">
        <v>139</v>
      </c>
      <c r="S64" t="s">
        <v>139</v>
      </c>
      <c r="T64" t="s">
        <v>139</v>
      </c>
      <c r="U64">
        <v>10452.299999999999</v>
      </c>
      <c r="V64" s="6" t="s">
        <v>139</v>
      </c>
      <c r="W64" t="s">
        <v>139</v>
      </c>
      <c r="X64" t="s">
        <v>139</v>
      </c>
      <c r="Y64" t="s">
        <v>139</v>
      </c>
      <c r="Z64" t="s">
        <v>139</v>
      </c>
      <c r="AA64" t="s">
        <v>139</v>
      </c>
      <c r="AB64" t="s">
        <v>139</v>
      </c>
      <c r="AC64" t="s">
        <v>139</v>
      </c>
      <c r="AD64" t="s">
        <v>139</v>
      </c>
      <c r="AE64" t="s">
        <v>139</v>
      </c>
      <c r="AF64" t="s">
        <v>139</v>
      </c>
      <c r="AG64" t="s">
        <v>139</v>
      </c>
      <c r="AH64" s="9" t="s">
        <v>139</v>
      </c>
      <c r="AI64" t="s">
        <v>139</v>
      </c>
      <c r="AJ64" t="s">
        <v>139</v>
      </c>
      <c r="AK64" t="s">
        <v>139</v>
      </c>
      <c r="AL64" t="s">
        <v>139</v>
      </c>
      <c r="AM64" t="s">
        <v>139</v>
      </c>
      <c r="AN64" t="s">
        <v>139</v>
      </c>
      <c r="AO64" s="9" t="s">
        <v>139</v>
      </c>
      <c r="AP64" t="s">
        <v>139</v>
      </c>
      <c r="AQ64" t="s">
        <v>139</v>
      </c>
      <c r="AR64" t="s">
        <v>139</v>
      </c>
    </row>
    <row r="65" spans="1:44" x14ac:dyDescent="0.4">
      <c r="A65" s="3" t="s">
        <v>196</v>
      </c>
      <c r="B65">
        <v>123880.1</v>
      </c>
      <c r="C65">
        <v>71343.600000000006</v>
      </c>
      <c r="D65">
        <v>61855.199999999997</v>
      </c>
      <c r="E65" t="s">
        <v>139</v>
      </c>
      <c r="F65" t="s">
        <v>139</v>
      </c>
      <c r="G65">
        <v>9488.5</v>
      </c>
      <c r="H65" t="s">
        <v>139</v>
      </c>
      <c r="I65" t="s">
        <v>139</v>
      </c>
      <c r="J65">
        <v>52536.4</v>
      </c>
      <c r="K65">
        <v>20605.3</v>
      </c>
      <c r="L65">
        <v>13635.1</v>
      </c>
      <c r="M65" t="s">
        <v>139</v>
      </c>
      <c r="N65" t="s">
        <v>139</v>
      </c>
      <c r="O65" t="s">
        <v>139</v>
      </c>
      <c r="P65" t="s">
        <v>139</v>
      </c>
      <c r="Q65" t="s">
        <v>139</v>
      </c>
      <c r="R65" t="s">
        <v>139</v>
      </c>
      <c r="S65" t="s">
        <v>139</v>
      </c>
      <c r="T65" t="s">
        <v>139</v>
      </c>
      <c r="U65">
        <v>10500.7</v>
      </c>
      <c r="V65" s="6" t="s">
        <v>139</v>
      </c>
      <c r="W65" t="s">
        <v>139</v>
      </c>
      <c r="X65" t="s">
        <v>139</v>
      </c>
      <c r="Y65" t="s">
        <v>139</v>
      </c>
      <c r="Z65" t="s">
        <v>139</v>
      </c>
      <c r="AA65" t="s">
        <v>139</v>
      </c>
      <c r="AB65" t="s">
        <v>139</v>
      </c>
      <c r="AC65" t="s">
        <v>139</v>
      </c>
      <c r="AD65" t="s">
        <v>139</v>
      </c>
      <c r="AE65" t="s">
        <v>139</v>
      </c>
      <c r="AF65" t="s">
        <v>139</v>
      </c>
      <c r="AG65" t="s">
        <v>139</v>
      </c>
      <c r="AH65" s="9" t="s">
        <v>139</v>
      </c>
      <c r="AI65" t="s">
        <v>139</v>
      </c>
      <c r="AJ65" t="s">
        <v>139</v>
      </c>
      <c r="AK65" t="s">
        <v>139</v>
      </c>
      <c r="AL65" t="s">
        <v>139</v>
      </c>
      <c r="AM65" t="s">
        <v>139</v>
      </c>
      <c r="AN65" t="s">
        <v>139</v>
      </c>
      <c r="AO65" s="9" t="s">
        <v>139</v>
      </c>
      <c r="AP65" t="s">
        <v>139</v>
      </c>
      <c r="AQ65" t="s">
        <v>139</v>
      </c>
      <c r="AR65" t="s">
        <v>139</v>
      </c>
    </row>
    <row r="66" spans="1:44" x14ac:dyDescent="0.4">
      <c r="A66" s="3" t="s">
        <v>197</v>
      </c>
      <c r="B66">
        <v>125160.4</v>
      </c>
      <c r="C66">
        <v>72342.7</v>
      </c>
      <c r="D66">
        <v>62816.3</v>
      </c>
      <c r="E66" t="s">
        <v>139</v>
      </c>
      <c r="F66" t="s">
        <v>139</v>
      </c>
      <c r="G66">
        <v>9526.4</v>
      </c>
      <c r="H66" t="s">
        <v>139</v>
      </c>
      <c r="I66" t="s">
        <v>139</v>
      </c>
      <c r="J66">
        <v>52817.599999999999</v>
      </c>
      <c r="K66">
        <v>20732.900000000001</v>
      </c>
      <c r="L66">
        <v>13726.2</v>
      </c>
      <c r="M66" t="s">
        <v>139</v>
      </c>
      <c r="N66" t="s">
        <v>139</v>
      </c>
      <c r="O66" t="s">
        <v>139</v>
      </c>
      <c r="P66" t="s">
        <v>139</v>
      </c>
      <c r="Q66" t="s">
        <v>139</v>
      </c>
      <c r="R66" t="s">
        <v>139</v>
      </c>
      <c r="S66" t="s">
        <v>139</v>
      </c>
      <c r="T66" t="s">
        <v>139</v>
      </c>
      <c r="U66">
        <v>10550.1</v>
      </c>
      <c r="V66" s="6" t="s">
        <v>139</v>
      </c>
      <c r="W66" t="s">
        <v>139</v>
      </c>
      <c r="X66" t="s">
        <v>139</v>
      </c>
      <c r="Y66" t="s">
        <v>139</v>
      </c>
      <c r="Z66" t="s">
        <v>139</v>
      </c>
      <c r="AA66" t="s">
        <v>139</v>
      </c>
      <c r="AB66" t="s">
        <v>139</v>
      </c>
      <c r="AC66" t="s">
        <v>139</v>
      </c>
      <c r="AD66" t="s">
        <v>139</v>
      </c>
      <c r="AE66" t="s">
        <v>139</v>
      </c>
      <c r="AF66" t="s">
        <v>139</v>
      </c>
      <c r="AG66" t="s">
        <v>139</v>
      </c>
      <c r="AH66" s="9" t="s">
        <v>139</v>
      </c>
      <c r="AI66" t="s">
        <v>139</v>
      </c>
      <c r="AJ66" t="s">
        <v>139</v>
      </c>
      <c r="AK66" t="s">
        <v>139</v>
      </c>
      <c r="AL66" t="s">
        <v>139</v>
      </c>
      <c r="AM66" t="s">
        <v>139</v>
      </c>
      <c r="AN66" t="s">
        <v>139</v>
      </c>
      <c r="AO66" s="9" t="s">
        <v>139</v>
      </c>
      <c r="AP66" t="s">
        <v>139</v>
      </c>
      <c r="AQ66" t="s">
        <v>139</v>
      </c>
      <c r="AR66" t="s">
        <v>139</v>
      </c>
    </row>
    <row r="67" spans="1:44" x14ac:dyDescent="0.4">
      <c r="A67" s="3" t="s">
        <v>198</v>
      </c>
      <c r="B67">
        <v>126023.4</v>
      </c>
      <c r="C67">
        <v>72976.399999999994</v>
      </c>
      <c r="D67">
        <v>63295</v>
      </c>
      <c r="E67" t="s">
        <v>139</v>
      </c>
      <c r="F67" t="s">
        <v>139</v>
      </c>
      <c r="G67">
        <v>9681.5</v>
      </c>
      <c r="H67" t="s">
        <v>139</v>
      </c>
      <c r="I67" t="s">
        <v>139</v>
      </c>
      <c r="J67">
        <v>53047</v>
      </c>
      <c r="K67">
        <v>20965.7</v>
      </c>
      <c r="L67">
        <v>13774.4</v>
      </c>
      <c r="M67" t="s">
        <v>139</v>
      </c>
      <c r="N67" t="s">
        <v>139</v>
      </c>
      <c r="O67" t="s">
        <v>139</v>
      </c>
      <c r="P67" t="s">
        <v>139</v>
      </c>
      <c r="Q67" t="s">
        <v>139</v>
      </c>
      <c r="R67" t="s">
        <v>139</v>
      </c>
      <c r="S67" t="s">
        <v>139</v>
      </c>
      <c r="T67" t="s">
        <v>139</v>
      </c>
      <c r="U67">
        <v>10553.9</v>
      </c>
      <c r="V67" s="6" t="s">
        <v>139</v>
      </c>
      <c r="W67" t="s">
        <v>139</v>
      </c>
      <c r="X67" t="s">
        <v>139</v>
      </c>
      <c r="Y67" t="s">
        <v>139</v>
      </c>
      <c r="Z67" t="s">
        <v>139</v>
      </c>
      <c r="AA67" t="s">
        <v>139</v>
      </c>
      <c r="AB67" t="s">
        <v>139</v>
      </c>
      <c r="AC67" t="s">
        <v>139</v>
      </c>
      <c r="AD67" t="s">
        <v>139</v>
      </c>
      <c r="AE67" t="s">
        <v>139</v>
      </c>
      <c r="AF67" t="s">
        <v>139</v>
      </c>
      <c r="AG67" t="s">
        <v>139</v>
      </c>
      <c r="AH67" s="9" t="s">
        <v>139</v>
      </c>
      <c r="AI67" t="s">
        <v>139</v>
      </c>
      <c r="AJ67" t="s">
        <v>139</v>
      </c>
      <c r="AK67" t="s">
        <v>139</v>
      </c>
      <c r="AL67" t="s">
        <v>139</v>
      </c>
      <c r="AM67" t="s">
        <v>139</v>
      </c>
      <c r="AN67" t="s">
        <v>139</v>
      </c>
      <c r="AO67" s="9" t="s">
        <v>139</v>
      </c>
      <c r="AP67" t="s">
        <v>139</v>
      </c>
      <c r="AQ67" t="s">
        <v>139</v>
      </c>
      <c r="AR67" t="s">
        <v>139</v>
      </c>
    </row>
    <row r="68" spans="1:44" x14ac:dyDescent="0.4">
      <c r="A68" s="3" t="s">
        <v>199</v>
      </c>
      <c r="B68">
        <v>126711.8</v>
      </c>
      <c r="C68">
        <v>73214.2</v>
      </c>
      <c r="D68">
        <v>63457.5</v>
      </c>
      <c r="E68" t="s">
        <v>139</v>
      </c>
      <c r="F68" t="s">
        <v>139</v>
      </c>
      <c r="G68">
        <v>9756.7999999999993</v>
      </c>
      <c r="H68" t="s">
        <v>139</v>
      </c>
      <c r="I68" t="s">
        <v>139</v>
      </c>
      <c r="J68">
        <v>53497.599999999999</v>
      </c>
      <c r="K68">
        <v>22131.9</v>
      </c>
      <c r="L68">
        <v>13652.2</v>
      </c>
      <c r="M68" t="s">
        <v>139</v>
      </c>
      <c r="N68" t="s">
        <v>139</v>
      </c>
      <c r="O68" t="s">
        <v>139</v>
      </c>
      <c r="P68" t="s">
        <v>139</v>
      </c>
      <c r="Q68" t="s">
        <v>139</v>
      </c>
      <c r="R68" t="s">
        <v>139</v>
      </c>
      <c r="S68" t="s">
        <v>139</v>
      </c>
      <c r="T68" t="s">
        <v>139</v>
      </c>
      <c r="U68">
        <v>10399.799999999999</v>
      </c>
      <c r="V68" s="6" t="s">
        <v>139</v>
      </c>
      <c r="W68" t="s">
        <v>139</v>
      </c>
      <c r="X68" t="s">
        <v>139</v>
      </c>
      <c r="Y68" t="s">
        <v>139</v>
      </c>
      <c r="Z68" t="s">
        <v>139</v>
      </c>
      <c r="AA68" t="s">
        <v>139</v>
      </c>
      <c r="AB68" t="s">
        <v>139</v>
      </c>
      <c r="AC68" t="s">
        <v>139</v>
      </c>
      <c r="AD68" t="s">
        <v>139</v>
      </c>
      <c r="AE68" t="s">
        <v>139</v>
      </c>
      <c r="AF68" t="s">
        <v>139</v>
      </c>
      <c r="AG68" t="s">
        <v>139</v>
      </c>
      <c r="AH68" s="9" t="s">
        <v>139</v>
      </c>
      <c r="AI68" t="s">
        <v>139</v>
      </c>
      <c r="AJ68" t="s">
        <v>139</v>
      </c>
      <c r="AK68" t="s">
        <v>139</v>
      </c>
      <c r="AL68" t="s">
        <v>139</v>
      </c>
      <c r="AM68" t="s">
        <v>139</v>
      </c>
      <c r="AN68" t="s">
        <v>139</v>
      </c>
      <c r="AO68" s="9" t="s">
        <v>139</v>
      </c>
      <c r="AP68" t="s">
        <v>139</v>
      </c>
      <c r="AQ68" t="s">
        <v>139</v>
      </c>
      <c r="AR68" t="s">
        <v>139</v>
      </c>
    </row>
    <row r="69" spans="1:44" x14ac:dyDescent="0.4">
      <c r="A69" s="3" t="s">
        <v>200</v>
      </c>
      <c r="B69">
        <v>126829</v>
      </c>
      <c r="C69">
        <v>72825</v>
      </c>
      <c r="D69">
        <v>63001</v>
      </c>
      <c r="E69" t="s">
        <v>139</v>
      </c>
      <c r="F69" t="s">
        <v>139</v>
      </c>
      <c r="G69">
        <v>9824</v>
      </c>
      <c r="H69" t="s">
        <v>139</v>
      </c>
      <c r="I69" t="s">
        <v>139</v>
      </c>
      <c r="J69">
        <v>54004</v>
      </c>
      <c r="K69">
        <v>22431.599999999999</v>
      </c>
      <c r="L69">
        <v>13692</v>
      </c>
      <c r="M69" t="s">
        <v>139</v>
      </c>
      <c r="N69" t="s">
        <v>139</v>
      </c>
      <c r="O69" t="s">
        <v>139</v>
      </c>
      <c r="P69" t="s">
        <v>139</v>
      </c>
      <c r="Q69" t="s">
        <v>139</v>
      </c>
      <c r="R69" t="s">
        <v>139</v>
      </c>
      <c r="S69" t="s">
        <v>139</v>
      </c>
      <c r="T69" t="s">
        <v>139</v>
      </c>
      <c r="U69">
        <v>10455.9</v>
      </c>
      <c r="V69" s="6" t="s">
        <v>139</v>
      </c>
      <c r="W69" t="s">
        <v>139</v>
      </c>
      <c r="X69" t="s">
        <v>139</v>
      </c>
      <c r="Y69" t="s">
        <v>139</v>
      </c>
      <c r="Z69" t="s">
        <v>139</v>
      </c>
      <c r="AA69" t="s">
        <v>139</v>
      </c>
      <c r="AB69" t="s">
        <v>139</v>
      </c>
      <c r="AC69" t="s">
        <v>139</v>
      </c>
      <c r="AD69" t="s">
        <v>139</v>
      </c>
      <c r="AE69" t="s">
        <v>139</v>
      </c>
      <c r="AF69" t="s">
        <v>139</v>
      </c>
      <c r="AG69" t="s">
        <v>139</v>
      </c>
      <c r="AH69" s="9" t="s">
        <v>139</v>
      </c>
      <c r="AI69" t="s">
        <v>139</v>
      </c>
      <c r="AJ69" t="s">
        <v>139</v>
      </c>
      <c r="AK69" t="s">
        <v>139</v>
      </c>
      <c r="AL69" t="s">
        <v>139</v>
      </c>
      <c r="AM69" t="s">
        <v>139</v>
      </c>
      <c r="AN69" t="s">
        <v>139</v>
      </c>
      <c r="AO69" s="9" t="s">
        <v>139</v>
      </c>
      <c r="AP69" t="s">
        <v>139</v>
      </c>
      <c r="AQ69" t="s">
        <v>139</v>
      </c>
      <c r="AR69" t="s">
        <v>139</v>
      </c>
    </row>
    <row r="70" spans="1:44" x14ac:dyDescent="0.4">
      <c r="A70" s="3" t="s">
        <v>201</v>
      </c>
      <c r="B70">
        <v>126851.4</v>
      </c>
      <c r="C70">
        <v>72554.8</v>
      </c>
      <c r="D70">
        <v>62611.7</v>
      </c>
      <c r="E70" t="s">
        <v>139</v>
      </c>
      <c r="F70" t="s">
        <v>139</v>
      </c>
      <c r="G70">
        <v>9943.1</v>
      </c>
      <c r="H70" t="s">
        <v>139</v>
      </c>
      <c r="I70" t="s">
        <v>139</v>
      </c>
      <c r="J70">
        <v>54296.6</v>
      </c>
      <c r="K70">
        <v>22376.3</v>
      </c>
      <c r="L70">
        <v>13783.8</v>
      </c>
      <c r="M70" t="s">
        <v>139</v>
      </c>
      <c r="N70" t="s">
        <v>139</v>
      </c>
      <c r="O70" t="s">
        <v>139</v>
      </c>
      <c r="P70" t="s">
        <v>139</v>
      </c>
      <c r="Q70" t="s">
        <v>139</v>
      </c>
      <c r="R70" t="s">
        <v>139</v>
      </c>
      <c r="S70" t="s">
        <v>139</v>
      </c>
      <c r="T70" t="s">
        <v>139</v>
      </c>
      <c r="U70">
        <v>10545.8</v>
      </c>
      <c r="V70" s="6" t="s">
        <v>139</v>
      </c>
      <c r="W70" t="s">
        <v>139</v>
      </c>
      <c r="X70" t="s">
        <v>139</v>
      </c>
      <c r="Y70" t="s">
        <v>139</v>
      </c>
      <c r="Z70" t="s">
        <v>139</v>
      </c>
      <c r="AA70" t="s">
        <v>139</v>
      </c>
      <c r="AB70" t="s">
        <v>139</v>
      </c>
      <c r="AC70" t="s">
        <v>139</v>
      </c>
      <c r="AD70" t="s">
        <v>139</v>
      </c>
      <c r="AE70" t="s">
        <v>139</v>
      </c>
      <c r="AF70" t="s">
        <v>139</v>
      </c>
      <c r="AG70" t="s">
        <v>139</v>
      </c>
      <c r="AH70" s="9" t="s">
        <v>139</v>
      </c>
      <c r="AI70" t="s">
        <v>139</v>
      </c>
      <c r="AJ70" t="s">
        <v>139</v>
      </c>
      <c r="AK70" t="s">
        <v>139</v>
      </c>
      <c r="AL70" t="s">
        <v>139</v>
      </c>
      <c r="AM70" t="s">
        <v>139</v>
      </c>
      <c r="AN70" t="s">
        <v>139</v>
      </c>
      <c r="AO70" s="9" t="s">
        <v>139</v>
      </c>
      <c r="AP70" t="s">
        <v>139</v>
      </c>
      <c r="AQ70" t="s">
        <v>139</v>
      </c>
      <c r="AR70" t="s">
        <v>139</v>
      </c>
    </row>
    <row r="71" spans="1:44" x14ac:dyDescent="0.4">
      <c r="A71" s="3" t="s">
        <v>202</v>
      </c>
      <c r="B71">
        <v>126880.7</v>
      </c>
      <c r="C71">
        <v>72143</v>
      </c>
      <c r="D71">
        <v>62117.9</v>
      </c>
      <c r="E71" t="s">
        <v>139</v>
      </c>
      <c r="F71" t="s">
        <v>139</v>
      </c>
      <c r="G71">
        <v>10025.1</v>
      </c>
      <c r="H71" t="s">
        <v>139</v>
      </c>
      <c r="I71" t="s">
        <v>139</v>
      </c>
      <c r="J71">
        <v>54737.7</v>
      </c>
      <c r="K71">
        <v>22138</v>
      </c>
      <c r="L71">
        <v>13890.4</v>
      </c>
      <c r="M71" t="s">
        <v>139</v>
      </c>
      <c r="N71" t="s">
        <v>139</v>
      </c>
      <c r="O71" t="s">
        <v>139</v>
      </c>
      <c r="P71" t="s">
        <v>139</v>
      </c>
      <c r="Q71" t="s">
        <v>139</v>
      </c>
      <c r="R71" t="s">
        <v>139</v>
      </c>
      <c r="S71" t="s">
        <v>139</v>
      </c>
      <c r="T71" t="s">
        <v>139</v>
      </c>
      <c r="U71">
        <v>10613.2</v>
      </c>
      <c r="V71" s="6" t="s">
        <v>139</v>
      </c>
      <c r="W71" t="s">
        <v>139</v>
      </c>
      <c r="X71" t="s">
        <v>139</v>
      </c>
      <c r="Y71" t="s">
        <v>139</v>
      </c>
      <c r="Z71" t="s">
        <v>139</v>
      </c>
      <c r="AA71" t="s">
        <v>139</v>
      </c>
      <c r="AB71" t="s">
        <v>139</v>
      </c>
      <c r="AC71" t="s">
        <v>139</v>
      </c>
      <c r="AD71" t="s">
        <v>139</v>
      </c>
      <c r="AE71" t="s">
        <v>139</v>
      </c>
      <c r="AF71" t="s">
        <v>139</v>
      </c>
      <c r="AG71" t="s">
        <v>139</v>
      </c>
      <c r="AH71" s="9" t="s">
        <v>139</v>
      </c>
      <c r="AI71" t="s">
        <v>139</v>
      </c>
      <c r="AJ71" t="s">
        <v>139</v>
      </c>
      <c r="AK71" t="s">
        <v>139</v>
      </c>
      <c r="AL71" t="s">
        <v>139</v>
      </c>
      <c r="AM71" t="s">
        <v>139</v>
      </c>
      <c r="AN71" t="s">
        <v>139</v>
      </c>
      <c r="AO71" s="9" t="s">
        <v>139</v>
      </c>
      <c r="AP71" t="s">
        <v>139</v>
      </c>
      <c r="AQ71" t="s">
        <v>139</v>
      </c>
      <c r="AR71" t="s">
        <v>139</v>
      </c>
    </row>
    <row r="72" spans="1:44" x14ac:dyDescent="0.4">
      <c r="A72" s="3" t="s">
        <v>203</v>
      </c>
      <c r="B72">
        <v>127478</v>
      </c>
      <c r="C72">
        <v>72215.199999999997</v>
      </c>
      <c r="D72">
        <v>62085.3</v>
      </c>
      <c r="E72" t="s">
        <v>139</v>
      </c>
      <c r="F72" t="s">
        <v>139</v>
      </c>
      <c r="G72">
        <v>10129.9</v>
      </c>
      <c r="H72" t="s">
        <v>139</v>
      </c>
      <c r="I72" t="s">
        <v>139</v>
      </c>
      <c r="J72">
        <v>55262.8</v>
      </c>
      <c r="K72">
        <v>21929.3</v>
      </c>
      <c r="L72">
        <v>13990.9</v>
      </c>
      <c r="M72" t="s">
        <v>139</v>
      </c>
      <c r="N72" t="s">
        <v>139</v>
      </c>
      <c r="O72" t="s">
        <v>139</v>
      </c>
      <c r="P72" t="s">
        <v>139</v>
      </c>
      <c r="Q72" t="s">
        <v>139</v>
      </c>
      <c r="R72" t="s">
        <v>139</v>
      </c>
      <c r="S72" t="s">
        <v>139</v>
      </c>
      <c r="T72" t="s">
        <v>139</v>
      </c>
      <c r="U72">
        <v>10796.1</v>
      </c>
      <c r="V72" s="6" t="s">
        <v>139</v>
      </c>
      <c r="W72" t="s">
        <v>139</v>
      </c>
      <c r="X72" t="s">
        <v>139</v>
      </c>
      <c r="Y72" t="s">
        <v>139</v>
      </c>
      <c r="Z72" t="s">
        <v>139</v>
      </c>
      <c r="AA72" t="s">
        <v>139</v>
      </c>
      <c r="AB72" t="s">
        <v>139</v>
      </c>
      <c r="AC72" t="s">
        <v>139</v>
      </c>
      <c r="AD72" t="s">
        <v>139</v>
      </c>
      <c r="AE72" t="s">
        <v>139</v>
      </c>
      <c r="AF72" t="s">
        <v>139</v>
      </c>
      <c r="AG72" t="s">
        <v>139</v>
      </c>
      <c r="AH72" s="9" t="s">
        <v>139</v>
      </c>
      <c r="AI72" t="s">
        <v>139</v>
      </c>
      <c r="AJ72" t="s">
        <v>139</v>
      </c>
      <c r="AK72" t="s">
        <v>139</v>
      </c>
      <c r="AL72" t="s">
        <v>139</v>
      </c>
      <c r="AM72" t="s">
        <v>139</v>
      </c>
      <c r="AN72" t="s">
        <v>139</v>
      </c>
      <c r="AO72" s="9" t="s">
        <v>139</v>
      </c>
      <c r="AP72" t="s">
        <v>139</v>
      </c>
      <c r="AQ72" t="s">
        <v>139</v>
      </c>
      <c r="AR72" t="s">
        <v>139</v>
      </c>
    </row>
    <row r="73" spans="1:44" x14ac:dyDescent="0.4">
      <c r="A73" s="3" t="s">
        <v>204</v>
      </c>
      <c r="B73">
        <v>128956.6</v>
      </c>
      <c r="C73">
        <v>72809.399999999994</v>
      </c>
      <c r="D73">
        <v>62588.1</v>
      </c>
      <c r="E73" t="s">
        <v>139</v>
      </c>
      <c r="F73" t="s">
        <v>139</v>
      </c>
      <c r="G73">
        <v>10221.299999999999</v>
      </c>
      <c r="H73" t="s">
        <v>139</v>
      </c>
      <c r="I73" t="s">
        <v>139</v>
      </c>
      <c r="J73">
        <v>56147.199999999997</v>
      </c>
      <c r="K73">
        <v>22052.5</v>
      </c>
      <c r="L73">
        <v>14133.5</v>
      </c>
      <c r="M73" t="s">
        <v>139</v>
      </c>
      <c r="N73" t="s">
        <v>139</v>
      </c>
      <c r="O73" t="s">
        <v>139</v>
      </c>
      <c r="P73" t="s">
        <v>139</v>
      </c>
      <c r="Q73" t="s">
        <v>139</v>
      </c>
      <c r="R73" t="s">
        <v>139</v>
      </c>
      <c r="S73" t="s">
        <v>139</v>
      </c>
      <c r="T73" t="s">
        <v>139</v>
      </c>
      <c r="U73">
        <v>11181</v>
      </c>
      <c r="V73" s="6" t="s">
        <v>139</v>
      </c>
      <c r="W73" t="s">
        <v>139</v>
      </c>
      <c r="X73" t="s">
        <v>139</v>
      </c>
      <c r="Y73" t="s">
        <v>139</v>
      </c>
      <c r="Z73" t="s">
        <v>139</v>
      </c>
      <c r="AA73" t="s">
        <v>139</v>
      </c>
      <c r="AB73" t="s">
        <v>139</v>
      </c>
      <c r="AC73" t="s">
        <v>139</v>
      </c>
      <c r="AD73" t="s">
        <v>139</v>
      </c>
      <c r="AE73" t="s">
        <v>139</v>
      </c>
      <c r="AF73" t="s">
        <v>139</v>
      </c>
      <c r="AG73" t="s">
        <v>139</v>
      </c>
      <c r="AH73" s="9" t="s">
        <v>139</v>
      </c>
      <c r="AI73" t="s">
        <v>139</v>
      </c>
      <c r="AJ73" t="s">
        <v>139</v>
      </c>
      <c r="AK73" t="s">
        <v>139</v>
      </c>
      <c r="AL73" t="s">
        <v>139</v>
      </c>
      <c r="AM73" t="s">
        <v>139</v>
      </c>
      <c r="AN73" t="s">
        <v>139</v>
      </c>
      <c r="AO73" s="9" t="s">
        <v>139</v>
      </c>
      <c r="AP73" t="s">
        <v>139</v>
      </c>
      <c r="AQ73" t="s">
        <v>139</v>
      </c>
      <c r="AR73" t="s">
        <v>139</v>
      </c>
    </row>
    <row r="74" spans="1:44" x14ac:dyDescent="0.4">
      <c r="A74" s="3" t="s">
        <v>205</v>
      </c>
      <c r="B74">
        <v>130772</v>
      </c>
      <c r="C74">
        <v>74165</v>
      </c>
      <c r="D74">
        <v>63766.1</v>
      </c>
      <c r="E74" t="s">
        <v>139</v>
      </c>
      <c r="F74" t="s">
        <v>139</v>
      </c>
      <c r="G74">
        <v>10398.9</v>
      </c>
      <c r="H74" t="s">
        <v>139</v>
      </c>
      <c r="I74" t="s">
        <v>139</v>
      </c>
      <c r="J74">
        <v>56607.1</v>
      </c>
      <c r="K74">
        <v>22146.1</v>
      </c>
      <c r="L74">
        <v>14186.2</v>
      </c>
      <c r="M74" t="s">
        <v>139</v>
      </c>
      <c r="N74" t="s">
        <v>139</v>
      </c>
      <c r="O74" t="s">
        <v>139</v>
      </c>
      <c r="P74" t="s">
        <v>139</v>
      </c>
      <c r="Q74" t="s">
        <v>139</v>
      </c>
      <c r="R74" t="s">
        <v>139</v>
      </c>
      <c r="S74" t="s">
        <v>139</v>
      </c>
      <c r="T74" t="s">
        <v>139</v>
      </c>
      <c r="U74">
        <v>11400.8</v>
      </c>
      <c r="V74" s="6" t="s">
        <v>139</v>
      </c>
      <c r="W74" t="s">
        <v>139</v>
      </c>
      <c r="X74" t="s">
        <v>139</v>
      </c>
      <c r="Y74" t="s">
        <v>139</v>
      </c>
      <c r="Z74" t="s">
        <v>139</v>
      </c>
      <c r="AA74" t="s">
        <v>139</v>
      </c>
      <c r="AB74" t="s">
        <v>139</v>
      </c>
      <c r="AC74" t="s">
        <v>139</v>
      </c>
      <c r="AD74" t="s">
        <v>139</v>
      </c>
      <c r="AE74" t="s">
        <v>139</v>
      </c>
      <c r="AF74" t="s">
        <v>139</v>
      </c>
      <c r="AG74" t="s">
        <v>139</v>
      </c>
      <c r="AH74" s="9" t="s">
        <v>139</v>
      </c>
      <c r="AI74" t="s">
        <v>139</v>
      </c>
      <c r="AJ74" t="s">
        <v>139</v>
      </c>
      <c r="AK74" t="s">
        <v>139</v>
      </c>
      <c r="AL74" t="s">
        <v>139</v>
      </c>
      <c r="AM74" t="s">
        <v>139</v>
      </c>
      <c r="AN74" t="s">
        <v>139</v>
      </c>
      <c r="AO74" s="9" t="s">
        <v>139</v>
      </c>
      <c r="AP74" t="s">
        <v>139</v>
      </c>
      <c r="AQ74" t="s">
        <v>139</v>
      </c>
      <c r="AR74" t="s">
        <v>139</v>
      </c>
    </row>
    <row r="75" spans="1:44" x14ac:dyDescent="0.4">
      <c r="A75" s="3" t="s">
        <v>206</v>
      </c>
      <c r="B75">
        <v>131312.5</v>
      </c>
      <c r="C75">
        <v>74388.3</v>
      </c>
      <c r="D75">
        <v>63721.7</v>
      </c>
      <c r="E75" t="s">
        <v>139</v>
      </c>
      <c r="F75" t="s">
        <v>139</v>
      </c>
      <c r="G75">
        <v>10666.6</v>
      </c>
      <c r="H75" t="s">
        <v>139</v>
      </c>
      <c r="I75" t="s">
        <v>139</v>
      </c>
      <c r="J75">
        <v>56924.2</v>
      </c>
      <c r="K75">
        <v>22393.7</v>
      </c>
      <c r="L75">
        <v>14276.2</v>
      </c>
      <c r="M75" t="s">
        <v>139</v>
      </c>
      <c r="N75" t="s">
        <v>139</v>
      </c>
      <c r="O75" t="s">
        <v>139</v>
      </c>
      <c r="P75" t="s">
        <v>139</v>
      </c>
      <c r="Q75" t="s">
        <v>139</v>
      </c>
      <c r="R75" t="s">
        <v>139</v>
      </c>
      <c r="S75" t="s">
        <v>139</v>
      </c>
      <c r="T75" t="s">
        <v>139</v>
      </c>
      <c r="U75">
        <v>11621.7</v>
      </c>
      <c r="V75" s="6" t="s">
        <v>139</v>
      </c>
      <c r="W75" t="s">
        <v>139</v>
      </c>
      <c r="X75" t="s">
        <v>139</v>
      </c>
      <c r="Y75" t="s">
        <v>139</v>
      </c>
      <c r="Z75" t="s">
        <v>139</v>
      </c>
      <c r="AA75" t="s">
        <v>139</v>
      </c>
      <c r="AB75" t="s">
        <v>139</v>
      </c>
      <c r="AC75" t="s">
        <v>139</v>
      </c>
      <c r="AD75" t="s">
        <v>139</v>
      </c>
      <c r="AE75" t="s">
        <v>139</v>
      </c>
      <c r="AF75" t="s">
        <v>139</v>
      </c>
      <c r="AG75" t="s">
        <v>139</v>
      </c>
      <c r="AH75" s="9" t="s">
        <v>139</v>
      </c>
      <c r="AI75" t="s">
        <v>139</v>
      </c>
      <c r="AJ75" t="s">
        <v>139</v>
      </c>
      <c r="AK75" t="s">
        <v>139</v>
      </c>
      <c r="AL75" t="s">
        <v>139</v>
      </c>
      <c r="AM75" t="s">
        <v>139</v>
      </c>
      <c r="AN75" t="s">
        <v>139</v>
      </c>
      <c r="AO75" s="9" t="s">
        <v>139</v>
      </c>
      <c r="AP75" t="s">
        <v>139</v>
      </c>
      <c r="AQ75" t="s">
        <v>139</v>
      </c>
      <c r="AR75" t="s">
        <v>139</v>
      </c>
    </row>
    <row r="76" spans="1:44" x14ac:dyDescent="0.4">
      <c r="A76" s="3" t="s">
        <v>207</v>
      </c>
      <c r="B76">
        <v>131167.4</v>
      </c>
      <c r="C76">
        <v>74065.399999999994</v>
      </c>
      <c r="D76">
        <v>63294.6</v>
      </c>
      <c r="E76" t="s">
        <v>139</v>
      </c>
      <c r="F76" t="s">
        <v>139</v>
      </c>
      <c r="G76">
        <v>10770.8</v>
      </c>
      <c r="H76" t="s">
        <v>139</v>
      </c>
      <c r="I76" t="s">
        <v>139</v>
      </c>
      <c r="J76">
        <v>57102</v>
      </c>
      <c r="K76">
        <v>22696.7</v>
      </c>
      <c r="L76">
        <v>14374.7</v>
      </c>
      <c r="M76" t="s">
        <v>139</v>
      </c>
      <c r="N76" t="s">
        <v>139</v>
      </c>
      <c r="O76" t="s">
        <v>139</v>
      </c>
      <c r="P76" t="s">
        <v>139</v>
      </c>
      <c r="Q76" t="s">
        <v>139</v>
      </c>
      <c r="R76" t="s">
        <v>139</v>
      </c>
      <c r="S76" t="s">
        <v>139</v>
      </c>
      <c r="T76" t="s">
        <v>139</v>
      </c>
      <c r="U76">
        <v>11768.9</v>
      </c>
      <c r="V76" s="6" t="s">
        <v>139</v>
      </c>
      <c r="W76" t="s">
        <v>139</v>
      </c>
      <c r="X76" t="s">
        <v>139</v>
      </c>
      <c r="Y76" t="s">
        <v>139</v>
      </c>
      <c r="Z76" t="s">
        <v>139</v>
      </c>
      <c r="AA76" t="s">
        <v>139</v>
      </c>
      <c r="AB76" t="s">
        <v>139</v>
      </c>
      <c r="AC76" t="s">
        <v>139</v>
      </c>
      <c r="AD76" t="s">
        <v>139</v>
      </c>
      <c r="AE76" t="s">
        <v>139</v>
      </c>
      <c r="AF76" t="s">
        <v>139</v>
      </c>
      <c r="AG76" t="s">
        <v>139</v>
      </c>
      <c r="AH76" s="9" t="s">
        <v>139</v>
      </c>
      <c r="AI76" t="s">
        <v>139</v>
      </c>
      <c r="AJ76" t="s">
        <v>139</v>
      </c>
      <c r="AK76" t="s">
        <v>139</v>
      </c>
      <c r="AL76" t="s">
        <v>139</v>
      </c>
      <c r="AM76" t="s">
        <v>139</v>
      </c>
      <c r="AN76" t="s">
        <v>139</v>
      </c>
      <c r="AO76" s="9" t="s">
        <v>139</v>
      </c>
      <c r="AP76" t="s">
        <v>139</v>
      </c>
      <c r="AQ76" t="s">
        <v>139</v>
      </c>
      <c r="AR76" t="s">
        <v>139</v>
      </c>
    </row>
    <row r="77" spans="1:44" x14ac:dyDescent="0.4">
      <c r="A77" s="3" t="s">
        <v>208</v>
      </c>
      <c r="B77">
        <v>132688</v>
      </c>
      <c r="C77">
        <v>74911.5</v>
      </c>
      <c r="D77">
        <v>64106.6</v>
      </c>
      <c r="E77" t="s">
        <v>139</v>
      </c>
      <c r="F77" t="s">
        <v>139</v>
      </c>
      <c r="G77">
        <v>10804.9</v>
      </c>
      <c r="H77" t="s">
        <v>139</v>
      </c>
      <c r="I77" t="s">
        <v>139</v>
      </c>
      <c r="J77">
        <v>57776.4</v>
      </c>
      <c r="K77">
        <v>23068.5</v>
      </c>
      <c r="L77">
        <v>14452.5</v>
      </c>
      <c r="M77" t="s">
        <v>139</v>
      </c>
      <c r="N77" t="s">
        <v>139</v>
      </c>
      <c r="O77" t="s">
        <v>139</v>
      </c>
      <c r="P77" t="s">
        <v>139</v>
      </c>
      <c r="Q77" t="s">
        <v>139</v>
      </c>
      <c r="R77" t="s">
        <v>139</v>
      </c>
      <c r="S77" t="s">
        <v>139</v>
      </c>
      <c r="T77" t="s">
        <v>139</v>
      </c>
      <c r="U77">
        <v>12058.7</v>
      </c>
      <c r="V77" s="6" t="s">
        <v>139</v>
      </c>
      <c r="W77" t="s">
        <v>139</v>
      </c>
      <c r="X77" t="s">
        <v>139</v>
      </c>
      <c r="Y77" t="s">
        <v>139</v>
      </c>
      <c r="Z77" t="s">
        <v>139</v>
      </c>
      <c r="AA77" t="s">
        <v>139</v>
      </c>
      <c r="AB77" t="s">
        <v>139</v>
      </c>
      <c r="AC77" t="s">
        <v>139</v>
      </c>
      <c r="AD77" t="s">
        <v>139</v>
      </c>
      <c r="AE77" t="s">
        <v>139</v>
      </c>
      <c r="AF77" t="s">
        <v>139</v>
      </c>
      <c r="AG77" t="s">
        <v>139</v>
      </c>
      <c r="AH77" s="9" t="s">
        <v>139</v>
      </c>
      <c r="AI77" t="s">
        <v>139</v>
      </c>
      <c r="AJ77" t="s">
        <v>139</v>
      </c>
      <c r="AK77" t="s">
        <v>139</v>
      </c>
      <c r="AL77" t="s">
        <v>139</v>
      </c>
      <c r="AM77" t="s">
        <v>139</v>
      </c>
      <c r="AN77" t="s">
        <v>139</v>
      </c>
      <c r="AO77" s="9" t="s">
        <v>139</v>
      </c>
      <c r="AP77" t="s">
        <v>139</v>
      </c>
      <c r="AQ77" t="s">
        <v>139</v>
      </c>
      <c r="AR77" t="s">
        <v>139</v>
      </c>
    </row>
    <row r="78" spans="1:44" x14ac:dyDescent="0.4">
      <c r="A78" s="3" t="s">
        <v>209</v>
      </c>
      <c r="B78">
        <v>134793.9</v>
      </c>
      <c r="C78">
        <v>76233.2</v>
      </c>
      <c r="D78">
        <v>65347.5</v>
      </c>
      <c r="E78" t="s">
        <v>139</v>
      </c>
      <c r="F78" t="s">
        <v>139</v>
      </c>
      <c r="G78">
        <v>10885.7</v>
      </c>
      <c r="H78" t="s">
        <v>139</v>
      </c>
      <c r="I78" t="s">
        <v>139</v>
      </c>
      <c r="J78">
        <v>58560.7</v>
      </c>
      <c r="K78">
        <v>23443.5</v>
      </c>
      <c r="L78">
        <v>14531.4</v>
      </c>
      <c r="M78" t="s">
        <v>139</v>
      </c>
      <c r="N78" t="s">
        <v>139</v>
      </c>
      <c r="O78" t="s">
        <v>139</v>
      </c>
      <c r="P78" t="s">
        <v>139</v>
      </c>
      <c r="Q78" t="s">
        <v>139</v>
      </c>
      <c r="R78" t="s">
        <v>139</v>
      </c>
      <c r="S78" t="s">
        <v>139</v>
      </c>
      <c r="T78" t="s">
        <v>139</v>
      </c>
      <c r="U78">
        <v>12306.8</v>
      </c>
      <c r="V78" s="6" t="s">
        <v>139</v>
      </c>
      <c r="W78" t="s">
        <v>139</v>
      </c>
      <c r="X78" t="s">
        <v>139</v>
      </c>
      <c r="Y78" t="s">
        <v>139</v>
      </c>
      <c r="Z78" t="s">
        <v>139</v>
      </c>
      <c r="AA78" t="s">
        <v>139</v>
      </c>
      <c r="AB78" t="s">
        <v>139</v>
      </c>
      <c r="AC78" t="s">
        <v>139</v>
      </c>
      <c r="AD78" t="s">
        <v>139</v>
      </c>
      <c r="AE78" t="s">
        <v>139</v>
      </c>
      <c r="AF78" t="s">
        <v>139</v>
      </c>
      <c r="AG78" t="s">
        <v>139</v>
      </c>
      <c r="AH78" s="9" t="s">
        <v>139</v>
      </c>
      <c r="AI78" t="s">
        <v>139</v>
      </c>
      <c r="AJ78" t="s">
        <v>139</v>
      </c>
      <c r="AK78" t="s">
        <v>139</v>
      </c>
      <c r="AL78" t="s">
        <v>139</v>
      </c>
      <c r="AM78" t="s">
        <v>139</v>
      </c>
      <c r="AN78" t="s">
        <v>139</v>
      </c>
      <c r="AO78" s="9" t="s">
        <v>139</v>
      </c>
      <c r="AP78" t="s">
        <v>139</v>
      </c>
      <c r="AQ78" t="s">
        <v>139</v>
      </c>
      <c r="AR78" t="s">
        <v>139</v>
      </c>
    </row>
    <row r="79" spans="1:44" x14ac:dyDescent="0.4">
      <c r="A79" s="3" t="s">
        <v>210</v>
      </c>
      <c r="B79">
        <v>134976.4</v>
      </c>
      <c r="C79">
        <v>76259.199999999997</v>
      </c>
      <c r="D79">
        <v>65280.7</v>
      </c>
      <c r="E79" t="s">
        <v>139</v>
      </c>
      <c r="F79" t="s">
        <v>139</v>
      </c>
      <c r="G79">
        <v>10978.5</v>
      </c>
      <c r="H79" t="s">
        <v>139</v>
      </c>
      <c r="I79" t="s">
        <v>139</v>
      </c>
      <c r="J79">
        <v>58717.2</v>
      </c>
      <c r="K79">
        <v>23230</v>
      </c>
      <c r="L79">
        <v>14615.2</v>
      </c>
      <c r="M79" t="s">
        <v>139</v>
      </c>
      <c r="N79" t="s">
        <v>139</v>
      </c>
      <c r="O79" t="s">
        <v>139</v>
      </c>
      <c r="P79" t="s">
        <v>139</v>
      </c>
      <c r="Q79" t="s">
        <v>139</v>
      </c>
      <c r="R79" t="s">
        <v>139</v>
      </c>
      <c r="S79" t="s">
        <v>139</v>
      </c>
      <c r="T79" t="s">
        <v>139</v>
      </c>
      <c r="U79">
        <v>12530.7</v>
      </c>
      <c r="V79" s="6" t="s">
        <v>139</v>
      </c>
      <c r="W79" t="s">
        <v>139</v>
      </c>
      <c r="X79" t="s">
        <v>139</v>
      </c>
      <c r="Y79" t="s">
        <v>139</v>
      </c>
      <c r="Z79" t="s">
        <v>139</v>
      </c>
      <c r="AA79" t="s">
        <v>139</v>
      </c>
      <c r="AB79" t="s">
        <v>139</v>
      </c>
      <c r="AC79" t="s">
        <v>139</v>
      </c>
      <c r="AD79" t="s">
        <v>139</v>
      </c>
      <c r="AE79" t="s">
        <v>139</v>
      </c>
      <c r="AF79" t="s">
        <v>139</v>
      </c>
      <c r="AG79" t="s">
        <v>139</v>
      </c>
      <c r="AH79" s="9" t="s">
        <v>139</v>
      </c>
      <c r="AI79" t="s">
        <v>139</v>
      </c>
      <c r="AJ79" t="s">
        <v>139</v>
      </c>
      <c r="AK79" t="s">
        <v>139</v>
      </c>
      <c r="AL79" t="s">
        <v>139</v>
      </c>
      <c r="AM79" t="s">
        <v>139</v>
      </c>
      <c r="AN79" t="s">
        <v>139</v>
      </c>
      <c r="AO79" s="9" t="s">
        <v>139</v>
      </c>
      <c r="AP79" t="s">
        <v>139</v>
      </c>
      <c r="AQ79" t="s">
        <v>139</v>
      </c>
      <c r="AR79" t="s">
        <v>139</v>
      </c>
    </row>
    <row r="80" spans="1:44" x14ac:dyDescent="0.4">
      <c r="A80" s="3" t="s">
        <v>211</v>
      </c>
      <c r="B80">
        <v>134766</v>
      </c>
      <c r="C80">
        <v>75576.3</v>
      </c>
      <c r="D80">
        <v>64617.1</v>
      </c>
      <c r="E80" t="s">
        <v>139</v>
      </c>
      <c r="F80" t="s">
        <v>139</v>
      </c>
      <c r="G80">
        <v>10959.2</v>
      </c>
      <c r="H80" t="s">
        <v>139</v>
      </c>
      <c r="I80" t="s">
        <v>139</v>
      </c>
      <c r="J80">
        <v>59189.8</v>
      </c>
      <c r="K80">
        <v>23468.7</v>
      </c>
      <c r="L80">
        <v>14750.9</v>
      </c>
      <c r="M80" t="s">
        <v>139</v>
      </c>
      <c r="N80" t="s">
        <v>139</v>
      </c>
      <c r="O80" t="s">
        <v>139</v>
      </c>
      <c r="P80" t="s">
        <v>139</v>
      </c>
      <c r="Q80" t="s">
        <v>139</v>
      </c>
      <c r="R80" t="s">
        <v>139</v>
      </c>
      <c r="S80" t="s">
        <v>139</v>
      </c>
      <c r="T80" t="s">
        <v>139</v>
      </c>
      <c r="U80">
        <v>12803.2</v>
      </c>
      <c r="V80" s="6" t="s">
        <v>139</v>
      </c>
      <c r="W80" t="s">
        <v>139</v>
      </c>
      <c r="X80" t="s">
        <v>139</v>
      </c>
      <c r="Y80" t="s">
        <v>139</v>
      </c>
      <c r="Z80" t="s">
        <v>139</v>
      </c>
      <c r="AA80" t="s">
        <v>139</v>
      </c>
      <c r="AB80" t="s">
        <v>139</v>
      </c>
      <c r="AC80" t="s">
        <v>139</v>
      </c>
      <c r="AD80" t="s">
        <v>139</v>
      </c>
      <c r="AE80" t="s">
        <v>139</v>
      </c>
      <c r="AF80" t="s">
        <v>139</v>
      </c>
      <c r="AG80" t="s">
        <v>139</v>
      </c>
      <c r="AH80" s="9" t="s">
        <v>139</v>
      </c>
      <c r="AI80" t="s">
        <v>139</v>
      </c>
      <c r="AJ80" t="s">
        <v>139</v>
      </c>
      <c r="AK80" t="s">
        <v>139</v>
      </c>
      <c r="AL80" t="s">
        <v>139</v>
      </c>
      <c r="AM80" t="s">
        <v>139</v>
      </c>
      <c r="AN80" t="s">
        <v>139</v>
      </c>
      <c r="AO80" s="9" t="s">
        <v>139</v>
      </c>
      <c r="AP80" t="s">
        <v>139</v>
      </c>
      <c r="AQ80" t="s">
        <v>139</v>
      </c>
      <c r="AR80" t="s">
        <v>139</v>
      </c>
    </row>
    <row r="81" spans="1:44" x14ac:dyDescent="0.4">
      <c r="A81" s="3" t="s">
        <v>212</v>
      </c>
      <c r="B81">
        <v>134273.1</v>
      </c>
      <c r="C81">
        <v>74631.3</v>
      </c>
      <c r="D81">
        <v>63774.8</v>
      </c>
      <c r="E81" t="s">
        <v>139</v>
      </c>
      <c r="F81" t="s">
        <v>139</v>
      </c>
      <c r="G81">
        <v>10856.5</v>
      </c>
      <c r="H81" t="s">
        <v>139</v>
      </c>
      <c r="I81" t="s">
        <v>139</v>
      </c>
      <c r="J81">
        <v>59641.9</v>
      </c>
      <c r="K81">
        <v>23622.6</v>
      </c>
      <c r="L81">
        <v>14891</v>
      </c>
      <c r="M81" t="s">
        <v>139</v>
      </c>
      <c r="N81" t="s">
        <v>139</v>
      </c>
      <c r="O81" t="s">
        <v>139</v>
      </c>
      <c r="P81" t="s">
        <v>139</v>
      </c>
      <c r="Q81" t="s">
        <v>139</v>
      </c>
      <c r="R81" t="s">
        <v>139</v>
      </c>
      <c r="S81" t="s">
        <v>139</v>
      </c>
      <c r="T81" t="s">
        <v>139</v>
      </c>
      <c r="U81">
        <v>13076.5</v>
      </c>
      <c r="V81" s="6" t="s">
        <v>139</v>
      </c>
      <c r="W81" t="s">
        <v>139</v>
      </c>
      <c r="X81" t="s">
        <v>139</v>
      </c>
      <c r="Y81" t="s">
        <v>139</v>
      </c>
      <c r="Z81" t="s">
        <v>139</v>
      </c>
      <c r="AA81" t="s">
        <v>139</v>
      </c>
      <c r="AB81" t="s">
        <v>139</v>
      </c>
      <c r="AC81" t="s">
        <v>139</v>
      </c>
      <c r="AD81" t="s">
        <v>139</v>
      </c>
      <c r="AE81" t="s">
        <v>139</v>
      </c>
      <c r="AF81" t="s">
        <v>139</v>
      </c>
      <c r="AG81" t="s">
        <v>139</v>
      </c>
      <c r="AH81" s="9" t="s">
        <v>139</v>
      </c>
      <c r="AI81" t="s">
        <v>139</v>
      </c>
      <c r="AJ81" t="s">
        <v>139</v>
      </c>
      <c r="AK81" t="s">
        <v>139</v>
      </c>
      <c r="AL81" t="s">
        <v>139</v>
      </c>
      <c r="AM81" t="s">
        <v>139</v>
      </c>
      <c r="AN81" t="s">
        <v>139</v>
      </c>
      <c r="AO81" s="9" t="s">
        <v>139</v>
      </c>
      <c r="AP81" t="s">
        <v>139</v>
      </c>
      <c r="AQ81" t="s">
        <v>139</v>
      </c>
      <c r="AR81" t="s">
        <v>139</v>
      </c>
    </row>
    <row r="82" spans="1:44" x14ac:dyDescent="0.4">
      <c r="A82" s="3" t="s">
        <v>213</v>
      </c>
      <c r="B82">
        <v>133609.29999999999</v>
      </c>
      <c r="C82">
        <v>73324.100000000006</v>
      </c>
      <c r="D82">
        <v>62474.9</v>
      </c>
      <c r="E82" t="s">
        <v>139</v>
      </c>
      <c r="F82" t="s">
        <v>139</v>
      </c>
      <c r="G82">
        <v>10849.2</v>
      </c>
      <c r="H82" t="s">
        <v>139</v>
      </c>
      <c r="I82" t="s">
        <v>139</v>
      </c>
      <c r="J82">
        <v>60285.3</v>
      </c>
      <c r="K82">
        <v>23698.3</v>
      </c>
      <c r="L82">
        <v>14971.3</v>
      </c>
      <c r="M82" t="s">
        <v>139</v>
      </c>
      <c r="N82" t="s">
        <v>139</v>
      </c>
      <c r="O82" t="s">
        <v>139</v>
      </c>
      <c r="P82" t="s">
        <v>139</v>
      </c>
      <c r="Q82" t="s">
        <v>139</v>
      </c>
      <c r="R82" t="s">
        <v>139</v>
      </c>
      <c r="S82" t="s">
        <v>139</v>
      </c>
      <c r="T82" t="s">
        <v>139</v>
      </c>
      <c r="U82">
        <v>13397.8</v>
      </c>
      <c r="V82" s="6" t="s">
        <v>139</v>
      </c>
      <c r="W82" t="s">
        <v>139</v>
      </c>
      <c r="X82" t="s">
        <v>139</v>
      </c>
      <c r="Y82" t="s">
        <v>139</v>
      </c>
      <c r="Z82" t="s">
        <v>139</v>
      </c>
      <c r="AA82" t="s">
        <v>139</v>
      </c>
      <c r="AB82" t="s">
        <v>139</v>
      </c>
      <c r="AC82" t="s">
        <v>139</v>
      </c>
      <c r="AD82" t="s">
        <v>139</v>
      </c>
      <c r="AE82" t="s">
        <v>139</v>
      </c>
      <c r="AF82" t="s">
        <v>139</v>
      </c>
      <c r="AG82" t="s">
        <v>139</v>
      </c>
      <c r="AH82" s="9" t="s">
        <v>139</v>
      </c>
      <c r="AI82" t="s">
        <v>139</v>
      </c>
      <c r="AJ82" t="s">
        <v>139</v>
      </c>
      <c r="AK82" t="s">
        <v>139</v>
      </c>
      <c r="AL82" t="s">
        <v>139</v>
      </c>
      <c r="AM82" t="s">
        <v>139</v>
      </c>
      <c r="AN82" t="s">
        <v>139</v>
      </c>
      <c r="AO82" s="9" t="s">
        <v>139</v>
      </c>
      <c r="AP82" t="s">
        <v>139</v>
      </c>
      <c r="AQ82" t="s">
        <v>139</v>
      </c>
      <c r="AR82" t="s">
        <v>139</v>
      </c>
    </row>
    <row r="83" spans="1:44" x14ac:dyDescent="0.4">
      <c r="A83" s="3" t="s">
        <v>214</v>
      </c>
      <c r="B83">
        <v>132710.9</v>
      </c>
      <c r="C83">
        <v>71821.7</v>
      </c>
      <c r="D83">
        <v>61017.7</v>
      </c>
      <c r="E83" t="s">
        <v>139</v>
      </c>
      <c r="F83" t="s">
        <v>139</v>
      </c>
      <c r="G83">
        <v>10804</v>
      </c>
      <c r="H83" t="s">
        <v>139</v>
      </c>
      <c r="I83" t="s">
        <v>139</v>
      </c>
      <c r="J83">
        <v>60889.2</v>
      </c>
      <c r="K83">
        <v>23822.799999999999</v>
      </c>
      <c r="L83">
        <v>15041</v>
      </c>
      <c r="M83" t="s">
        <v>139</v>
      </c>
      <c r="N83" t="s">
        <v>139</v>
      </c>
      <c r="O83" t="s">
        <v>139</v>
      </c>
      <c r="P83" t="s">
        <v>139</v>
      </c>
      <c r="Q83" t="s">
        <v>139</v>
      </c>
      <c r="R83" t="s">
        <v>139</v>
      </c>
      <c r="S83" t="s">
        <v>139</v>
      </c>
      <c r="T83" t="s">
        <v>139</v>
      </c>
      <c r="U83">
        <v>13675.2</v>
      </c>
      <c r="V83" s="6" t="s">
        <v>139</v>
      </c>
      <c r="W83" t="s">
        <v>139</v>
      </c>
      <c r="X83" t="s">
        <v>139</v>
      </c>
      <c r="Y83" t="s">
        <v>139</v>
      </c>
      <c r="Z83" t="s">
        <v>139</v>
      </c>
      <c r="AA83" t="s">
        <v>139</v>
      </c>
      <c r="AB83" t="s">
        <v>139</v>
      </c>
      <c r="AC83" t="s">
        <v>139</v>
      </c>
      <c r="AD83" t="s">
        <v>139</v>
      </c>
      <c r="AE83" t="s">
        <v>139</v>
      </c>
      <c r="AF83" t="s">
        <v>139</v>
      </c>
      <c r="AG83" t="s">
        <v>139</v>
      </c>
      <c r="AH83" s="9" t="s">
        <v>139</v>
      </c>
      <c r="AI83" t="s">
        <v>139</v>
      </c>
      <c r="AJ83" t="s">
        <v>139</v>
      </c>
      <c r="AK83" t="s">
        <v>139</v>
      </c>
      <c r="AL83" t="s">
        <v>139</v>
      </c>
      <c r="AM83" t="s">
        <v>139</v>
      </c>
      <c r="AN83" t="s">
        <v>139</v>
      </c>
      <c r="AO83" s="9" t="s">
        <v>139</v>
      </c>
      <c r="AP83" t="s">
        <v>139</v>
      </c>
      <c r="AQ83" t="s">
        <v>139</v>
      </c>
      <c r="AR83" t="s">
        <v>139</v>
      </c>
    </row>
    <row r="84" spans="1:44" x14ac:dyDescent="0.4">
      <c r="A84" s="3" t="s">
        <v>215</v>
      </c>
      <c r="B84">
        <v>132124.9</v>
      </c>
      <c r="C84">
        <v>70807.199999999997</v>
      </c>
      <c r="D84">
        <v>60097.1</v>
      </c>
      <c r="E84" t="s">
        <v>139</v>
      </c>
      <c r="F84" t="s">
        <v>139</v>
      </c>
      <c r="G84">
        <v>10710.1</v>
      </c>
      <c r="H84" t="s">
        <v>139</v>
      </c>
      <c r="I84" t="s">
        <v>139</v>
      </c>
      <c r="J84">
        <v>61317.599999999999</v>
      </c>
      <c r="K84">
        <v>23882.7</v>
      </c>
      <c r="L84">
        <v>15140</v>
      </c>
      <c r="M84" t="s">
        <v>139</v>
      </c>
      <c r="N84" t="s">
        <v>139</v>
      </c>
      <c r="O84" t="s">
        <v>139</v>
      </c>
      <c r="P84" t="s">
        <v>139</v>
      </c>
      <c r="Q84" t="s">
        <v>139</v>
      </c>
      <c r="R84" t="s">
        <v>139</v>
      </c>
      <c r="S84" t="s">
        <v>139</v>
      </c>
      <c r="T84" t="s">
        <v>139</v>
      </c>
      <c r="U84">
        <v>13893.7</v>
      </c>
      <c r="V84" s="6" t="s">
        <v>139</v>
      </c>
      <c r="W84" t="s">
        <v>139</v>
      </c>
      <c r="X84" t="s">
        <v>139</v>
      </c>
      <c r="Y84" t="s">
        <v>139</v>
      </c>
      <c r="Z84" t="s">
        <v>139</v>
      </c>
      <c r="AA84" t="s">
        <v>139</v>
      </c>
      <c r="AB84" t="s">
        <v>139</v>
      </c>
      <c r="AC84" t="s">
        <v>139</v>
      </c>
      <c r="AD84" t="s">
        <v>139</v>
      </c>
      <c r="AE84" t="s">
        <v>139</v>
      </c>
      <c r="AF84" t="s">
        <v>139</v>
      </c>
      <c r="AG84" t="s">
        <v>139</v>
      </c>
      <c r="AH84" s="9" t="s">
        <v>139</v>
      </c>
      <c r="AI84" t="s">
        <v>139</v>
      </c>
      <c r="AJ84" t="s">
        <v>139</v>
      </c>
      <c r="AK84" t="s">
        <v>139</v>
      </c>
      <c r="AL84" t="s">
        <v>139</v>
      </c>
      <c r="AM84" t="s">
        <v>139</v>
      </c>
      <c r="AN84" t="s">
        <v>139</v>
      </c>
      <c r="AO84" s="9" t="s">
        <v>139</v>
      </c>
      <c r="AP84" t="s">
        <v>139</v>
      </c>
      <c r="AQ84" t="s">
        <v>139</v>
      </c>
      <c r="AR84" t="s">
        <v>139</v>
      </c>
    </row>
    <row r="85" spans="1:44" x14ac:dyDescent="0.4">
      <c r="A85" s="3" t="s">
        <v>216</v>
      </c>
      <c r="B85">
        <v>132353.70000000001</v>
      </c>
      <c r="C85">
        <v>70764.5</v>
      </c>
      <c r="D85">
        <v>60219.4</v>
      </c>
      <c r="E85" t="s">
        <v>139</v>
      </c>
      <c r="F85" t="s">
        <v>139</v>
      </c>
      <c r="G85">
        <v>10545.1</v>
      </c>
      <c r="H85" t="s">
        <v>139</v>
      </c>
      <c r="I85" t="s">
        <v>139</v>
      </c>
      <c r="J85">
        <v>61589.2</v>
      </c>
      <c r="K85">
        <v>23760.7</v>
      </c>
      <c r="L85">
        <v>15269.1</v>
      </c>
      <c r="M85" t="s">
        <v>139</v>
      </c>
      <c r="N85" t="s">
        <v>139</v>
      </c>
      <c r="O85" t="s">
        <v>139</v>
      </c>
      <c r="P85" t="s">
        <v>139</v>
      </c>
      <c r="Q85" t="s">
        <v>139</v>
      </c>
      <c r="R85" t="s">
        <v>139</v>
      </c>
      <c r="S85" t="s">
        <v>139</v>
      </c>
      <c r="T85" t="s">
        <v>139</v>
      </c>
      <c r="U85">
        <v>14012.2</v>
      </c>
      <c r="V85" s="6" t="s">
        <v>139</v>
      </c>
      <c r="W85" t="s">
        <v>139</v>
      </c>
      <c r="X85" t="s">
        <v>139</v>
      </c>
      <c r="Y85" t="s">
        <v>139</v>
      </c>
      <c r="Z85" t="s">
        <v>139</v>
      </c>
      <c r="AA85" t="s">
        <v>139</v>
      </c>
      <c r="AB85" t="s">
        <v>139</v>
      </c>
      <c r="AC85" t="s">
        <v>139</v>
      </c>
      <c r="AD85" t="s">
        <v>139</v>
      </c>
      <c r="AE85" t="s">
        <v>139</v>
      </c>
      <c r="AF85" t="s">
        <v>139</v>
      </c>
      <c r="AG85" t="s">
        <v>139</v>
      </c>
      <c r="AH85" s="9" t="s">
        <v>139</v>
      </c>
      <c r="AI85" t="s">
        <v>139</v>
      </c>
      <c r="AJ85" t="s">
        <v>139</v>
      </c>
      <c r="AK85" t="s">
        <v>139</v>
      </c>
      <c r="AL85" t="s">
        <v>139</v>
      </c>
      <c r="AM85" t="s">
        <v>139</v>
      </c>
      <c r="AN85" t="s">
        <v>139</v>
      </c>
      <c r="AO85" s="9" t="s">
        <v>139</v>
      </c>
      <c r="AP85" t="s">
        <v>139</v>
      </c>
      <c r="AQ85" t="s">
        <v>139</v>
      </c>
      <c r="AR85" t="s">
        <v>139</v>
      </c>
    </row>
    <row r="86" spans="1:44" x14ac:dyDescent="0.4">
      <c r="A86" s="3" t="s">
        <v>217</v>
      </c>
      <c r="B86">
        <v>135811</v>
      </c>
      <c r="C86">
        <v>73996.7</v>
      </c>
      <c r="D86">
        <v>63454.9</v>
      </c>
      <c r="E86" t="s">
        <v>139</v>
      </c>
      <c r="F86" t="s">
        <v>139</v>
      </c>
      <c r="G86">
        <v>10541.8</v>
      </c>
      <c r="H86" t="s">
        <v>139</v>
      </c>
      <c r="I86" t="s">
        <v>139</v>
      </c>
      <c r="J86">
        <v>61814.3</v>
      </c>
      <c r="K86">
        <v>23778.2</v>
      </c>
      <c r="L86">
        <v>15316.9</v>
      </c>
      <c r="M86" t="s">
        <v>139</v>
      </c>
      <c r="N86" t="s">
        <v>139</v>
      </c>
      <c r="O86" t="s">
        <v>139</v>
      </c>
      <c r="P86" t="s">
        <v>139</v>
      </c>
      <c r="Q86" t="s">
        <v>139</v>
      </c>
      <c r="R86" t="s">
        <v>139</v>
      </c>
      <c r="S86" t="s">
        <v>139</v>
      </c>
      <c r="T86" t="s">
        <v>139</v>
      </c>
      <c r="U86">
        <v>14044.3</v>
      </c>
      <c r="V86" s="6" t="s">
        <v>139</v>
      </c>
      <c r="W86" t="s">
        <v>139</v>
      </c>
      <c r="X86" t="s">
        <v>139</v>
      </c>
      <c r="Y86" t="s">
        <v>139</v>
      </c>
      <c r="Z86" t="s">
        <v>139</v>
      </c>
      <c r="AA86" t="s">
        <v>139</v>
      </c>
      <c r="AB86" t="s">
        <v>139</v>
      </c>
      <c r="AC86" t="s">
        <v>139</v>
      </c>
      <c r="AD86" t="s">
        <v>139</v>
      </c>
      <c r="AE86" t="s">
        <v>139</v>
      </c>
      <c r="AF86" t="s">
        <v>139</v>
      </c>
      <c r="AG86" t="s">
        <v>139</v>
      </c>
      <c r="AH86" s="9" t="s">
        <v>139</v>
      </c>
      <c r="AI86" t="s">
        <v>139</v>
      </c>
      <c r="AJ86" t="s">
        <v>139</v>
      </c>
      <c r="AK86" t="s">
        <v>139</v>
      </c>
      <c r="AL86" t="s">
        <v>139</v>
      </c>
      <c r="AM86" t="s">
        <v>139</v>
      </c>
      <c r="AN86" t="s">
        <v>139</v>
      </c>
      <c r="AO86" s="9" t="s">
        <v>139</v>
      </c>
      <c r="AP86" t="s">
        <v>139</v>
      </c>
      <c r="AQ86" t="s">
        <v>139</v>
      </c>
      <c r="AR86" t="s">
        <v>139</v>
      </c>
    </row>
    <row r="87" spans="1:44" x14ac:dyDescent="0.4">
      <c r="A87" s="3" t="s">
        <v>218</v>
      </c>
      <c r="B87">
        <v>137343.6</v>
      </c>
      <c r="C87">
        <v>75290.2</v>
      </c>
      <c r="D87">
        <v>64648</v>
      </c>
      <c r="E87" t="s">
        <v>139</v>
      </c>
      <c r="F87" t="s">
        <v>139</v>
      </c>
      <c r="G87">
        <v>10642.1</v>
      </c>
      <c r="H87" t="s">
        <v>139</v>
      </c>
      <c r="I87" t="s">
        <v>139</v>
      </c>
      <c r="J87">
        <v>62053.4</v>
      </c>
      <c r="K87">
        <v>23995.1</v>
      </c>
      <c r="L87">
        <v>15356</v>
      </c>
      <c r="M87" t="s">
        <v>139</v>
      </c>
      <c r="N87" t="s">
        <v>139</v>
      </c>
      <c r="O87" t="s">
        <v>139</v>
      </c>
      <c r="P87" t="s">
        <v>139</v>
      </c>
      <c r="Q87" t="s">
        <v>139</v>
      </c>
      <c r="R87" t="s">
        <v>139</v>
      </c>
      <c r="S87" t="s">
        <v>139</v>
      </c>
      <c r="T87" t="s">
        <v>139</v>
      </c>
      <c r="U87">
        <v>14194.5</v>
      </c>
      <c r="V87" s="6" t="s">
        <v>139</v>
      </c>
      <c r="W87" t="s">
        <v>139</v>
      </c>
      <c r="X87" t="s">
        <v>139</v>
      </c>
      <c r="Y87" t="s">
        <v>139</v>
      </c>
      <c r="Z87" t="s">
        <v>139</v>
      </c>
      <c r="AA87" t="s">
        <v>139</v>
      </c>
      <c r="AB87" t="s">
        <v>139</v>
      </c>
      <c r="AC87" t="s">
        <v>139</v>
      </c>
      <c r="AD87" t="s">
        <v>139</v>
      </c>
      <c r="AE87" t="s">
        <v>139</v>
      </c>
      <c r="AF87" t="s">
        <v>139</v>
      </c>
      <c r="AG87" t="s">
        <v>139</v>
      </c>
      <c r="AH87" s="9" t="s">
        <v>139</v>
      </c>
      <c r="AI87" t="s">
        <v>139</v>
      </c>
      <c r="AJ87" t="s">
        <v>139</v>
      </c>
      <c r="AK87" t="s">
        <v>139</v>
      </c>
      <c r="AL87" t="s">
        <v>139</v>
      </c>
      <c r="AM87" t="s">
        <v>139</v>
      </c>
      <c r="AN87" t="s">
        <v>139</v>
      </c>
      <c r="AO87" s="9" t="s">
        <v>139</v>
      </c>
      <c r="AP87" t="s">
        <v>139</v>
      </c>
      <c r="AQ87" t="s">
        <v>139</v>
      </c>
      <c r="AR87" t="s">
        <v>139</v>
      </c>
    </row>
    <row r="88" spans="1:44" x14ac:dyDescent="0.4">
      <c r="A88" s="3" t="s">
        <v>219</v>
      </c>
      <c r="B88">
        <v>137203.6</v>
      </c>
      <c r="C88">
        <v>75162.2</v>
      </c>
      <c r="D88">
        <v>64480.4</v>
      </c>
      <c r="E88" t="s">
        <v>139</v>
      </c>
      <c r="F88" t="s">
        <v>139</v>
      </c>
      <c r="G88">
        <v>10681.8</v>
      </c>
      <c r="H88" t="s">
        <v>139</v>
      </c>
      <c r="I88" t="s">
        <v>139</v>
      </c>
      <c r="J88">
        <v>62041.3</v>
      </c>
      <c r="K88">
        <v>24013.8</v>
      </c>
      <c r="L88">
        <v>15411.2</v>
      </c>
      <c r="M88" t="s">
        <v>139</v>
      </c>
      <c r="N88" t="s">
        <v>139</v>
      </c>
      <c r="O88" t="s">
        <v>139</v>
      </c>
      <c r="P88" t="s">
        <v>139</v>
      </c>
      <c r="Q88" t="s">
        <v>139</v>
      </c>
      <c r="R88" t="s">
        <v>139</v>
      </c>
      <c r="S88" t="s">
        <v>139</v>
      </c>
      <c r="T88" t="s">
        <v>139</v>
      </c>
      <c r="U88">
        <v>14316.8</v>
      </c>
      <c r="V88" s="6" t="s">
        <v>139</v>
      </c>
      <c r="W88" t="s">
        <v>139</v>
      </c>
      <c r="X88" t="s">
        <v>139</v>
      </c>
      <c r="Y88" t="s">
        <v>139</v>
      </c>
      <c r="Z88" t="s">
        <v>139</v>
      </c>
      <c r="AA88" t="s">
        <v>139</v>
      </c>
      <c r="AB88" t="s">
        <v>139</v>
      </c>
      <c r="AC88" t="s">
        <v>139</v>
      </c>
      <c r="AD88" t="s">
        <v>139</v>
      </c>
      <c r="AE88" t="s">
        <v>139</v>
      </c>
      <c r="AF88" t="s">
        <v>139</v>
      </c>
      <c r="AG88" t="s">
        <v>139</v>
      </c>
      <c r="AH88" s="9" t="s">
        <v>139</v>
      </c>
      <c r="AI88" t="s">
        <v>139</v>
      </c>
      <c r="AJ88" t="s">
        <v>139</v>
      </c>
      <c r="AK88" t="s">
        <v>139</v>
      </c>
      <c r="AL88" t="s">
        <v>139</v>
      </c>
      <c r="AM88" t="s">
        <v>139</v>
      </c>
      <c r="AN88" t="s">
        <v>139</v>
      </c>
      <c r="AO88" s="9" t="s">
        <v>139</v>
      </c>
      <c r="AP88" t="s">
        <v>139</v>
      </c>
      <c r="AQ88" t="s">
        <v>139</v>
      </c>
      <c r="AR88" t="s">
        <v>139</v>
      </c>
    </row>
    <row r="89" spans="1:44" x14ac:dyDescent="0.4">
      <c r="A89" s="3" t="s">
        <v>220</v>
      </c>
      <c r="B89">
        <v>137315.4</v>
      </c>
      <c r="C89">
        <v>75397.600000000006</v>
      </c>
      <c r="D89">
        <v>64723.8</v>
      </c>
      <c r="E89" t="s">
        <v>139</v>
      </c>
      <c r="F89" t="s">
        <v>139</v>
      </c>
      <c r="G89">
        <v>10673.8</v>
      </c>
      <c r="H89" t="s">
        <v>139</v>
      </c>
      <c r="I89" t="s">
        <v>139</v>
      </c>
      <c r="J89">
        <v>61917.9</v>
      </c>
      <c r="K89">
        <v>23982.5</v>
      </c>
      <c r="L89">
        <v>15494</v>
      </c>
      <c r="M89" t="s">
        <v>139</v>
      </c>
      <c r="N89" t="s">
        <v>139</v>
      </c>
      <c r="O89" t="s">
        <v>139</v>
      </c>
      <c r="P89" t="s">
        <v>139</v>
      </c>
      <c r="Q89" t="s">
        <v>139</v>
      </c>
      <c r="R89" t="s">
        <v>139</v>
      </c>
      <c r="S89" t="s">
        <v>139</v>
      </c>
      <c r="T89" t="s">
        <v>139</v>
      </c>
      <c r="U89">
        <v>14395.5</v>
      </c>
      <c r="V89" s="6" t="s">
        <v>139</v>
      </c>
      <c r="W89" t="s">
        <v>139</v>
      </c>
      <c r="X89" t="s">
        <v>139</v>
      </c>
      <c r="Y89" t="s">
        <v>139</v>
      </c>
      <c r="Z89" t="s">
        <v>139</v>
      </c>
      <c r="AA89" t="s">
        <v>139</v>
      </c>
      <c r="AB89" t="s">
        <v>139</v>
      </c>
      <c r="AC89" t="s">
        <v>139</v>
      </c>
      <c r="AD89" t="s">
        <v>139</v>
      </c>
      <c r="AE89" t="s">
        <v>139</v>
      </c>
      <c r="AF89" t="s">
        <v>139</v>
      </c>
      <c r="AG89" t="s">
        <v>139</v>
      </c>
      <c r="AH89" s="9" t="s">
        <v>139</v>
      </c>
      <c r="AI89" t="s">
        <v>139</v>
      </c>
      <c r="AJ89" t="s">
        <v>139</v>
      </c>
      <c r="AK89" t="s">
        <v>139</v>
      </c>
      <c r="AL89" t="s">
        <v>139</v>
      </c>
      <c r="AM89" t="s">
        <v>139</v>
      </c>
      <c r="AN89" t="s">
        <v>139</v>
      </c>
      <c r="AO89" s="9" t="s">
        <v>139</v>
      </c>
      <c r="AP89" t="s">
        <v>139</v>
      </c>
      <c r="AQ89" t="s">
        <v>139</v>
      </c>
      <c r="AR89" t="s">
        <v>139</v>
      </c>
    </row>
    <row r="90" spans="1:44" x14ac:dyDescent="0.4">
      <c r="A90" s="3" t="s">
        <v>221</v>
      </c>
      <c r="B90">
        <v>138489.5</v>
      </c>
      <c r="C90">
        <v>76699.199999999997</v>
      </c>
      <c r="D90">
        <v>66009.399999999994</v>
      </c>
      <c r="E90" t="s">
        <v>139</v>
      </c>
      <c r="F90" t="s">
        <v>139</v>
      </c>
      <c r="G90">
        <v>10689.8</v>
      </c>
      <c r="H90" t="s">
        <v>139</v>
      </c>
      <c r="I90" t="s">
        <v>139</v>
      </c>
      <c r="J90">
        <v>61790.3</v>
      </c>
      <c r="K90">
        <v>23870</v>
      </c>
      <c r="L90">
        <v>15577.5</v>
      </c>
      <c r="M90" t="s">
        <v>139</v>
      </c>
      <c r="N90" t="s">
        <v>139</v>
      </c>
      <c r="O90" t="s">
        <v>139</v>
      </c>
      <c r="P90" t="s">
        <v>139</v>
      </c>
      <c r="Q90" t="s">
        <v>139</v>
      </c>
      <c r="R90" t="s">
        <v>139</v>
      </c>
      <c r="S90" t="s">
        <v>139</v>
      </c>
      <c r="T90" t="s">
        <v>139</v>
      </c>
      <c r="U90">
        <v>14364.6</v>
      </c>
      <c r="V90" s="6" t="s">
        <v>139</v>
      </c>
      <c r="W90" t="s">
        <v>139</v>
      </c>
      <c r="X90" t="s">
        <v>139</v>
      </c>
      <c r="Y90" t="s">
        <v>139</v>
      </c>
      <c r="Z90" t="s">
        <v>139</v>
      </c>
      <c r="AA90" t="s">
        <v>139</v>
      </c>
      <c r="AB90" t="s">
        <v>139</v>
      </c>
      <c r="AC90" t="s">
        <v>139</v>
      </c>
      <c r="AD90" t="s">
        <v>139</v>
      </c>
      <c r="AE90" t="s">
        <v>139</v>
      </c>
      <c r="AF90" t="s">
        <v>139</v>
      </c>
      <c r="AG90" t="s">
        <v>139</v>
      </c>
      <c r="AH90" s="9" t="s">
        <v>139</v>
      </c>
      <c r="AI90" t="s">
        <v>139</v>
      </c>
      <c r="AJ90" t="s">
        <v>139</v>
      </c>
      <c r="AK90" t="s">
        <v>139</v>
      </c>
      <c r="AL90" t="s">
        <v>139</v>
      </c>
      <c r="AM90" t="s">
        <v>139</v>
      </c>
      <c r="AN90" t="s">
        <v>139</v>
      </c>
      <c r="AO90" s="9" t="s">
        <v>139</v>
      </c>
      <c r="AP90" t="s">
        <v>139</v>
      </c>
      <c r="AQ90" t="s">
        <v>139</v>
      </c>
      <c r="AR90" t="s">
        <v>139</v>
      </c>
    </row>
    <row r="91" spans="1:44" x14ac:dyDescent="0.4">
      <c r="A91" s="3" t="s">
        <v>222</v>
      </c>
      <c r="B91">
        <v>139024.5</v>
      </c>
      <c r="C91">
        <v>77421.5</v>
      </c>
      <c r="D91">
        <v>66686.8</v>
      </c>
      <c r="E91" t="s">
        <v>139</v>
      </c>
      <c r="F91" t="s">
        <v>139</v>
      </c>
      <c r="G91">
        <v>10734.6</v>
      </c>
      <c r="H91" t="s">
        <v>139</v>
      </c>
      <c r="I91" t="s">
        <v>139</v>
      </c>
      <c r="J91">
        <v>61603</v>
      </c>
      <c r="K91">
        <v>23168.6</v>
      </c>
      <c r="L91">
        <v>15681.5</v>
      </c>
      <c r="M91" t="s">
        <v>139</v>
      </c>
      <c r="N91" t="s">
        <v>139</v>
      </c>
      <c r="O91" t="s">
        <v>139</v>
      </c>
      <c r="P91" t="s">
        <v>139</v>
      </c>
      <c r="Q91" t="s">
        <v>139</v>
      </c>
      <c r="R91" t="s">
        <v>139</v>
      </c>
      <c r="S91" t="s">
        <v>139</v>
      </c>
      <c r="T91" t="s">
        <v>139</v>
      </c>
      <c r="U91">
        <v>14482.9</v>
      </c>
      <c r="V91" s="6" t="s">
        <v>139</v>
      </c>
      <c r="W91" t="s">
        <v>139</v>
      </c>
      <c r="X91" t="s">
        <v>139</v>
      </c>
      <c r="Y91" t="s">
        <v>139</v>
      </c>
      <c r="Z91" t="s">
        <v>139</v>
      </c>
      <c r="AA91" t="s">
        <v>139</v>
      </c>
      <c r="AB91" t="s">
        <v>139</v>
      </c>
      <c r="AC91" t="s">
        <v>139</v>
      </c>
      <c r="AD91" t="s">
        <v>139</v>
      </c>
      <c r="AE91" t="s">
        <v>139</v>
      </c>
      <c r="AF91" t="s">
        <v>139</v>
      </c>
      <c r="AG91" t="s">
        <v>139</v>
      </c>
      <c r="AH91" s="9" t="s">
        <v>139</v>
      </c>
      <c r="AI91" t="s">
        <v>139</v>
      </c>
      <c r="AJ91" t="s">
        <v>139</v>
      </c>
      <c r="AK91" t="s">
        <v>139</v>
      </c>
      <c r="AL91" t="s">
        <v>139</v>
      </c>
      <c r="AM91" t="s">
        <v>139</v>
      </c>
      <c r="AN91" t="s">
        <v>139</v>
      </c>
      <c r="AO91" s="9" t="s">
        <v>139</v>
      </c>
      <c r="AP91" t="s">
        <v>139</v>
      </c>
      <c r="AQ91" t="s">
        <v>139</v>
      </c>
      <c r="AR91" t="s">
        <v>139</v>
      </c>
    </row>
    <row r="92" spans="1:44" x14ac:dyDescent="0.4">
      <c r="A92" s="3" t="s">
        <v>223</v>
      </c>
      <c r="B92">
        <v>139103.29999999999</v>
      </c>
      <c r="C92">
        <v>77833.8</v>
      </c>
      <c r="D92">
        <v>67037.100000000006</v>
      </c>
      <c r="E92" t="s">
        <v>139</v>
      </c>
      <c r="F92" t="s">
        <v>139</v>
      </c>
      <c r="G92">
        <v>10796.7</v>
      </c>
      <c r="H92" t="s">
        <v>139</v>
      </c>
      <c r="I92" t="s">
        <v>139</v>
      </c>
      <c r="J92">
        <v>61269.5</v>
      </c>
      <c r="K92">
        <v>23011.200000000001</v>
      </c>
      <c r="L92">
        <v>15703.6</v>
      </c>
      <c r="M92" t="s">
        <v>139</v>
      </c>
      <c r="N92" t="s">
        <v>139</v>
      </c>
      <c r="O92" t="s">
        <v>139</v>
      </c>
      <c r="P92" t="s">
        <v>139</v>
      </c>
      <c r="Q92" t="s">
        <v>139</v>
      </c>
      <c r="R92" t="s">
        <v>139</v>
      </c>
      <c r="S92" t="s">
        <v>139</v>
      </c>
      <c r="T92" t="s">
        <v>139</v>
      </c>
      <c r="U92">
        <v>14495.3</v>
      </c>
      <c r="V92" s="6" t="s">
        <v>139</v>
      </c>
      <c r="W92" t="s">
        <v>139</v>
      </c>
      <c r="X92" t="s">
        <v>139</v>
      </c>
      <c r="Y92" t="s">
        <v>139</v>
      </c>
      <c r="Z92" t="s">
        <v>139</v>
      </c>
      <c r="AA92" t="s">
        <v>139</v>
      </c>
      <c r="AB92" t="s">
        <v>139</v>
      </c>
      <c r="AC92" t="s">
        <v>139</v>
      </c>
      <c r="AD92" t="s">
        <v>139</v>
      </c>
      <c r="AE92" t="s">
        <v>139</v>
      </c>
      <c r="AF92" t="s">
        <v>139</v>
      </c>
      <c r="AG92" t="s">
        <v>139</v>
      </c>
      <c r="AH92" s="9" t="s">
        <v>139</v>
      </c>
      <c r="AI92" t="s">
        <v>139</v>
      </c>
      <c r="AJ92" t="s">
        <v>139</v>
      </c>
      <c r="AK92" t="s">
        <v>139</v>
      </c>
      <c r="AL92" t="s">
        <v>139</v>
      </c>
      <c r="AM92" t="s">
        <v>139</v>
      </c>
      <c r="AN92" t="s">
        <v>139</v>
      </c>
      <c r="AO92" s="9" t="s">
        <v>139</v>
      </c>
      <c r="AP92" t="s">
        <v>139</v>
      </c>
      <c r="AQ92" t="s">
        <v>139</v>
      </c>
      <c r="AR92" t="s">
        <v>139</v>
      </c>
    </row>
    <row r="93" spans="1:44" x14ac:dyDescent="0.4">
      <c r="A93" s="3" t="s">
        <v>224</v>
      </c>
      <c r="B93">
        <v>138176.6</v>
      </c>
      <c r="C93">
        <v>77282.100000000006</v>
      </c>
      <c r="D93">
        <v>66311.3</v>
      </c>
      <c r="E93" t="s">
        <v>139</v>
      </c>
      <c r="F93" t="s">
        <v>139</v>
      </c>
      <c r="G93">
        <v>10970.8</v>
      </c>
      <c r="H93" t="s">
        <v>139</v>
      </c>
      <c r="I93" t="s">
        <v>139</v>
      </c>
      <c r="J93">
        <v>60894.5</v>
      </c>
      <c r="K93">
        <v>22952</v>
      </c>
      <c r="L93">
        <v>15707.9</v>
      </c>
      <c r="M93" t="s">
        <v>139</v>
      </c>
      <c r="N93" t="s">
        <v>139</v>
      </c>
      <c r="O93" t="s">
        <v>139</v>
      </c>
      <c r="P93" t="s">
        <v>139</v>
      </c>
      <c r="Q93" t="s">
        <v>139</v>
      </c>
      <c r="R93" t="s">
        <v>139</v>
      </c>
      <c r="S93" t="s">
        <v>139</v>
      </c>
      <c r="T93" t="s">
        <v>139</v>
      </c>
      <c r="U93">
        <v>14327.8</v>
      </c>
      <c r="V93" s="6" t="s">
        <v>139</v>
      </c>
      <c r="W93" t="s">
        <v>139</v>
      </c>
      <c r="X93" t="s">
        <v>139</v>
      </c>
      <c r="Y93" t="s">
        <v>139</v>
      </c>
      <c r="Z93" t="s">
        <v>139</v>
      </c>
      <c r="AA93" t="s">
        <v>139</v>
      </c>
      <c r="AB93" t="s">
        <v>139</v>
      </c>
      <c r="AC93" t="s">
        <v>139</v>
      </c>
      <c r="AD93" t="s">
        <v>139</v>
      </c>
      <c r="AE93" t="s">
        <v>139</v>
      </c>
      <c r="AF93" t="s">
        <v>139</v>
      </c>
      <c r="AG93" t="s">
        <v>139</v>
      </c>
      <c r="AH93" s="9" t="s">
        <v>139</v>
      </c>
      <c r="AI93" t="s">
        <v>139</v>
      </c>
      <c r="AJ93" t="s">
        <v>139</v>
      </c>
      <c r="AK93" t="s">
        <v>139</v>
      </c>
      <c r="AL93" t="s">
        <v>139</v>
      </c>
      <c r="AM93" t="s">
        <v>139</v>
      </c>
      <c r="AN93" t="s">
        <v>139</v>
      </c>
      <c r="AO93" s="9" t="s">
        <v>139</v>
      </c>
      <c r="AP93" t="s">
        <v>139</v>
      </c>
      <c r="AQ93" t="s">
        <v>139</v>
      </c>
      <c r="AR93" t="s">
        <v>139</v>
      </c>
    </row>
    <row r="94" spans="1:44" x14ac:dyDescent="0.4">
      <c r="A94" s="3" t="s">
        <v>225</v>
      </c>
      <c r="B94">
        <v>136829.79999999999</v>
      </c>
      <c r="C94">
        <v>75663.100000000006</v>
      </c>
      <c r="D94">
        <v>64582.7</v>
      </c>
      <c r="E94" t="s">
        <v>139</v>
      </c>
      <c r="F94" t="s">
        <v>139</v>
      </c>
      <c r="G94">
        <v>11080.4</v>
      </c>
      <c r="H94" t="s">
        <v>139</v>
      </c>
      <c r="I94" t="s">
        <v>139</v>
      </c>
      <c r="J94">
        <v>61166.7</v>
      </c>
      <c r="K94">
        <v>22927</v>
      </c>
      <c r="L94">
        <v>15805.3</v>
      </c>
      <c r="M94" t="s">
        <v>139</v>
      </c>
      <c r="N94" t="s">
        <v>139</v>
      </c>
      <c r="O94" t="s">
        <v>139</v>
      </c>
      <c r="P94" t="s">
        <v>139</v>
      </c>
      <c r="Q94" t="s">
        <v>139</v>
      </c>
      <c r="R94" t="s">
        <v>139</v>
      </c>
      <c r="S94" t="s">
        <v>139</v>
      </c>
      <c r="T94" t="s">
        <v>139</v>
      </c>
      <c r="U94">
        <v>14264.2</v>
      </c>
      <c r="V94" s="6" t="s">
        <v>139</v>
      </c>
      <c r="W94" t="s">
        <v>139</v>
      </c>
      <c r="X94" t="s">
        <v>139</v>
      </c>
      <c r="Y94" t="s">
        <v>139</v>
      </c>
      <c r="Z94" t="s">
        <v>139</v>
      </c>
      <c r="AA94" t="s">
        <v>139</v>
      </c>
      <c r="AB94" t="s">
        <v>139</v>
      </c>
      <c r="AC94" t="s">
        <v>139</v>
      </c>
      <c r="AD94" t="s">
        <v>139</v>
      </c>
      <c r="AE94" t="s">
        <v>139</v>
      </c>
      <c r="AF94" t="s">
        <v>139</v>
      </c>
      <c r="AG94" t="s">
        <v>139</v>
      </c>
      <c r="AH94" s="9" t="s">
        <v>139</v>
      </c>
      <c r="AI94" t="s">
        <v>139</v>
      </c>
      <c r="AJ94" t="s">
        <v>139</v>
      </c>
      <c r="AK94" t="s">
        <v>139</v>
      </c>
      <c r="AL94" t="s">
        <v>139</v>
      </c>
      <c r="AM94" t="s">
        <v>139</v>
      </c>
      <c r="AN94" t="s">
        <v>139</v>
      </c>
      <c r="AO94" s="9" t="s">
        <v>139</v>
      </c>
      <c r="AP94" t="s">
        <v>139</v>
      </c>
      <c r="AQ94" t="s">
        <v>139</v>
      </c>
      <c r="AR94" t="s">
        <v>139</v>
      </c>
    </row>
    <row r="95" spans="1:44" x14ac:dyDescent="0.4">
      <c r="A95" s="3" t="s">
        <v>226</v>
      </c>
      <c r="B95">
        <v>136990.5</v>
      </c>
      <c r="C95">
        <v>75818.100000000006</v>
      </c>
      <c r="D95">
        <v>64635</v>
      </c>
      <c r="E95" t="s">
        <v>139</v>
      </c>
      <c r="F95" t="s">
        <v>139</v>
      </c>
      <c r="G95">
        <v>11183.1</v>
      </c>
      <c r="H95" t="s">
        <v>139</v>
      </c>
      <c r="I95" t="s">
        <v>139</v>
      </c>
      <c r="J95">
        <v>61172.4</v>
      </c>
      <c r="K95">
        <v>22798.7</v>
      </c>
      <c r="L95">
        <v>15912.2</v>
      </c>
      <c r="M95" t="s">
        <v>139</v>
      </c>
      <c r="N95" t="s">
        <v>139</v>
      </c>
      <c r="O95" t="s">
        <v>139</v>
      </c>
      <c r="P95" t="s">
        <v>139</v>
      </c>
      <c r="Q95" t="s">
        <v>139</v>
      </c>
      <c r="R95" t="s">
        <v>139</v>
      </c>
      <c r="S95" t="s">
        <v>139</v>
      </c>
      <c r="T95" t="s">
        <v>139</v>
      </c>
      <c r="U95">
        <v>14203.6</v>
      </c>
      <c r="V95" s="6" t="s">
        <v>139</v>
      </c>
      <c r="W95" t="s">
        <v>139</v>
      </c>
      <c r="X95" t="s">
        <v>139</v>
      </c>
      <c r="Y95" t="s">
        <v>139</v>
      </c>
      <c r="Z95" t="s">
        <v>139</v>
      </c>
      <c r="AA95" t="s">
        <v>139</v>
      </c>
      <c r="AB95" t="s">
        <v>139</v>
      </c>
      <c r="AC95" t="s">
        <v>139</v>
      </c>
      <c r="AD95" t="s">
        <v>139</v>
      </c>
      <c r="AE95" t="s">
        <v>139</v>
      </c>
      <c r="AF95" t="s">
        <v>139</v>
      </c>
      <c r="AG95" t="s">
        <v>139</v>
      </c>
      <c r="AH95" s="9" t="s">
        <v>139</v>
      </c>
      <c r="AI95" t="s">
        <v>139</v>
      </c>
      <c r="AJ95" t="s">
        <v>139</v>
      </c>
      <c r="AK95" t="s">
        <v>139</v>
      </c>
      <c r="AL95" t="s">
        <v>139</v>
      </c>
      <c r="AM95" t="s">
        <v>139</v>
      </c>
      <c r="AN95" t="s">
        <v>139</v>
      </c>
      <c r="AO95" s="9" t="s">
        <v>139</v>
      </c>
      <c r="AP95" t="s">
        <v>139</v>
      </c>
      <c r="AQ95" t="s">
        <v>139</v>
      </c>
      <c r="AR95" t="s">
        <v>139</v>
      </c>
    </row>
    <row r="96" spans="1:44" x14ac:dyDescent="0.4">
      <c r="A96" s="3" t="s">
        <v>227</v>
      </c>
      <c r="B96">
        <v>138203.79999999999</v>
      </c>
      <c r="C96">
        <v>76974.5</v>
      </c>
      <c r="D96">
        <v>65705.7</v>
      </c>
      <c r="E96" t="s">
        <v>139</v>
      </c>
      <c r="F96" t="s">
        <v>139</v>
      </c>
      <c r="G96">
        <v>11268.8</v>
      </c>
      <c r="H96" t="s">
        <v>139</v>
      </c>
      <c r="I96" t="s">
        <v>139</v>
      </c>
      <c r="J96">
        <v>61229.3</v>
      </c>
      <c r="K96">
        <v>22669.4</v>
      </c>
      <c r="L96">
        <v>16005.9</v>
      </c>
      <c r="M96" t="s">
        <v>139</v>
      </c>
      <c r="N96" t="s">
        <v>139</v>
      </c>
      <c r="O96" t="s">
        <v>139</v>
      </c>
      <c r="P96" t="s">
        <v>139</v>
      </c>
      <c r="Q96" t="s">
        <v>139</v>
      </c>
      <c r="R96" t="s">
        <v>139</v>
      </c>
      <c r="S96" t="s">
        <v>139</v>
      </c>
      <c r="T96" t="s">
        <v>139</v>
      </c>
      <c r="U96">
        <v>14164.9</v>
      </c>
      <c r="V96" s="6" t="s">
        <v>139</v>
      </c>
      <c r="W96" t="s">
        <v>139</v>
      </c>
      <c r="X96" t="s">
        <v>139</v>
      </c>
      <c r="Y96" t="s">
        <v>139</v>
      </c>
      <c r="Z96" t="s">
        <v>139</v>
      </c>
      <c r="AA96" t="s">
        <v>139</v>
      </c>
      <c r="AB96" t="s">
        <v>139</v>
      </c>
      <c r="AC96" t="s">
        <v>139</v>
      </c>
      <c r="AD96" t="s">
        <v>139</v>
      </c>
      <c r="AE96" t="s">
        <v>139</v>
      </c>
      <c r="AF96" t="s">
        <v>139</v>
      </c>
      <c r="AG96" t="s">
        <v>139</v>
      </c>
      <c r="AH96" s="9" t="s">
        <v>139</v>
      </c>
      <c r="AI96" t="s">
        <v>139</v>
      </c>
      <c r="AJ96" t="s">
        <v>139</v>
      </c>
      <c r="AK96" t="s">
        <v>139</v>
      </c>
      <c r="AL96" t="s">
        <v>139</v>
      </c>
      <c r="AM96" t="s">
        <v>139</v>
      </c>
      <c r="AN96" t="s">
        <v>139</v>
      </c>
      <c r="AO96" s="9" t="s">
        <v>139</v>
      </c>
      <c r="AP96" t="s">
        <v>139</v>
      </c>
      <c r="AQ96" t="s">
        <v>139</v>
      </c>
      <c r="AR96" t="s">
        <v>139</v>
      </c>
    </row>
    <row r="97" spans="1:44" x14ac:dyDescent="0.4">
      <c r="A97" s="3" t="s">
        <v>228</v>
      </c>
      <c r="B97">
        <v>139105.70000000001</v>
      </c>
      <c r="C97">
        <v>77495.399999999994</v>
      </c>
      <c r="D97">
        <v>66087.100000000006</v>
      </c>
      <c r="E97" t="s">
        <v>139</v>
      </c>
      <c r="F97" t="s">
        <v>139</v>
      </c>
      <c r="G97">
        <v>11408.3</v>
      </c>
      <c r="H97" t="s">
        <v>139</v>
      </c>
      <c r="I97" t="s">
        <v>139</v>
      </c>
      <c r="J97">
        <v>61610.2</v>
      </c>
      <c r="K97">
        <v>22513.9</v>
      </c>
      <c r="L97">
        <v>16120.6</v>
      </c>
      <c r="M97" t="s">
        <v>139</v>
      </c>
      <c r="N97" t="s">
        <v>139</v>
      </c>
      <c r="O97" t="s">
        <v>139</v>
      </c>
      <c r="P97" t="s">
        <v>139</v>
      </c>
      <c r="Q97" t="s">
        <v>139</v>
      </c>
      <c r="R97" t="s">
        <v>139</v>
      </c>
      <c r="S97" t="s">
        <v>139</v>
      </c>
      <c r="T97" t="s">
        <v>139</v>
      </c>
      <c r="U97">
        <v>14221.1</v>
      </c>
      <c r="V97" s="6" t="s">
        <v>139</v>
      </c>
      <c r="W97" t="s">
        <v>139</v>
      </c>
      <c r="X97" t="s">
        <v>139</v>
      </c>
      <c r="Y97" t="s">
        <v>139</v>
      </c>
      <c r="Z97" t="s">
        <v>139</v>
      </c>
      <c r="AA97" t="s">
        <v>139</v>
      </c>
      <c r="AB97" t="s">
        <v>139</v>
      </c>
      <c r="AC97" t="s">
        <v>139</v>
      </c>
      <c r="AD97" t="s">
        <v>139</v>
      </c>
      <c r="AE97" t="s">
        <v>139</v>
      </c>
      <c r="AF97" t="s">
        <v>139</v>
      </c>
      <c r="AG97" t="s">
        <v>139</v>
      </c>
      <c r="AH97" s="9" t="s">
        <v>139</v>
      </c>
      <c r="AI97" t="s">
        <v>139</v>
      </c>
      <c r="AJ97" t="s">
        <v>139</v>
      </c>
      <c r="AK97" t="s">
        <v>139</v>
      </c>
      <c r="AL97" t="s">
        <v>139</v>
      </c>
      <c r="AM97" t="s">
        <v>139</v>
      </c>
      <c r="AN97" t="s">
        <v>139</v>
      </c>
      <c r="AO97" s="9" t="s">
        <v>139</v>
      </c>
      <c r="AP97" t="s">
        <v>139</v>
      </c>
      <c r="AQ97" t="s">
        <v>139</v>
      </c>
      <c r="AR97" t="s">
        <v>139</v>
      </c>
    </row>
    <row r="98" spans="1:44" x14ac:dyDescent="0.4">
      <c r="A98" s="3" t="s">
        <v>229</v>
      </c>
      <c r="B98">
        <v>140006.29999999999</v>
      </c>
      <c r="C98">
        <v>78336.5</v>
      </c>
      <c r="D98">
        <v>66808.600000000006</v>
      </c>
      <c r="E98" t="s">
        <v>139</v>
      </c>
      <c r="F98" t="s">
        <v>139</v>
      </c>
      <c r="G98">
        <v>11527.9</v>
      </c>
      <c r="H98" t="s">
        <v>139</v>
      </c>
      <c r="I98" t="s">
        <v>139</v>
      </c>
      <c r="J98">
        <v>61669.8</v>
      </c>
      <c r="K98">
        <v>22439</v>
      </c>
      <c r="L98">
        <v>16281.7</v>
      </c>
      <c r="M98" t="s">
        <v>139</v>
      </c>
      <c r="N98" t="s">
        <v>139</v>
      </c>
      <c r="O98" t="s">
        <v>139</v>
      </c>
      <c r="P98" t="s">
        <v>139</v>
      </c>
      <c r="Q98" t="s">
        <v>139</v>
      </c>
      <c r="R98" t="s">
        <v>139</v>
      </c>
      <c r="S98" t="s">
        <v>139</v>
      </c>
      <c r="T98" t="s">
        <v>139</v>
      </c>
      <c r="U98">
        <v>14308.5</v>
      </c>
      <c r="V98" s="6" t="s">
        <v>139</v>
      </c>
      <c r="W98" t="s">
        <v>139</v>
      </c>
      <c r="X98" t="s">
        <v>139</v>
      </c>
      <c r="Y98" t="s">
        <v>139</v>
      </c>
      <c r="Z98" t="s">
        <v>139</v>
      </c>
      <c r="AA98" t="s">
        <v>139</v>
      </c>
      <c r="AB98" t="s">
        <v>139</v>
      </c>
      <c r="AC98" t="s">
        <v>139</v>
      </c>
      <c r="AD98" t="s">
        <v>139</v>
      </c>
      <c r="AE98" t="s">
        <v>139</v>
      </c>
      <c r="AF98" t="s">
        <v>139</v>
      </c>
      <c r="AG98" t="s">
        <v>139</v>
      </c>
      <c r="AH98" s="9" t="s">
        <v>139</v>
      </c>
      <c r="AI98" t="s">
        <v>139</v>
      </c>
      <c r="AJ98" t="s">
        <v>139</v>
      </c>
      <c r="AK98" t="s">
        <v>139</v>
      </c>
      <c r="AL98" t="s">
        <v>139</v>
      </c>
      <c r="AM98" t="s">
        <v>139</v>
      </c>
      <c r="AN98" t="s">
        <v>139</v>
      </c>
      <c r="AO98" s="9" t="s">
        <v>139</v>
      </c>
      <c r="AP98" t="s">
        <v>139</v>
      </c>
      <c r="AQ98" t="s">
        <v>139</v>
      </c>
      <c r="AR98" t="s">
        <v>139</v>
      </c>
    </row>
    <row r="99" spans="1:44" x14ac:dyDescent="0.4">
      <c r="A99" s="3" t="s">
        <v>230</v>
      </c>
      <c r="B99">
        <v>142717.79999999999</v>
      </c>
      <c r="C99">
        <v>80802.3</v>
      </c>
      <c r="D99">
        <v>69194.7</v>
      </c>
      <c r="E99" t="s">
        <v>139</v>
      </c>
      <c r="F99" t="s">
        <v>139</v>
      </c>
      <c r="G99">
        <v>11607.6</v>
      </c>
      <c r="H99" t="s">
        <v>139</v>
      </c>
      <c r="I99" t="s">
        <v>139</v>
      </c>
      <c r="J99">
        <v>61915.5</v>
      </c>
      <c r="K99">
        <v>22442.2</v>
      </c>
      <c r="L99">
        <v>16454.3</v>
      </c>
      <c r="M99" t="s">
        <v>139</v>
      </c>
      <c r="N99" t="s">
        <v>139</v>
      </c>
      <c r="O99" t="s">
        <v>139</v>
      </c>
      <c r="P99" t="s">
        <v>139</v>
      </c>
      <c r="Q99" t="s">
        <v>139</v>
      </c>
      <c r="R99" t="s">
        <v>139</v>
      </c>
      <c r="S99" t="s">
        <v>139</v>
      </c>
      <c r="T99" t="s">
        <v>139</v>
      </c>
      <c r="U99">
        <v>14419</v>
      </c>
      <c r="V99" s="6" t="s">
        <v>139</v>
      </c>
      <c r="W99" t="s">
        <v>139</v>
      </c>
      <c r="X99" t="s">
        <v>139</v>
      </c>
      <c r="Y99" t="s">
        <v>139</v>
      </c>
      <c r="Z99" t="s">
        <v>139</v>
      </c>
      <c r="AA99" t="s">
        <v>139</v>
      </c>
      <c r="AB99" t="s">
        <v>139</v>
      </c>
      <c r="AC99" t="s">
        <v>139</v>
      </c>
      <c r="AD99" t="s">
        <v>139</v>
      </c>
      <c r="AE99" t="s">
        <v>139</v>
      </c>
      <c r="AF99" t="s">
        <v>139</v>
      </c>
      <c r="AG99" t="s">
        <v>139</v>
      </c>
      <c r="AH99" s="9" t="s">
        <v>139</v>
      </c>
      <c r="AI99" t="s">
        <v>139</v>
      </c>
      <c r="AJ99" t="s">
        <v>139</v>
      </c>
      <c r="AK99" t="s">
        <v>139</v>
      </c>
      <c r="AL99" t="s">
        <v>139</v>
      </c>
      <c r="AM99" t="s">
        <v>139</v>
      </c>
      <c r="AN99" t="s">
        <v>139</v>
      </c>
      <c r="AO99" s="9" t="s">
        <v>139</v>
      </c>
      <c r="AP99" t="s">
        <v>139</v>
      </c>
      <c r="AQ99" t="s">
        <v>139</v>
      </c>
      <c r="AR99" t="s">
        <v>139</v>
      </c>
    </row>
    <row r="100" spans="1:44" x14ac:dyDescent="0.4">
      <c r="A100" s="3" t="s">
        <v>231</v>
      </c>
      <c r="B100">
        <v>144242.29999999999</v>
      </c>
      <c r="C100">
        <v>81855.100000000006</v>
      </c>
      <c r="D100">
        <v>70108.2</v>
      </c>
      <c r="E100" t="s">
        <v>139</v>
      </c>
      <c r="F100" t="s">
        <v>139</v>
      </c>
      <c r="G100">
        <v>11746.9</v>
      </c>
      <c r="H100" t="s">
        <v>139</v>
      </c>
      <c r="I100" t="s">
        <v>139</v>
      </c>
      <c r="J100">
        <v>62387.3</v>
      </c>
      <c r="K100">
        <v>22480.5</v>
      </c>
      <c r="L100">
        <v>16598.900000000001</v>
      </c>
      <c r="M100" t="s">
        <v>139</v>
      </c>
      <c r="N100" t="s">
        <v>139</v>
      </c>
      <c r="O100" t="s">
        <v>139</v>
      </c>
      <c r="P100" t="s">
        <v>139</v>
      </c>
      <c r="Q100" t="s">
        <v>139</v>
      </c>
      <c r="R100" t="s">
        <v>139</v>
      </c>
      <c r="S100" t="s">
        <v>139</v>
      </c>
      <c r="T100" t="s">
        <v>139</v>
      </c>
      <c r="U100">
        <v>14441.8</v>
      </c>
      <c r="V100" s="6" t="s">
        <v>139</v>
      </c>
      <c r="W100" t="s">
        <v>139</v>
      </c>
      <c r="X100" t="s">
        <v>139</v>
      </c>
      <c r="Y100" t="s">
        <v>139</v>
      </c>
      <c r="Z100" t="s">
        <v>139</v>
      </c>
      <c r="AA100" t="s">
        <v>139</v>
      </c>
      <c r="AB100" t="s">
        <v>139</v>
      </c>
      <c r="AC100" t="s">
        <v>139</v>
      </c>
      <c r="AD100" t="s">
        <v>139</v>
      </c>
      <c r="AE100" t="s">
        <v>139</v>
      </c>
      <c r="AF100" t="s">
        <v>139</v>
      </c>
      <c r="AG100" t="s">
        <v>139</v>
      </c>
      <c r="AH100" s="9" t="s">
        <v>139</v>
      </c>
      <c r="AI100" t="s">
        <v>139</v>
      </c>
      <c r="AJ100" t="s">
        <v>139</v>
      </c>
      <c r="AK100" t="s">
        <v>139</v>
      </c>
      <c r="AL100" t="s">
        <v>139</v>
      </c>
      <c r="AM100" t="s">
        <v>139</v>
      </c>
      <c r="AN100" t="s">
        <v>139</v>
      </c>
      <c r="AO100" s="9" t="s">
        <v>139</v>
      </c>
      <c r="AP100" t="s">
        <v>139</v>
      </c>
      <c r="AQ100" t="s">
        <v>139</v>
      </c>
      <c r="AR100" t="s">
        <v>139</v>
      </c>
    </row>
    <row r="101" spans="1:44" x14ac:dyDescent="0.4">
      <c r="A101" s="3" t="s">
        <v>232</v>
      </c>
      <c r="B101">
        <v>146795.9</v>
      </c>
      <c r="C101">
        <v>83960.5</v>
      </c>
      <c r="D101">
        <v>72103.100000000006</v>
      </c>
      <c r="E101" t="s">
        <v>139</v>
      </c>
      <c r="F101" t="s">
        <v>139</v>
      </c>
      <c r="G101">
        <v>11857.4</v>
      </c>
      <c r="H101" t="s">
        <v>139</v>
      </c>
      <c r="I101" t="s">
        <v>139</v>
      </c>
      <c r="J101">
        <v>62835.4</v>
      </c>
      <c r="K101">
        <v>22578.7</v>
      </c>
      <c r="L101">
        <v>16781.5</v>
      </c>
      <c r="M101" t="s">
        <v>139</v>
      </c>
      <c r="N101" t="s">
        <v>139</v>
      </c>
      <c r="O101" t="s">
        <v>139</v>
      </c>
      <c r="P101" t="s">
        <v>139</v>
      </c>
      <c r="Q101" t="s">
        <v>139</v>
      </c>
      <c r="R101" t="s">
        <v>139</v>
      </c>
      <c r="S101" t="s">
        <v>139</v>
      </c>
      <c r="T101" t="s">
        <v>139</v>
      </c>
      <c r="U101">
        <v>14497.6</v>
      </c>
      <c r="V101" s="6" t="s">
        <v>139</v>
      </c>
      <c r="W101" t="s">
        <v>139</v>
      </c>
      <c r="X101" t="s">
        <v>139</v>
      </c>
      <c r="Y101" t="s">
        <v>139</v>
      </c>
      <c r="Z101" t="s">
        <v>139</v>
      </c>
      <c r="AA101" t="s">
        <v>139</v>
      </c>
      <c r="AB101" t="s">
        <v>139</v>
      </c>
      <c r="AC101" t="s">
        <v>139</v>
      </c>
      <c r="AD101" t="s">
        <v>139</v>
      </c>
      <c r="AE101" t="s">
        <v>139</v>
      </c>
      <c r="AF101" t="s">
        <v>139</v>
      </c>
      <c r="AG101" t="s">
        <v>139</v>
      </c>
      <c r="AH101" s="9" t="s">
        <v>139</v>
      </c>
      <c r="AI101" t="s">
        <v>139</v>
      </c>
      <c r="AJ101" t="s">
        <v>139</v>
      </c>
      <c r="AK101" t="s">
        <v>139</v>
      </c>
      <c r="AL101" t="s">
        <v>139</v>
      </c>
      <c r="AM101" t="s">
        <v>139</v>
      </c>
      <c r="AN101" t="s">
        <v>139</v>
      </c>
      <c r="AO101" s="9" t="s">
        <v>139</v>
      </c>
      <c r="AP101" t="s">
        <v>139</v>
      </c>
      <c r="AQ101" t="s">
        <v>139</v>
      </c>
      <c r="AR101" t="s">
        <v>139</v>
      </c>
    </row>
    <row r="102" spans="1:44" x14ac:dyDescent="0.4">
      <c r="A102" s="3" t="s">
        <v>233</v>
      </c>
      <c r="B102">
        <v>148181.70000000001</v>
      </c>
      <c r="C102">
        <v>84934.3</v>
      </c>
      <c r="D102">
        <v>73027.7</v>
      </c>
      <c r="E102" t="s">
        <v>139</v>
      </c>
      <c r="F102" t="s">
        <v>139</v>
      </c>
      <c r="G102">
        <v>11906.7</v>
      </c>
      <c r="H102" t="s">
        <v>139</v>
      </c>
      <c r="I102" t="s">
        <v>139</v>
      </c>
      <c r="J102">
        <v>63247.4</v>
      </c>
      <c r="K102">
        <v>22695.599999999999</v>
      </c>
      <c r="L102">
        <v>16964.900000000001</v>
      </c>
      <c r="M102" t="s">
        <v>139</v>
      </c>
      <c r="N102" t="s">
        <v>139</v>
      </c>
      <c r="O102" t="s">
        <v>139</v>
      </c>
      <c r="P102" t="s">
        <v>139</v>
      </c>
      <c r="Q102" t="s">
        <v>139</v>
      </c>
      <c r="R102" t="s">
        <v>139</v>
      </c>
      <c r="S102" t="s">
        <v>139</v>
      </c>
      <c r="T102" t="s">
        <v>139</v>
      </c>
      <c r="U102">
        <v>14574.4</v>
      </c>
      <c r="V102" s="6" t="s">
        <v>139</v>
      </c>
      <c r="W102" t="s">
        <v>139</v>
      </c>
      <c r="X102" t="s">
        <v>139</v>
      </c>
      <c r="Y102" t="s">
        <v>139</v>
      </c>
      <c r="Z102" t="s">
        <v>139</v>
      </c>
      <c r="AA102" t="s">
        <v>139</v>
      </c>
      <c r="AB102" t="s">
        <v>139</v>
      </c>
      <c r="AC102" t="s">
        <v>139</v>
      </c>
      <c r="AD102" t="s">
        <v>139</v>
      </c>
      <c r="AE102" t="s">
        <v>139</v>
      </c>
      <c r="AF102" t="s">
        <v>139</v>
      </c>
      <c r="AG102" t="s">
        <v>139</v>
      </c>
      <c r="AH102" s="9" t="s">
        <v>139</v>
      </c>
      <c r="AI102" t="s">
        <v>139</v>
      </c>
      <c r="AJ102" t="s">
        <v>139</v>
      </c>
      <c r="AK102" t="s">
        <v>139</v>
      </c>
      <c r="AL102" t="s">
        <v>139</v>
      </c>
      <c r="AM102" t="s">
        <v>139</v>
      </c>
      <c r="AN102" t="s">
        <v>139</v>
      </c>
      <c r="AO102" s="9" t="s">
        <v>139</v>
      </c>
      <c r="AP102" t="s">
        <v>139</v>
      </c>
      <c r="AQ102" t="s">
        <v>139</v>
      </c>
      <c r="AR102" t="s">
        <v>139</v>
      </c>
    </row>
    <row r="103" spans="1:44" x14ac:dyDescent="0.4">
      <c r="A103" s="3" t="s">
        <v>234</v>
      </c>
      <c r="B103">
        <v>149695</v>
      </c>
      <c r="C103">
        <v>85765.8</v>
      </c>
      <c r="D103">
        <v>73781</v>
      </c>
      <c r="E103" t="s">
        <v>139</v>
      </c>
      <c r="F103" t="s">
        <v>139</v>
      </c>
      <c r="G103">
        <v>11984.8</v>
      </c>
      <c r="H103" t="s">
        <v>139</v>
      </c>
      <c r="I103" t="s">
        <v>139</v>
      </c>
      <c r="J103">
        <v>63929.2</v>
      </c>
      <c r="K103">
        <v>22538.2</v>
      </c>
      <c r="L103">
        <v>17198.7</v>
      </c>
      <c r="M103" t="s">
        <v>139</v>
      </c>
      <c r="N103" t="s">
        <v>139</v>
      </c>
      <c r="O103" t="s">
        <v>139</v>
      </c>
      <c r="P103" t="s">
        <v>139</v>
      </c>
      <c r="Q103" t="s">
        <v>139</v>
      </c>
      <c r="R103" t="s">
        <v>139</v>
      </c>
      <c r="S103" t="s">
        <v>139</v>
      </c>
      <c r="T103" t="s">
        <v>139</v>
      </c>
      <c r="U103">
        <v>14724.2</v>
      </c>
      <c r="V103" s="6" t="s">
        <v>139</v>
      </c>
      <c r="W103" t="s">
        <v>139</v>
      </c>
      <c r="X103" t="s">
        <v>139</v>
      </c>
      <c r="Y103" t="s">
        <v>139</v>
      </c>
      <c r="Z103" t="s">
        <v>139</v>
      </c>
      <c r="AA103" t="s">
        <v>139</v>
      </c>
      <c r="AB103" t="s">
        <v>139</v>
      </c>
      <c r="AC103" t="s">
        <v>139</v>
      </c>
      <c r="AD103" t="s">
        <v>139</v>
      </c>
      <c r="AE103" t="s">
        <v>139</v>
      </c>
      <c r="AF103" t="s">
        <v>139</v>
      </c>
      <c r="AG103" t="s">
        <v>139</v>
      </c>
      <c r="AH103" s="9" t="s">
        <v>139</v>
      </c>
      <c r="AI103" t="s">
        <v>139</v>
      </c>
      <c r="AJ103" t="s">
        <v>139</v>
      </c>
      <c r="AK103" t="s">
        <v>139</v>
      </c>
      <c r="AL103" t="s">
        <v>139</v>
      </c>
      <c r="AM103" t="s">
        <v>139</v>
      </c>
      <c r="AN103" t="s">
        <v>139</v>
      </c>
      <c r="AO103" s="9" t="s">
        <v>139</v>
      </c>
      <c r="AP103" t="s">
        <v>139</v>
      </c>
      <c r="AQ103" t="s">
        <v>139</v>
      </c>
      <c r="AR103" t="s">
        <v>139</v>
      </c>
    </row>
    <row r="104" spans="1:44" x14ac:dyDescent="0.4">
      <c r="A104" s="3" t="s">
        <v>235</v>
      </c>
      <c r="B104">
        <v>149699</v>
      </c>
      <c r="C104">
        <v>85023.3</v>
      </c>
      <c r="D104">
        <v>72812.399999999994</v>
      </c>
      <c r="E104" t="s">
        <v>139</v>
      </c>
      <c r="F104" t="s">
        <v>139</v>
      </c>
      <c r="G104">
        <v>12210.9</v>
      </c>
      <c r="H104" t="s">
        <v>139</v>
      </c>
      <c r="I104" t="s">
        <v>139</v>
      </c>
      <c r="J104">
        <v>64675.7</v>
      </c>
      <c r="K104">
        <v>22803.599999999999</v>
      </c>
      <c r="L104">
        <v>17424.7</v>
      </c>
      <c r="M104" t="s">
        <v>139</v>
      </c>
      <c r="N104" t="s">
        <v>139</v>
      </c>
      <c r="O104" t="s">
        <v>139</v>
      </c>
      <c r="P104" t="s">
        <v>139</v>
      </c>
      <c r="Q104" t="s">
        <v>139</v>
      </c>
      <c r="R104" t="s">
        <v>139</v>
      </c>
      <c r="S104" t="s">
        <v>139</v>
      </c>
      <c r="T104" t="s">
        <v>139</v>
      </c>
      <c r="U104">
        <v>14821.7</v>
      </c>
      <c r="V104" s="6" t="s">
        <v>139</v>
      </c>
      <c r="W104" t="s">
        <v>139</v>
      </c>
      <c r="X104" t="s">
        <v>139</v>
      </c>
      <c r="Y104" t="s">
        <v>139</v>
      </c>
      <c r="Z104" t="s">
        <v>139</v>
      </c>
      <c r="AA104" t="s">
        <v>139</v>
      </c>
      <c r="AB104" t="s">
        <v>139</v>
      </c>
      <c r="AC104" t="s">
        <v>139</v>
      </c>
      <c r="AD104" t="s">
        <v>139</v>
      </c>
      <c r="AE104" t="s">
        <v>139</v>
      </c>
      <c r="AF104" t="s">
        <v>139</v>
      </c>
      <c r="AG104" t="s">
        <v>139</v>
      </c>
      <c r="AH104" s="9" t="s">
        <v>139</v>
      </c>
      <c r="AI104" t="s">
        <v>139</v>
      </c>
      <c r="AJ104" t="s">
        <v>139</v>
      </c>
      <c r="AK104" t="s">
        <v>139</v>
      </c>
      <c r="AL104" t="s">
        <v>139</v>
      </c>
      <c r="AM104" t="s">
        <v>139</v>
      </c>
      <c r="AN104" t="s">
        <v>139</v>
      </c>
      <c r="AO104" s="9" t="s">
        <v>139</v>
      </c>
      <c r="AP104" t="s">
        <v>139</v>
      </c>
      <c r="AQ104" t="s">
        <v>139</v>
      </c>
      <c r="AR104" t="s">
        <v>139</v>
      </c>
    </row>
    <row r="105" spans="1:44" x14ac:dyDescent="0.4">
      <c r="A105" s="3" t="s">
        <v>236</v>
      </c>
      <c r="B105">
        <v>147718.39999999999</v>
      </c>
      <c r="C105">
        <v>82548.5</v>
      </c>
      <c r="D105">
        <v>70192.5</v>
      </c>
      <c r="E105" t="s">
        <v>139</v>
      </c>
      <c r="F105" t="s">
        <v>139</v>
      </c>
      <c r="G105">
        <v>12356</v>
      </c>
      <c r="H105" t="s">
        <v>139</v>
      </c>
      <c r="I105" t="s">
        <v>139</v>
      </c>
      <c r="J105">
        <v>65169.9</v>
      </c>
      <c r="K105">
        <v>22990.1</v>
      </c>
      <c r="L105">
        <v>17646.2</v>
      </c>
      <c r="M105" t="s">
        <v>139</v>
      </c>
      <c r="N105" t="s">
        <v>139</v>
      </c>
      <c r="O105" t="s">
        <v>139</v>
      </c>
      <c r="P105" t="s">
        <v>139</v>
      </c>
      <c r="Q105" t="s">
        <v>139</v>
      </c>
      <c r="R105" t="s">
        <v>139</v>
      </c>
      <c r="S105" t="s">
        <v>139</v>
      </c>
      <c r="T105" t="s">
        <v>139</v>
      </c>
      <c r="U105">
        <v>14955.8</v>
      </c>
      <c r="V105" s="6" t="s">
        <v>139</v>
      </c>
      <c r="W105" t="s">
        <v>139</v>
      </c>
      <c r="X105" t="s">
        <v>139</v>
      </c>
      <c r="Y105" t="s">
        <v>139</v>
      </c>
      <c r="Z105" t="s">
        <v>139</v>
      </c>
      <c r="AA105" t="s">
        <v>139</v>
      </c>
      <c r="AB105" t="s">
        <v>139</v>
      </c>
      <c r="AC105" t="s">
        <v>139</v>
      </c>
      <c r="AD105" t="s">
        <v>139</v>
      </c>
      <c r="AE105" t="s">
        <v>139</v>
      </c>
      <c r="AF105" t="s">
        <v>139</v>
      </c>
      <c r="AG105" t="s">
        <v>139</v>
      </c>
      <c r="AH105" s="9" t="s">
        <v>139</v>
      </c>
      <c r="AI105" t="s">
        <v>139</v>
      </c>
      <c r="AJ105" t="s">
        <v>139</v>
      </c>
      <c r="AK105" t="s">
        <v>139</v>
      </c>
      <c r="AL105" t="s">
        <v>139</v>
      </c>
      <c r="AM105" t="s">
        <v>139</v>
      </c>
      <c r="AN105" t="s">
        <v>139</v>
      </c>
      <c r="AO105" s="9" t="s">
        <v>139</v>
      </c>
      <c r="AP105" t="s">
        <v>139</v>
      </c>
      <c r="AQ105" t="s">
        <v>139</v>
      </c>
      <c r="AR105" t="s">
        <v>139</v>
      </c>
    </row>
    <row r="106" spans="1:44" x14ac:dyDescent="0.4">
      <c r="A106" s="3" t="s">
        <v>237</v>
      </c>
      <c r="B106">
        <v>146299.4</v>
      </c>
      <c r="C106">
        <v>80296.2</v>
      </c>
      <c r="D106">
        <v>67858.5</v>
      </c>
      <c r="E106" t="s">
        <v>139</v>
      </c>
      <c r="F106" t="s">
        <v>139</v>
      </c>
      <c r="G106">
        <v>12437.7</v>
      </c>
      <c r="H106" t="s">
        <v>139</v>
      </c>
      <c r="I106" t="s">
        <v>139</v>
      </c>
      <c r="J106">
        <v>66003.100000000006</v>
      </c>
      <c r="K106">
        <v>23187.599999999999</v>
      </c>
      <c r="L106">
        <v>17871.5</v>
      </c>
      <c r="M106" t="s">
        <v>139</v>
      </c>
      <c r="N106" t="s">
        <v>139</v>
      </c>
      <c r="O106" t="s">
        <v>139</v>
      </c>
      <c r="P106" t="s">
        <v>139</v>
      </c>
      <c r="Q106" t="s">
        <v>139</v>
      </c>
      <c r="R106" t="s">
        <v>139</v>
      </c>
      <c r="S106" t="s">
        <v>139</v>
      </c>
      <c r="T106" t="s">
        <v>139</v>
      </c>
      <c r="U106">
        <v>15181.9</v>
      </c>
      <c r="V106" s="6" t="s">
        <v>139</v>
      </c>
      <c r="W106" t="s">
        <v>139</v>
      </c>
      <c r="X106" t="s">
        <v>139</v>
      </c>
      <c r="Y106" t="s">
        <v>139</v>
      </c>
      <c r="Z106" t="s">
        <v>139</v>
      </c>
      <c r="AA106" t="s">
        <v>139</v>
      </c>
      <c r="AB106" t="s">
        <v>139</v>
      </c>
      <c r="AC106" t="s">
        <v>139</v>
      </c>
      <c r="AD106" t="s">
        <v>139</v>
      </c>
      <c r="AE106" t="s">
        <v>139</v>
      </c>
      <c r="AF106" t="s">
        <v>139</v>
      </c>
      <c r="AG106" t="s">
        <v>139</v>
      </c>
      <c r="AH106" s="9" t="s">
        <v>139</v>
      </c>
      <c r="AI106" t="s">
        <v>139</v>
      </c>
      <c r="AJ106" t="s">
        <v>139</v>
      </c>
      <c r="AK106" t="s">
        <v>139</v>
      </c>
      <c r="AL106" t="s">
        <v>139</v>
      </c>
      <c r="AM106" t="s">
        <v>139</v>
      </c>
      <c r="AN106" t="s">
        <v>139</v>
      </c>
      <c r="AO106" s="9" t="s">
        <v>139</v>
      </c>
      <c r="AP106" t="s">
        <v>139</v>
      </c>
      <c r="AQ106" t="s">
        <v>139</v>
      </c>
      <c r="AR106" t="s">
        <v>139</v>
      </c>
    </row>
    <row r="107" spans="1:44" x14ac:dyDescent="0.4">
      <c r="A107" s="3" t="s">
        <v>238</v>
      </c>
      <c r="B107">
        <v>146981</v>
      </c>
      <c r="C107">
        <v>80182.3</v>
      </c>
      <c r="D107">
        <v>67733.8</v>
      </c>
      <c r="E107" t="s">
        <v>139</v>
      </c>
      <c r="F107" t="s">
        <v>139</v>
      </c>
      <c r="G107">
        <v>12448.5</v>
      </c>
      <c r="H107" t="s">
        <v>139</v>
      </c>
      <c r="I107" t="s">
        <v>139</v>
      </c>
      <c r="J107">
        <v>66798.7</v>
      </c>
      <c r="K107">
        <v>23372.3</v>
      </c>
      <c r="L107">
        <v>18073.400000000001</v>
      </c>
      <c r="M107" t="s">
        <v>139</v>
      </c>
      <c r="N107" t="s">
        <v>139</v>
      </c>
      <c r="O107" t="s">
        <v>139</v>
      </c>
      <c r="P107" t="s">
        <v>139</v>
      </c>
      <c r="Q107" t="s">
        <v>139</v>
      </c>
      <c r="R107" t="s">
        <v>139</v>
      </c>
      <c r="S107" t="s">
        <v>139</v>
      </c>
      <c r="T107" t="s">
        <v>139</v>
      </c>
      <c r="U107">
        <v>15442.8</v>
      </c>
      <c r="V107" s="6" t="s">
        <v>139</v>
      </c>
      <c r="W107" t="s">
        <v>139</v>
      </c>
      <c r="X107" t="s">
        <v>139</v>
      </c>
      <c r="Y107" t="s">
        <v>139</v>
      </c>
      <c r="Z107" t="s">
        <v>139</v>
      </c>
      <c r="AA107" t="s">
        <v>139</v>
      </c>
      <c r="AB107" t="s">
        <v>139</v>
      </c>
      <c r="AC107" t="s">
        <v>139</v>
      </c>
      <c r="AD107" t="s">
        <v>139</v>
      </c>
      <c r="AE107" t="s">
        <v>139</v>
      </c>
      <c r="AF107" t="s">
        <v>139</v>
      </c>
      <c r="AG107" t="s">
        <v>139</v>
      </c>
      <c r="AH107" s="9" t="s">
        <v>139</v>
      </c>
      <c r="AI107" t="s">
        <v>139</v>
      </c>
      <c r="AJ107" t="s">
        <v>139</v>
      </c>
      <c r="AK107" t="s">
        <v>139</v>
      </c>
      <c r="AL107" t="s">
        <v>139</v>
      </c>
      <c r="AM107" t="s">
        <v>139</v>
      </c>
      <c r="AN107" t="s">
        <v>139</v>
      </c>
      <c r="AO107" s="9" t="s">
        <v>139</v>
      </c>
      <c r="AP107" t="s">
        <v>139</v>
      </c>
      <c r="AQ107" t="s">
        <v>139</v>
      </c>
      <c r="AR107" t="s">
        <v>139</v>
      </c>
    </row>
    <row r="108" spans="1:44" x14ac:dyDescent="0.4">
      <c r="A108" s="3" t="s">
        <v>239</v>
      </c>
      <c r="B108">
        <v>147576.70000000001</v>
      </c>
      <c r="C108">
        <v>79828.399999999994</v>
      </c>
      <c r="D108">
        <v>67533.2</v>
      </c>
      <c r="E108" t="s">
        <v>139</v>
      </c>
      <c r="F108" t="s">
        <v>139</v>
      </c>
      <c r="G108">
        <v>12295.3</v>
      </c>
      <c r="H108" t="s">
        <v>139</v>
      </c>
      <c r="I108" t="s">
        <v>139</v>
      </c>
      <c r="J108">
        <v>67748.3</v>
      </c>
      <c r="K108">
        <v>23708.5</v>
      </c>
      <c r="L108">
        <v>18286.099999999999</v>
      </c>
      <c r="M108" t="s">
        <v>139</v>
      </c>
      <c r="N108" t="s">
        <v>139</v>
      </c>
      <c r="O108" t="s">
        <v>139</v>
      </c>
      <c r="P108" t="s">
        <v>139</v>
      </c>
      <c r="Q108" t="s">
        <v>139</v>
      </c>
      <c r="R108" t="s">
        <v>139</v>
      </c>
      <c r="S108" t="s">
        <v>139</v>
      </c>
      <c r="T108" t="s">
        <v>139</v>
      </c>
      <c r="U108">
        <v>15672</v>
      </c>
      <c r="V108" s="6" t="s">
        <v>139</v>
      </c>
      <c r="W108" t="s">
        <v>139</v>
      </c>
      <c r="X108" t="s">
        <v>139</v>
      </c>
      <c r="Y108" t="s">
        <v>139</v>
      </c>
      <c r="Z108" t="s">
        <v>139</v>
      </c>
      <c r="AA108" t="s">
        <v>139</v>
      </c>
      <c r="AB108" t="s">
        <v>139</v>
      </c>
      <c r="AC108" t="s">
        <v>139</v>
      </c>
      <c r="AD108" t="s">
        <v>139</v>
      </c>
      <c r="AE108" t="s">
        <v>139</v>
      </c>
      <c r="AF108" t="s">
        <v>139</v>
      </c>
      <c r="AG108" t="s">
        <v>139</v>
      </c>
      <c r="AH108" s="9" t="s">
        <v>139</v>
      </c>
      <c r="AI108" t="s">
        <v>139</v>
      </c>
      <c r="AJ108" t="s">
        <v>139</v>
      </c>
      <c r="AK108" t="s">
        <v>139</v>
      </c>
      <c r="AL108" t="s">
        <v>139</v>
      </c>
      <c r="AM108" t="s">
        <v>139</v>
      </c>
      <c r="AN108" t="s">
        <v>139</v>
      </c>
      <c r="AO108" s="9" t="s">
        <v>139</v>
      </c>
      <c r="AP108" t="s">
        <v>139</v>
      </c>
      <c r="AQ108" t="s">
        <v>139</v>
      </c>
      <c r="AR108" t="s">
        <v>139</v>
      </c>
    </row>
    <row r="109" spans="1:44" x14ac:dyDescent="0.4">
      <c r="A109" s="3" t="s">
        <v>240</v>
      </c>
      <c r="B109">
        <v>147608.1</v>
      </c>
      <c r="C109">
        <v>78413.2</v>
      </c>
      <c r="D109">
        <v>66180.3</v>
      </c>
      <c r="E109" t="s">
        <v>139</v>
      </c>
      <c r="F109" t="s">
        <v>139</v>
      </c>
      <c r="G109">
        <v>12233</v>
      </c>
      <c r="H109" t="s">
        <v>139</v>
      </c>
      <c r="I109" t="s">
        <v>139</v>
      </c>
      <c r="J109">
        <v>69194.899999999994</v>
      </c>
      <c r="K109">
        <v>24110.2</v>
      </c>
      <c r="L109">
        <v>18547.3</v>
      </c>
      <c r="M109" t="s">
        <v>139</v>
      </c>
      <c r="N109" t="s">
        <v>139</v>
      </c>
      <c r="O109" t="s">
        <v>139</v>
      </c>
      <c r="P109" t="s">
        <v>139</v>
      </c>
      <c r="Q109" t="s">
        <v>139</v>
      </c>
      <c r="R109" t="s">
        <v>139</v>
      </c>
      <c r="S109" t="s">
        <v>139</v>
      </c>
      <c r="T109" t="s">
        <v>139</v>
      </c>
      <c r="U109">
        <v>16080.7</v>
      </c>
      <c r="V109" s="6" t="s">
        <v>139</v>
      </c>
      <c r="W109" t="s">
        <v>139</v>
      </c>
      <c r="X109" t="s">
        <v>139</v>
      </c>
      <c r="Y109" t="s">
        <v>139</v>
      </c>
      <c r="Z109" t="s">
        <v>139</v>
      </c>
      <c r="AA109" t="s">
        <v>139</v>
      </c>
      <c r="AB109" t="s">
        <v>139</v>
      </c>
      <c r="AC109" t="s">
        <v>139</v>
      </c>
      <c r="AD109" t="s">
        <v>139</v>
      </c>
      <c r="AE109" t="s">
        <v>139</v>
      </c>
      <c r="AF109" t="s">
        <v>139</v>
      </c>
      <c r="AG109" t="s">
        <v>139</v>
      </c>
      <c r="AH109" s="9" t="s">
        <v>139</v>
      </c>
      <c r="AI109" t="s">
        <v>139</v>
      </c>
      <c r="AJ109" t="s">
        <v>139</v>
      </c>
      <c r="AK109" t="s">
        <v>139</v>
      </c>
      <c r="AL109" t="s">
        <v>139</v>
      </c>
      <c r="AM109" t="s">
        <v>139</v>
      </c>
      <c r="AN109" t="s">
        <v>139</v>
      </c>
      <c r="AO109" s="9" t="s">
        <v>139</v>
      </c>
      <c r="AP109" t="s">
        <v>139</v>
      </c>
      <c r="AQ109" t="s">
        <v>139</v>
      </c>
      <c r="AR109" t="s">
        <v>139</v>
      </c>
    </row>
    <row r="110" spans="1:44" x14ac:dyDescent="0.4">
      <c r="A110" s="3" t="s">
        <v>241</v>
      </c>
      <c r="B110">
        <v>148262.20000000001</v>
      </c>
      <c r="C110">
        <v>78111.600000000006</v>
      </c>
      <c r="D110">
        <v>65888.399999999994</v>
      </c>
      <c r="E110" t="s">
        <v>139</v>
      </c>
      <c r="F110" t="s">
        <v>139</v>
      </c>
      <c r="G110">
        <v>12223.2</v>
      </c>
      <c r="H110" t="s">
        <v>139</v>
      </c>
      <c r="I110" t="s">
        <v>139</v>
      </c>
      <c r="J110">
        <v>70150.7</v>
      </c>
      <c r="K110">
        <v>24526.3</v>
      </c>
      <c r="L110">
        <v>18728.3</v>
      </c>
      <c r="M110" t="s">
        <v>139</v>
      </c>
      <c r="N110" t="s">
        <v>139</v>
      </c>
      <c r="O110" t="s">
        <v>139</v>
      </c>
      <c r="P110" t="s">
        <v>139</v>
      </c>
      <c r="Q110" t="s">
        <v>139</v>
      </c>
      <c r="R110" t="s">
        <v>139</v>
      </c>
      <c r="S110" t="s">
        <v>139</v>
      </c>
      <c r="T110" t="s">
        <v>139</v>
      </c>
      <c r="U110">
        <v>16296.5</v>
      </c>
      <c r="V110" s="6" t="s">
        <v>139</v>
      </c>
      <c r="W110" t="s">
        <v>139</v>
      </c>
      <c r="X110" t="s">
        <v>139</v>
      </c>
      <c r="Y110" t="s">
        <v>139</v>
      </c>
      <c r="Z110" t="s">
        <v>139</v>
      </c>
      <c r="AA110" t="s">
        <v>139</v>
      </c>
      <c r="AB110" t="s">
        <v>139</v>
      </c>
      <c r="AC110" t="s">
        <v>139</v>
      </c>
      <c r="AD110" t="s">
        <v>139</v>
      </c>
      <c r="AE110" t="s">
        <v>139</v>
      </c>
      <c r="AF110" t="s">
        <v>139</v>
      </c>
      <c r="AG110" t="s">
        <v>139</v>
      </c>
      <c r="AH110" s="9" t="s">
        <v>139</v>
      </c>
      <c r="AI110" t="s">
        <v>139</v>
      </c>
      <c r="AJ110" t="s">
        <v>139</v>
      </c>
      <c r="AK110" t="s">
        <v>139</v>
      </c>
      <c r="AL110" t="s">
        <v>139</v>
      </c>
      <c r="AM110" t="s">
        <v>139</v>
      </c>
      <c r="AN110" t="s">
        <v>139</v>
      </c>
      <c r="AO110" s="9" t="s">
        <v>139</v>
      </c>
      <c r="AP110" t="s">
        <v>139</v>
      </c>
      <c r="AQ110" t="s">
        <v>139</v>
      </c>
      <c r="AR110" t="s">
        <v>139</v>
      </c>
    </row>
    <row r="111" spans="1:44" x14ac:dyDescent="0.4">
      <c r="A111" s="3" t="s">
        <v>242</v>
      </c>
      <c r="B111">
        <v>148384.70000000001</v>
      </c>
      <c r="C111">
        <v>77607.8</v>
      </c>
      <c r="D111">
        <v>65335.199999999997</v>
      </c>
      <c r="E111" t="s">
        <v>139</v>
      </c>
      <c r="F111" t="s">
        <v>139</v>
      </c>
      <c r="G111">
        <v>12272.6</v>
      </c>
      <c r="H111" t="s">
        <v>139</v>
      </c>
      <c r="I111" t="s">
        <v>139</v>
      </c>
      <c r="J111">
        <v>70777</v>
      </c>
      <c r="K111">
        <v>24963</v>
      </c>
      <c r="L111">
        <v>18922.900000000001</v>
      </c>
      <c r="M111" t="s">
        <v>139</v>
      </c>
      <c r="N111" t="s">
        <v>139</v>
      </c>
      <c r="O111" t="s">
        <v>139</v>
      </c>
      <c r="P111" t="s">
        <v>139</v>
      </c>
      <c r="Q111" t="s">
        <v>139</v>
      </c>
      <c r="R111" t="s">
        <v>139</v>
      </c>
      <c r="S111" t="s">
        <v>139</v>
      </c>
      <c r="T111" t="s">
        <v>139</v>
      </c>
      <c r="U111">
        <v>16444.7</v>
      </c>
      <c r="V111" s="6" t="s">
        <v>139</v>
      </c>
      <c r="W111" t="s">
        <v>139</v>
      </c>
      <c r="X111" t="s">
        <v>139</v>
      </c>
      <c r="Y111" t="s">
        <v>139</v>
      </c>
      <c r="Z111" t="s">
        <v>139</v>
      </c>
      <c r="AA111" t="s">
        <v>139</v>
      </c>
      <c r="AB111" t="s">
        <v>139</v>
      </c>
      <c r="AC111" t="s">
        <v>139</v>
      </c>
      <c r="AD111" t="s">
        <v>139</v>
      </c>
      <c r="AE111" t="s">
        <v>139</v>
      </c>
      <c r="AF111" t="s">
        <v>139</v>
      </c>
      <c r="AG111" t="s">
        <v>139</v>
      </c>
      <c r="AH111" s="9" t="s">
        <v>139</v>
      </c>
      <c r="AI111" t="s">
        <v>139</v>
      </c>
      <c r="AJ111" t="s">
        <v>139</v>
      </c>
      <c r="AK111" t="s">
        <v>139</v>
      </c>
      <c r="AL111" t="s">
        <v>139</v>
      </c>
      <c r="AM111" t="s">
        <v>139</v>
      </c>
      <c r="AN111" t="s">
        <v>139</v>
      </c>
      <c r="AO111" s="9" t="s">
        <v>139</v>
      </c>
      <c r="AP111" t="s">
        <v>139</v>
      </c>
      <c r="AQ111" t="s">
        <v>139</v>
      </c>
      <c r="AR111" t="s">
        <v>139</v>
      </c>
    </row>
    <row r="112" spans="1:44" x14ac:dyDescent="0.4">
      <c r="A112" s="3" t="s">
        <v>243</v>
      </c>
      <c r="B112">
        <v>148476.6</v>
      </c>
      <c r="C112">
        <v>76996.2</v>
      </c>
      <c r="D112">
        <v>64699.4</v>
      </c>
      <c r="E112" t="s">
        <v>139</v>
      </c>
      <c r="F112" t="s">
        <v>139</v>
      </c>
      <c r="G112">
        <v>12296.8</v>
      </c>
      <c r="H112" t="s">
        <v>139</v>
      </c>
      <c r="I112" t="s">
        <v>139</v>
      </c>
      <c r="J112">
        <v>71480.399999999994</v>
      </c>
      <c r="K112">
        <v>25367.200000000001</v>
      </c>
      <c r="L112">
        <v>19155.7</v>
      </c>
      <c r="M112" t="s">
        <v>139</v>
      </c>
      <c r="N112" t="s">
        <v>139</v>
      </c>
      <c r="O112" t="s">
        <v>139</v>
      </c>
      <c r="P112" t="s">
        <v>139</v>
      </c>
      <c r="Q112" t="s">
        <v>139</v>
      </c>
      <c r="R112" t="s">
        <v>139</v>
      </c>
      <c r="S112" t="s">
        <v>139</v>
      </c>
      <c r="T112" t="s">
        <v>139</v>
      </c>
      <c r="U112">
        <v>16615.900000000001</v>
      </c>
      <c r="V112" s="6" t="s">
        <v>139</v>
      </c>
      <c r="W112" t="s">
        <v>139</v>
      </c>
      <c r="X112" t="s">
        <v>139</v>
      </c>
      <c r="Y112" t="s">
        <v>139</v>
      </c>
      <c r="Z112" t="s">
        <v>139</v>
      </c>
      <c r="AA112" t="s">
        <v>139</v>
      </c>
      <c r="AB112" t="s">
        <v>139</v>
      </c>
      <c r="AC112" t="s">
        <v>139</v>
      </c>
      <c r="AD112" t="s">
        <v>139</v>
      </c>
      <c r="AE112" t="s">
        <v>139</v>
      </c>
      <c r="AF112" t="s">
        <v>139</v>
      </c>
      <c r="AG112" t="s">
        <v>139</v>
      </c>
      <c r="AH112" s="9" t="s">
        <v>139</v>
      </c>
      <c r="AI112" t="s">
        <v>139</v>
      </c>
      <c r="AJ112" t="s">
        <v>139</v>
      </c>
      <c r="AK112" t="s">
        <v>139</v>
      </c>
      <c r="AL112" t="s">
        <v>139</v>
      </c>
      <c r="AM112" t="s">
        <v>139</v>
      </c>
      <c r="AN112" t="s">
        <v>139</v>
      </c>
      <c r="AO112" s="9" t="s">
        <v>139</v>
      </c>
      <c r="AP112" t="s">
        <v>139</v>
      </c>
      <c r="AQ112" t="s">
        <v>139</v>
      </c>
      <c r="AR112" t="s">
        <v>139</v>
      </c>
    </row>
    <row r="113" spans="1:44" x14ac:dyDescent="0.4">
      <c r="A113" s="3" t="s">
        <v>244</v>
      </c>
      <c r="B113">
        <v>149792.4</v>
      </c>
      <c r="C113">
        <v>77382.8</v>
      </c>
      <c r="D113">
        <v>65126.1</v>
      </c>
      <c r="E113" t="s">
        <v>139</v>
      </c>
      <c r="F113" t="s">
        <v>139</v>
      </c>
      <c r="G113">
        <v>12256.7</v>
      </c>
      <c r="H113" t="s">
        <v>139</v>
      </c>
      <c r="I113" t="s">
        <v>139</v>
      </c>
      <c r="J113">
        <v>72409.600000000006</v>
      </c>
      <c r="K113">
        <v>25754.6</v>
      </c>
      <c r="L113">
        <v>19374.7</v>
      </c>
      <c r="M113" t="s">
        <v>139</v>
      </c>
      <c r="N113" t="s">
        <v>139</v>
      </c>
      <c r="O113" t="s">
        <v>139</v>
      </c>
      <c r="P113" t="s">
        <v>139</v>
      </c>
      <c r="Q113" t="s">
        <v>139</v>
      </c>
      <c r="R113" t="s">
        <v>139</v>
      </c>
      <c r="S113" t="s">
        <v>139</v>
      </c>
      <c r="T113" t="s">
        <v>139</v>
      </c>
      <c r="U113">
        <v>16810.900000000001</v>
      </c>
      <c r="V113" s="6" t="s">
        <v>139</v>
      </c>
      <c r="W113" t="s">
        <v>139</v>
      </c>
      <c r="X113" t="s">
        <v>139</v>
      </c>
      <c r="Y113" t="s">
        <v>139</v>
      </c>
      <c r="Z113" t="s">
        <v>139</v>
      </c>
      <c r="AA113" t="s">
        <v>139</v>
      </c>
      <c r="AB113" t="s">
        <v>139</v>
      </c>
      <c r="AC113" t="s">
        <v>139</v>
      </c>
      <c r="AD113" t="s">
        <v>139</v>
      </c>
      <c r="AE113" t="s">
        <v>139</v>
      </c>
      <c r="AF113" t="s">
        <v>139</v>
      </c>
      <c r="AG113" t="s">
        <v>139</v>
      </c>
      <c r="AH113" s="9" t="s">
        <v>139</v>
      </c>
      <c r="AI113" t="s">
        <v>139</v>
      </c>
      <c r="AJ113" t="s">
        <v>139</v>
      </c>
      <c r="AK113" t="s">
        <v>139</v>
      </c>
      <c r="AL113" t="s">
        <v>139</v>
      </c>
      <c r="AM113" t="s">
        <v>139</v>
      </c>
      <c r="AN113" t="s">
        <v>139</v>
      </c>
      <c r="AO113" s="9" t="s">
        <v>139</v>
      </c>
      <c r="AP113" t="s">
        <v>139</v>
      </c>
      <c r="AQ113" t="s">
        <v>139</v>
      </c>
      <c r="AR113" t="s">
        <v>139</v>
      </c>
    </row>
    <row r="114" spans="1:44" x14ac:dyDescent="0.4">
      <c r="A114" s="3" t="s">
        <v>245</v>
      </c>
      <c r="B114">
        <v>150222.5</v>
      </c>
      <c r="C114">
        <v>76693.399999999994</v>
      </c>
      <c r="D114">
        <v>64527.4</v>
      </c>
      <c r="E114" t="s">
        <v>139</v>
      </c>
      <c r="F114" t="s">
        <v>139</v>
      </c>
      <c r="G114">
        <v>12166</v>
      </c>
      <c r="H114" t="s">
        <v>139</v>
      </c>
      <c r="I114" t="s">
        <v>139</v>
      </c>
      <c r="J114">
        <v>73529.100000000006</v>
      </c>
      <c r="K114">
        <v>26440.400000000001</v>
      </c>
      <c r="L114">
        <v>19416.8</v>
      </c>
      <c r="M114" t="s">
        <v>139</v>
      </c>
      <c r="N114" t="s">
        <v>139</v>
      </c>
      <c r="O114" t="s">
        <v>139</v>
      </c>
      <c r="P114" t="s">
        <v>139</v>
      </c>
      <c r="Q114" t="s">
        <v>139</v>
      </c>
      <c r="R114" t="s">
        <v>139</v>
      </c>
      <c r="S114" t="s">
        <v>139</v>
      </c>
      <c r="T114" t="s">
        <v>139</v>
      </c>
      <c r="U114">
        <v>16950.3</v>
      </c>
      <c r="V114" s="6" t="s">
        <v>139</v>
      </c>
      <c r="W114" t="s">
        <v>139</v>
      </c>
      <c r="X114" t="s">
        <v>139</v>
      </c>
      <c r="Y114" t="s">
        <v>139</v>
      </c>
      <c r="Z114" t="s">
        <v>139</v>
      </c>
      <c r="AA114" t="s">
        <v>139</v>
      </c>
      <c r="AB114" t="s">
        <v>139</v>
      </c>
      <c r="AC114" t="s">
        <v>139</v>
      </c>
      <c r="AD114" t="s">
        <v>139</v>
      </c>
      <c r="AE114" t="s">
        <v>139</v>
      </c>
      <c r="AF114" t="s">
        <v>139</v>
      </c>
      <c r="AG114" t="s">
        <v>139</v>
      </c>
      <c r="AH114" s="9" t="s">
        <v>139</v>
      </c>
      <c r="AI114" t="s">
        <v>139</v>
      </c>
      <c r="AJ114" t="s">
        <v>139</v>
      </c>
      <c r="AK114" t="s">
        <v>139</v>
      </c>
      <c r="AL114" t="s">
        <v>139</v>
      </c>
      <c r="AM114" t="s">
        <v>139</v>
      </c>
      <c r="AN114" t="s">
        <v>139</v>
      </c>
      <c r="AO114" s="9" t="s">
        <v>139</v>
      </c>
      <c r="AP114" t="s">
        <v>139</v>
      </c>
      <c r="AQ114" t="s">
        <v>139</v>
      </c>
      <c r="AR114" t="s">
        <v>139</v>
      </c>
    </row>
    <row r="115" spans="1:44" x14ac:dyDescent="0.4">
      <c r="A115" s="3" t="s">
        <v>246</v>
      </c>
      <c r="B115">
        <v>150975.6</v>
      </c>
      <c r="C115">
        <v>76510</v>
      </c>
      <c r="D115">
        <v>64416.2</v>
      </c>
      <c r="E115" t="s">
        <v>139</v>
      </c>
      <c r="F115" t="s">
        <v>139</v>
      </c>
      <c r="G115">
        <v>12093.8</v>
      </c>
      <c r="H115" t="s">
        <v>139</v>
      </c>
      <c r="I115" t="s">
        <v>139</v>
      </c>
      <c r="J115">
        <v>74465.600000000006</v>
      </c>
      <c r="K115">
        <v>26716.1</v>
      </c>
      <c r="L115">
        <v>19459.2</v>
      </c>
      <c r="M115" t="s">
        <v>139</v>
      </c>
      <c r="N115" t="s">
        <v>139</v>
      </c>
      <c r="O115" t="s">
        <v>139</v>
      </c>
      <c r="P115" t="s">
        <v>139</v>
      </c>
      <c r="Q115" t="s">
        <v>139</v>
      </c>
      <c r="R115" t="s">
        <v>139</v>
      </c>
      <c r="S115" t="s">
        <v>139</v>
      </c>
      <c r="T115" t="s">
        <v>139</v>
      </c>
      <c r="U115">
        <v>17087.900000000001</v>
      </c>
      <c r="V115" s="6" t="s">
        <v>139</v>
      </c>
      <c r="W115" t="s">
        <v>139</v>
      </c>
      <c r="X115" t="s">
        <v>139</v>
      </c>
      <c r="Y115" t="s">
        <v>139</v>
      </c>
      <c r="Z115" t="s">
        <v>139</v>
      </c>
      <c r="AA115" t="s">
        <v>139</v>
      </c>
      <c r="AB115" t="s">
        <v>139</v>
      </c>
      <c r="AC115" t="s">
        <v>139</v>
      </c>
      <c r="AD115" t="s">
        <v>139</v>
      </c>
      <c r="AE115" t="s">
        <v>139</v>
      </c>
      <c r="AF115" t="s">
        <v>139</v>
      </c>
      <c r="AG115" t="s">
        <v>139</v>
      </c>
      <c r="AH115" s="9" t="s">
        <v>139</v>
      </c>
      <c r="AI115" t="s">
        <v>139</v>
      </c>
      <c r="AJ115" t="s">
        <v>139</v>
      </c>
      <c r="AK115" t="s">
        <v>139</v>
      </c>
      <c r="AL115" t="s">
        <v>139</v>
      </c>
      <c r="AM115" t="s">
        <v>139</v>
      </c>
      <c r="AN115" t="s">
        <v>139</v>
      </c>
      <c r="AO115" s="9" t="s">
        <v>139</v>
      </c>
      <c r="AP115" t="s">
        <v>139</v>
      </c>
      <c r="AQ115" t="s">
        <v>139</v>
      </c>
      <c r="AR115" t="s">
        <v>139</v>
      </c>
    </row>
    <row r="116" spans="1:44" x14ac:dyDescent="0.4">
      <c r="A116" s="3" t="s">
        <v>247</v>
      </c>
      <c r="B116">
        <v>151131</v>
      </c>
      <c r="C116">
        <v>75871.899999999994</v>
      </c>
      <c r="D116">
        <v>63802.5</v>
      </c>
      <c r="E116" t="s">
        <v>139</v>
      </c>
      <c r="F116" t="s">
        <v>139</v>
      </c>
      <c r="G116">
        <v>12069.3</v>
      </c>
      <c r="H116" t="s">
        <v>139</v>
      </c>
      <c r="I116" t="s">
        <v>139</v>
      </c>
      <c r="J116">
        <v>75259.100000000006</v>
      </c>
      <c r="K116">
        <v>27173.599999999999</v>
      </c>
      <c r="L116">
        <v>19602.900000000001</v>
      </c>
      <c r="M116" t="s">
        <v>139</v>
      </c>
      <c r="N116" t="s">
        <v>139</v>
      </c>
      <c r="O116" t="s">
        <v>139</v>
      </c>
      <c r="P116" t="s">
        <v>139</v>
      </c>
      <c r="Q116" t="s">
        <v>139</v>
      </c>
      <c r="R116" t="s">
        <v>139</v>
      </c>
      <c r="S116" t="s">
        <v>139</v>
      </c>
      <c r="T116" t="s">
        <v>139</v>
      </c>
      <c r="U116">
        <v>17257.3</v>
      </c>
      <c r="V116" s="6" t="s">
        <v>139</v>
      </c>
      <c r="W116" t="s">
        <v>139</v>
      </c>
      <c r="X116" t="s">
        <v>139</v>
      </c>
      <c r="Y116" t="s">
        <v>139</v>
      </c>
      <c r="Z116" t="s">
        <v>139</v>
      </c>
      <c r="AA116" t="s">
        <v>139</v>
      </c>
      <c r="AB116" t="s">
        <v>139</v>
      </c>
      <c r="AC116" t="s">
        <v>139</v>
      </c>
      <c r="AD116" t="s">
        <v>139</v>
      </c>
      <c r="AE116" t="s">
        <v>139</v>
      </c>
      <c r="AF116" t="s">
        <v>139</v>
      </c>
      <c r="AG116" t="s">
        <v>139</v>
      </c>
      <c r="AH116" s="9" t="s">
        <v>139</v>
      </c>
      <c r="AI116" t="s">
        <v>139</v>
      </c>
      <c r="AJ116" t="s">
        <v>139</v>
      </c>
      <c r="AK116" t="s">
        <v>139</v>
      </c>
      <c r="AL116" t="s">
        <v>139</v>
      </c>
      <c r="AM116" t="s">
        <v>139</v>
      </c>
      <c r="AN116" t="s">
        <v>139</v>
      </c>
      <c r="AO116" s="9" t="s">
        <v>139</v>
      </c>
      <c r="AP116" t="s">
        <v>139</v>
      </c>
      <c r="AQ116" t="s">
        <v>139</v>
      </c>
      <c r="AR116" t="s">
        <v>139</v>
      </c>
    </row>
    <row r="117" spans="1:44" x14ac:dyDescent="0.4">
      <c r="A117" s="3" t="s">
        <v>248</v>
      </c>
      <c r="B117">
        <v>150426.1</v>
      </c>
      <c r="C117">
        <v>74480.5</v>
      </c>
      <c r="D117">
        <v>62352.9</v>
      </c>
      <c r="E117" t="s">
        <v>139</v>
      </c>
      <c r="F117" t="s">
        <v>139</v>
      </c>
      <c r="G117">
        <v>12127.6</v>
      </c>
      <c r="H117" t="s">
        <v>139</v>
      </c>
      <c r="I117" t="s">
        <v>139</v>
      </c>
      <c r="J117">
        <v>75945.600000000006</v>
      </c>
      <c r="K117">
        <v>27656.400000000001</v>
      </c>
      <c r="L117">
        <v>19773.5</v>
      </c>
      <c r="M117" t="s">
        <v>139</v>
      </c>
      <c r="N117" t="s">
        <v>139</v>
      </c>
      <c r="O117" t="s">
        <v>139</v>
      </c>
      <c r="P117" t="s">
        <v>139</v>
      </c>
      <c r="Q117" t="s">
        <v>139</v>
      </c>
      <c r="R117" t="s">
        <v>139</v>
      </c>
      <c r="S117" t="s">
        <v>139</v>
      </c>
      <c r="T117" t="s">
        <v>139</v>
      </c>
      <c r="U117">
        <v>17371</v>
      </c>
      <c r="V117" s="6" t="s">
        <v>139</v>
      </c>
      <c r="W117" t="s">
        <v>139</v>
      </c>
      <c r="X117" t="s">
        <v>139</v>
      </c>
      <c r="Y117" t="s">
        <v>139</v>
      </c>
      <c r="Z117" t="s">
        <v>139</v>
      </c>
      <c r="AA117" t="s">
        <v>139</v>
      </c>
      <c r="AB117" t="s">
        <v>139</v>
      </c>
      <c r="AC117" t="s">
        <v>139</v>
      </c>
      <c r="AD117" t="s">
        <v>139</v>
      </c>
      <c r="AE117" t="s">
        <v>139</v>
      </c>
      <c r="AF117" t="s">
        <v>139</v>
      </c>
      <c r="AG117" t="s">
        <v>139</v>
      </c>
      <c r="AH117" s="9" t="s">
        <v>139</v>
      </c>
      <c r="AI117" t="s">
        <v>139</v>
      </c>
      <c r="AJ117" t="s">
        <v>139</v>
      </c>
      <c r="AK117" t="s">
        <v>139</v>
      </c>
      <c r="AL117" t="s">
        <v>139</v>
      </c>
      <c r="AM117" t="s">
        <v>139</v>
      </c>
      <c r="AN117" t="s">
        <v>139</v>
      </c>
      <c r="AO117" s="9" t="s">
        <v>139</v>
      </c>
      <c r="AP117" t="s">
        <v>139</v>
      </c>
      <c r="AQ117" t="s">
        <v>139</v>
      </c>
      <c r="AR117" t="s">
        <v>139</v>
      </c>
    </row>
    <row r="118" spans="1:44" x14ac:dyDescent="0.4">
      <c r="A118" s="3" t="s">
        <v>249</v>
      </c>
      <c r="B118">
        <v>150727.4</v>
      </c>
      <c r="C118">
        <v>73475.5</v>
      </c>
      <c r="D118">
        <v>61306.7</v>
      </c>
      <c r="E118" t="s">
        <v>139</v>
      </c>
      <c r="F118" t="s">
        <v>139</v>
      </c>
      <c r="G118">
        <v>12168.9</v>
      </c>
      <c r="H118" t="s">
        <v>139</v>
      </c>
      <c r="I118" t="s">
        <v>139</v>
      </c>
      <c r="J118">
        <v>77251.899999999994</v>
      </c>
      <c r="K118">
        <v>28528.9</v>
      </c>
      <c r="L118">
        <v>19958.3</v>
      </c>
      <c r="M118" t="s">
        <v>139</v>
      </c>
      <c r="N118" t="s">
        <v>139</v>
      </c>
      <c r="O118" t="s">
        <v>139</v>
      </c>
      <c r="P118" t="s">
        <v>139</v>
      </c>
      <c r="Q118" t="s">
        <v>139</v>
      </c>
      <c r="R118" t="s">
        <v>139</v>
      </c>
      <c r="S118" t="s">
        <v>139</v>
      </c>
      <c r="T118" t="s">
        <v>139</v>
      </c>
      <c r="U118">
        <v>17548.3</v>
      </c>
      <c r="V118" s="6" t="s">
        <v>139</v>
      </c>
      <c r="W118" t="s">
        <v>139</v>
      </c>
      <c r="X118" t="s">
        <v>139</v>
      </c>
      <c r="Y118" t="s">
        <v>139</v>
      </c>
      <c r="Z118" t="s">
        <v>139</v>
      </c>
      <c r="AA118" t="s">
        <v>139</v>
      </c>
      <c r="AB118" t="s">
        <v>139</v>
      </c>
      <c r="AC118" t="s">
        <v>139</v>
      </c>
      <c r="AD118" t="s">
        <v>139</v>
      </c>
      <c r="AE118" t="s">
        <v>139</v>
      </c>
      <c r="AF118" t="s">
        <v>139</v>
      </c>
      <c r="AG118" t="s">
        <v>139</v>
      </c>
      <c r="AH118" s="9" t="s">
        <v>139</v>
      </c>
      <c r="AI118" t="s">
        <v>139</v>
      </c>
      <c r="AJ118" t="s">
        <v>139</v>
      </c>
      <c r="AK118" t="s">
        <v>139</v>
      </c>
      <c r="AL118" t="s">
        <v>139</v>
      </c>
      <c r="AM118" t="s">
        <v>139</v>
      </c>
      <c r="AN118" t="s">
        <v>139</v>
      </c>
      <c r="AO118" s="9" t="s">
        <v>139</v>
      </c>
      <c r="AP118" t="s">
        <v>139</v>
      </c>
      <c r="AQ118" t="s">
        <v>139</v>
      </c>
      <c r="AR118" t="s">
        <v>139</v>
      </c>
    </row>
    <row r="119" spans="1:44" x14ac:dyDescent="0.4">
      <c r="A119" s="3" t="s">
        <v>250</v>
      </c>
      <c r="B119">
        <v>151174</v>
      </c>
      <c r="C119">
        <v>72816</v>
      </c>
      <c r="D119">
        <v>60637.4</v>
      </c>
      <c r="E119" t="s">
        <v>139</v>
      </c>
      <c r="F119" t="s">
        <v>139</v>
      </c>
      <c r="G119">
        <v>12178.7</v>
      </c>
      <c r="H119" t="s">
        <v>139</v>
      </c>
      <c r="I119" t="s">
        <v>139</v>
      </c>
      <c r="J119">
        <v>78358</v>
      </c>
      <c r="K119">
        <v>29285</v>
      </c>
      <c r="L119">
        <v>20158.599999999999</v>
      </c>
      <c r="M119" t="s">
        <v>139</v>
      </c>
      <c r="N119" t="s">
        <v>139</v>
      </c>
      <c r="O119" t="s">
        <v>139</v>
      </c>
      <c r="P119" t="s">
        <v>139</v>
      </c>
      <c r="Q119" t="s">
        <v>139</v>
      </c>
      <c r="R119" t="s">
        <v>139</v>
      </c>
      <c r="S119" t="s">
        <v>139</v>
      </c>
      <c r="T119" t="s">
        <v>139</v>
      </c>
      <c r="U119">
        <v>17710.599999999999</v>
      </c>
      <c r="V119" s="6" t="s">
        <v>139</v>
      </c>
      <c r="W119" t="s">
        <v>139</v>
      </c>
      <c r="X119" t="s">
        <v>139</v>
      </c>
      <c r="Y119" t="s">
        <v>139</v>
      </c>
      <c r="Z119" t="s">
        <v>139</v>
      </c>
      <c r="AA119" t="s">
        <v>139</v>
      </c>
      <c r="AB119" t="s">
        <v>139</v>
      </c>
      <c r="AC119" t="s">
        <v>139</v>
      </c>
      <c r="AD119" t="s">
        <v>139</v>
      </c>
      <c r="AE119" t="s">
        <v>139</v>
      </c>
      <c r="AF119" t="s">
        <v>139</v>
      </c>
      <c r="AG119" t="s">
        <v>139</v>
      </c>
      <c r="AH119" s="9" t="s">
        <v>139</v>
      </c>
      <c r="AI119" t="s">
        <v>139</v>
      </c>
      <c r="AJ119" t="s">
        <v>139</v>
      </c>
      <c r="AK119" t="s">
        <v>139</v>
      </c>
      <c r="AL119" t="s">
        <v>139</v>
      </c>
      <c r="AM119" t="s">
        <v>139</v>
      </c>
      <c r="AN119" t="s">
        <v>139</v>
      </c>
      <c r="AO119" s="9" t="s">
        <v>139</v>
      </c>
      <c r="AP119" t="s">
        <v>139</v>
      </c>
      <c r="AQ119" t="s">
        <v>139</v>
      </c>
      <c r="AR119" t="s">
        <v>139</v>
      </c>
    </row>
    <row r="120" spans="1:44" x14ac:dyDescent="0.4">
      <c r="A120" s="3" t="s">
        <v>251</v>
      </c>
      <c r="B120">
        <v>151099.79999999999</v>
      </c>
      <c r="C120">
        <v>71938.600000000006</v>
      </c>
      <c r="D120">
        <v>59844.5</v>
      </c>
      <c r="E120" t="s">
        <v>139</v>
      </c>
      <c r="F120" t="s">
        <v>139</v>
      </c>
      <c r="G120">
        <v>12094.2</v>
      </c>
      <c r="H120" t="s">
        <v>139</v>
      </c>
      <c r="I120" t="s">
        <v>139</v>
      </c>
      <c r="J120">
        <v>79161.2</v>
      </c>
      <c r="K120">
        <v>29629.9</v>
      </c>
      <c r="L120">
        <v>20340.2</v>
      </c>
      <c r="M120" t="s">
        <v>139</v>
      </c>
      <c r="N120" t="s">
        <v>139</v>
      </c>
      <c r="O120" t="s">
        <v>139</v>
      </c>
      <c r="P120" t="s">
        <v>139</v>
      </c>
      <c r="Q120" t="s">
        <v>139</v>
      </c>
      <c r="R120" t="s">
        <v>139</v>
      </c>
      <c r="S120" t="s">
        <v>139</v>
      </c>
      <c r="T120" t="s">
        <v>139</v>
      </c>
      <c r="U120">
        <v>17852.3</v>
      </c>
      <c r="V120" s="6" t="s">
        <v>139</v>
      </c>
      <c r="W120" t="s">
        <v>139</v>
      </c>
      <c r="X120" t="s">
        <v>139</v>
      </c>
      <c r="Y120" t="s">
        <v>139</v>
      </c>
      <c r="Z120" t="s">
        <v>139</v>
      </c>
      <c r="AA120" t="s">
        <v>139</v>
      </c>
      <c r="AB120" t="s">
        <v>139</v>
      </c>
      <c r="AC120" t="s">
        <v>139</v>
      </c>
      <c r="AD120" t="s">
        <v>139</v>
      </c>
      <c r="AE120" t="s">
        <v>139</v>
      </c>
      <c r="AF120" t="s">
        <v>139</v>
      </c>
      <c r="AG120" t="s">
        <v>139</v>
      </c>
      <c r="AH120" s="9" t="s">
        <v>139</v>
      </c>
      <c r="AI120" t="s">
        <v>139</v>
      </c>
      <c r="AJ120" t="s">
        <v>139</v>
      </c>
      <c r="AK120" t="s">
        <v>139</v>
      </c>
      <c r="AL120" t="s">
        <v>139</v>
      </c>
      <c r="AM120" t="s">
        <v>139</v>
      </c>
      <c r="AN120" t="s">
        <v>139</v>
      </c>
      <c r="AO120" s="9" t="s">
        <v>139</v>
      </c>
      <c r="AP120" t="s">
        <v>139</v>
      </c>
      <c r="AQ120" t="s">
        <v>139</v>
      </c>
      <c r="AR120" t="s">
        <v>139</v>
      </c>
    </row>
    <row r="121" spans="1:44" x14ac:dyDescent="0.4">
      <c r="A121" s="3" t="s">
        <v>252</v>
      </c>
      <c r="B121">
        <v>151468.79999999999</v>
      </c>
      <c r="C121">
        <v>71022.399999999994</v>
      </c>
      <c r="D121">
        <v>58969.5</v>
      </c>
      <c r="E121" t="s">
        <v>139</v>
      </c>
      <c r="F121" t="s">
        <v>139</v>
      </c>
      <c r="G121">
        <v>12052.9</v>
      </c>
      <c r="H121" t="s">
        <v>139</v>
      </c>
      <c r="I121" t="s">
        <v>139</v>
      </c>
      <c r="J121">
        <v>80446.399999999994</v>
      </c>
      <c r="K121">
        <v>30263</v>
      </c>
      <c r="L121">
        <v>20562.8</v>
      </c>
      <c r="M121" t="s">
        <v>139</v>
      </c>
      <c r="N121" t="s">
        <v>139</v>
      </c>
      <c r="O121" t="s">
        <v>139</v>
      </c>
      <c r="P121" t="s">
        <v>139</v>
      </c>
      <c r="Q121" t="s">
        <v>139</v>
      </c>
      <c r="R121" t="s">
        <v>139</v>
      </c>
      <c r="S121" t="s">
        <v>139</v>
      </c>
      <c r="T121" t="s">
        <v>139</v>
      </c>
      <c r="U121">
        <v>18179</v>
      </c>
      <c r="V121" s="6" t="s">
        <v>139</v>
      </c>
      <c r="W121" t="s">
        <v>139</v>
      </c>
      <c r="X121" t="s">
        <v>139</v>
      </c>
      <c r="Y121" t="s">
        <v>139</v>
      </c>
      <c r="Z121" t="s">
        <v>139</v>
      </c>
      <c r="AA121" t="s">
        <v>139</v>
      </c>
      <c r="AB121" t="s">
        <v>139</v>
      </c>
      <c r="AC121" t="s">
        <v>139</v>
      </c>
      <c r="AD121" t="s">
        <v>139</v>
      </c>
      <c r="AE121" t="s">
        <v>139</v>
      </c>
      <c r="AF121" t="s">
        <v>139</v>
      </c>
      <c r="AG121" t="s">
        <v>139</v>
      </c>
      <c r="AH121" s="9" t="s">
        <v>139</v>
      </c>
      <c r="AI121" t="s">
        <v>139</v>
      </c>
      <c r="AJ121" t="s">
        <v>139</v>
      </c>
      <c r="AK121" t="s">
        <v>139</v>
      </c>
      <c r="AL121" t="s">
        <v>139</v>
      </c>
      <c r="AM121" t="s">
        <v>139</v>
      </c>
      <c r="AN121" t="s">
        <v>139</v>
      </c>
      <c r="AO121" s="9" t="s">
        <v>139</v>
      </c>
      <c r="AP121" t="s">
        <v>139</v>
      </c>
      <c r="AQ121" t="s">
        <v>139</v>
      </c>
      <c r="AR121" t="s">
        <v>139</v>
      </c>
    </row>
    <row r="122" spans="1:44" x14ac:dyDescent="0.4">
      <c r="A122" s="3" t="s">
        <v>253</v>
      </c>
      <c r="B122">
        <v>151373.70000000001</v>
      </c>
      <c r="C122">
        <v>70438.600000000006</v>
      </c>
      <c r="D122">
        <v>58456.2</v>
      </c>
      <c r="E122" t="s">
        <v>139</v>
      </c>
      <c r="F122" t="s">
        <v>139</v>
      </c>
      <c r="G122">
        <v>11982.4</v>
      </c>
      <c r="H122" t="s">
        <v>139</v>
      </c>
      <c r="I122" t="s">
        <v>139</v>
      </c>
      <c r="J122">
        <v>80935.199999999997</v>
      </c>
      <c r="K122">
        <v>30725.200000000001</v>
      </c>
      <c r="L122">
        <v>20638.7</v>
      </c>
      <c r="M122" t="s">
        <v>139</v>
      </c>
      <c r="N122" t="s">
        <v>139</v>
      </c>
      <c r="O122" t="s">
        <v>139</v>
      </c>
      <c r="P122" t="s">
        <v>139</v>
      </c>
      <c r="Q122" t="s">
        <v>139</v>
      </c>
      <c r="R122" t="s">
        <v>139</v>
      </c>
      <c r="S122" t="s">
        <v>139</v>
      </c>
      <c r="T122" t="s">
        <v>139</v>
      </c>
      <c r="U122">
        <v>18305.599999999999</v>
      </c>
      <c r="V122" s="6" t="s">
        <v>139</v>
      </c>
      <c r="W122" t="s">
        <v>139</v>
      </c>
      <c r="X122" t="s">
        <v>139</v>
      </c>
      <c r="Y122" t="s">
        <v>139</v>
      </c>
      <c r="Z122" t="s">
        <v>139</v>
      </c>
      <c r="AA122" t="s">
        <v>139</v>
      </c>
      <c r="AB122" t="s">
        <v>139</v>
      </c>
      <c r="AC122" t="s">
        <v>139</v>
      </c>
      <c r="AD122" t="s">
        <v>139</v>
      </c>
      <c r="AE122" t="s">
        <v>139</v>
      </c>
      <c r="AF122" t="s">
        <v>139</v>
      </c>
      <c r="AG122" t="s">
        <v>139</v>
      </c>
      <c r="AH122" s="9" t="s">
        <v>139</v>
      </c>
      <c r="AI122" t="s">
        <v>139</v>
      </c>
      <c r="AJ122" t="s">
        <v>139</v>
      </c>
      <c r="AK122" t="s">
        <v>139</v>
      </c>
      <c r="AL122" t="s">
        <v>139</v>
      </c>
      <c r="AM122" t="s">
        <v>139</v>
      </c>
      <c r="AN122" t="s">
        <v>139</v>
      </c>
      <c r="AO122" s="9" t="s">
        <v>139</v>
      </c>
      <c r="AP122" t="s">
        <v>139</v>
      </c>
      <c r="AQ122" t="s">
        <v>139</v>
      </c>
      <c r="AR122" t="s">
        <v>139</v>
      </c>
    </row>
    <row r="123" spans="1:44" x14ac:dyDescent="0.4">
      <c r="A123" s="3" t="s">
        <v>254</v>
      </c>
      <c r="B123">
        <v>152112</v>
      </c>
      <c r="C123">
        <v>71055.7</v>
      </c>
      <c r="D123">
        <v>59027.4</v>
      </c>
      <c r="E123" t="s">
        <v>139</v>
      </c>
      <c r="F123" t="s">
        <v>139</v>
      </c>
      <c r="G123">
        <v>12028.4</v>
      </c>
      <c r="H123" t="s">
        <v>139</v>
      </c>
      <c r="I123" t="s">
        <v>139</v>
      </c>
      <c r="J123">
        <v>81056.3</v>
      </c>
      <c r="K123">
        <v>31085.5</v>
      </c>
      <c r="L123">
        <v>20711.8</v>
      </c>
      <c r="M123" t="s">
        <v>139</v>
      </c>
      <c r="N123" t="s">
        <v>139</v>
      </c>
      <c r="O123" t="s">
        <v>139</v>
      </c>
      <c r="P123" t="s">
        <v>139</v>
      </c>
      <c r="Q123" t="s">
        <v>139</v>
      </c>
      <c r="R123" t="s">
        <v>139</v>
      </c>
      <c r="S123" t="s">
        <v>139</v>
      </c>
      <c r="T123" t="s">
        <v>139</v>
      </c>
      <c r="U123">
        <v>18373.7</v>
      </c>
      <c r="V123" s="6" t="s">
        <v>139</v>
      </c>
      <c r="W123" t="s">
        <v>139</v>
      </c>
      <c r="X123" t="s">
        <v>139</v>
      </c>
      <c r="Y123" t="s">
        <v>139</v>
      </c>
      <c r="Z123" t="s">
        <v>139</v>
      </c>
      <c r="AA123" t="s">
        <v>139</v>
      </c>
      <c r="AB123" t="s">
        <v>139</v>
      </c>
      <c r="AC123" t="s">
        <v>139</v>
      </c>
      <c r="AD123" t="s">
        <v>139</v>
      </c>
      <c r="AE123" t="s">
        <v>139</v>
      </c>
      <c r="AF123" t="s">
        <v>139</v>
      </c>
      <c r="AG123" t="s">
        <v>139</v>
      </c>
      <c r="AH123" s="9" t="s">
        <v>139</v>
      </c>
      <c r="AI123" t="s">
        <v>139</v>
      </c>
      <c r="AJ123" t="s">
        <v>139</v>
      </c>
      <c r="AK123" t="s">
        <v>139</v>
      </c>
      <c r="AL123" t="s">
        <v>139</v>
      </c>
      <c r="AM123" t="s">
        <v>139</v>
      </c>
      <c r="AN123" t="s">
        <v>139</v>
      </c>
      <c r="AO123" s="9" t="s">
        <v>139</v>
      </c>
      <c r="AP123" t="s">
        <v>139</v>
      </c>
      <c r="AQ123" t="s">
        <v>139</v>
      </c>
      <c r="AR123" t="s">
        <v>139</v>
      </c>
    </row>
    <row r="124" spans="1:44" x14ac:dyDescent="0.4">
      <c r="A124" s="3" t="s">
        <v>255</v>
      </c>
      <c r="B124">
        <v>152947</v>
      </c>
      <c r="C124">
        <v>71420.100000000006</v>
      </c>
      <c r="D124">
        <v>59259.199999999997</v>
      </c>
      <c r="E124" t="s">
        <v>139</v>
      </c>
      <c r="F124" t="s">
        <v>139</v>
      </c>
      <c r="G124">
        <v>12160.9</v>
      </c>
      <c r="H124" t="s">
        <v>139</v>
      </c>
      <c r="I124" t="s">
        <v>139</v>
      </c>
      <c r="J124">
        <v>81527</v>
      </c>
      <c r="K124">
        <v>31445.1</v>
      </c>
      <c r="L124">
        <v>20840</v>
      </c>
      <c r="M124" t="s">
        <v>139</v>
      </c>
      <c r="N124" t="s">
        <v>139</v>
      </c>
      <c r="O124" t="s">
        <v>139</v>
      </c>
      <c r="P124" t="s">
        <v>139</v>
      </c>
      <c r="Q124" t="s">
        <v>139</v>
      </c>
      <c r="R124" t="s">
        <v>139</v>
      </c>
      <c r="S124" t="s">
        <v>139</v>
      </c>
      <c r="T124" t="s">
        <v>139</v>
      </c>
      <c r="U124">
        <v>18429.2</v>
      </c>
      <c r="V124" s="6" t="s">
        <v>139</v>
      </c>
      <c r="W124" t="s">
        <v>139</v>
      </c>
      <c r="X124" t="s">
        <v>139</v>
      </c>
      <c r="Y124" t="s">
        <v>139</v>
      </c>
      <c r="Z124" t="s">
        <v>139</v>
      </c>
      <c r="AA124" t="s">
        <v>139</v>
      </c>
      <c r="AB124" t="s">
        <v>139</v>
      </c>
      <c r="AC124" t="s">
        <v>139</v>
      </c>
      <c r="AD124" t="s">
        <v>139</v>
      </c>
      <c r="AE124" t="s">
        <v>139</v>
      </c>
      <c r="AF124" t="s">
        <v>139</v>
      </c>
      <c r="AG124" t="s">
        <v>139</v>
      </c>
      <c r="AH124" s="9" t="s">
        <v>139</v>
      </c>
      <c r="AI124" t="s">
        <v>139</v>
      </c>
      <c r="AJ124" t="s">
        <v>139</v>
      </c>
      <c r="AK124" t="s">
        <v>139</v>
      </c>
      <c r="AL124" t="s">
        <v>139</v>
      </c>
      <c r="AM124" t="s">
        <v>139</v>
      </c>
      <c r="AN124" t="s">
        <v>139</v>
      </c>
      <c r="AO124" s="9" t="s">
        <v>139</v>
      </c>
      <c r="AP124" t="s">
        <v>139</v>
      </c>
      <c r="AQ124" t="s">
        <v>139</v>
      </c>
      <c r="AR124" t="s">
        <v>139</v>
      </c>
    </row>
    <row r="125" spans="1:44" x14ac:dyDescent="0.4">
      <c r="A125" s="3" t="s">
        <v>256</v>
      </c>
      <c r="B125">
        <v>153835.4</v>
      </c>
      <c r="C125">
        <v>71619.7</v>
      </c>
      <c r="D125">
        <v>59538.3</v>
      </c>
      <c r="E125" t="s">
        <v>139</v>
      </c>
      <c r="F125" t="s">
        <v>139</v>
      </c>
      <c r="G125">
        <v>12081.5</v>
      </c>
      <c r="H125" t="s">
        <v>139</v>
      </c>
      <c r="I125" t="s">
        <v>139</v>
      </c>
      <c r="J125">
        <v>82215.7</v>
      </c>
      <c r="K125">
        <v>31889.5</v>
      </c>
      <c r="L125">
        <v>20973.4</v>
      </c>
      <c r="M125" t="s">
        <v>139</v>
      </c>
      <c r="N125" t="s">
        <v>139</v>
      </c>
      <c r="O125" t="s">
        <v>139</v>
      </c>
      <c r="P125" t="s">
        <v>139</v>
      </c>
      <c r="Q125" t="s">
        <v>139</v>
      </c>
      <c r="R125" t="s">
        <v>139</v>
      </c>
      <c r="S125" t="s">
        <v>139</v>
      </c>
      <c r="T125" t="s">
        <v>139</v>
      </c>
      <c r="U125">
        <v>18548.2</v>
      </c>
      <c r="V125" s="6" t="s">
        <v>139</v>
      </c>
      <c r="W125" t="s">
        <v>139</v>
      </c>
      <c r="X125" t="s">
        <v>139</v>
      </c>
      <c r="Y125" t="s">
        <v>139</v>
      </c>
      <c r="Z125" t="s">
        <v>139</v>
      </c>
      <c r="AA125" t="s">
        <v>139</v>
      </c>
      <c r="AB125" t="s">
        <v>139</v>
      </c>
      <c r="AC125" t="s">
        <v>139</v>
      </c>
      <c r="AD125" t="s">
        <v>139</v>
      </c>
      <c r="AE125" t="s">
        <v>139</v>
      </c>
      <c r="AF125" t="s">
        <v>139</v>
      </c>
      <c r="AG125" t="s">
        <v>139</v>
      </c>
      <c r="AH125" s="9" t="s">
        <v>139</v>
      </c>
      <c r="AI125" t="s">
        <v>139</v>
      </c>
      <c r="AJ125" t="s">
        <v>139</v>
      </c>
      <c r="AK125" t="s">
        <v>139</v>
      </c>
      <c r="AL125" t="s">
        <v>139</v>
      </c>
      <c r="AM125" t="s">
        <v>139</v>
      </c>
      <c r="AN125" t="s">
        <v>139</v>
      </c>
      <c r="AO125" s="9" t="s">
        <v>139</v>
      </c>
      <c r="AP125" t="s">
        <v>139</v>
      </c>
      <c r="AQ125" t="s">
        <v>139</v>
      </c>
      <c r="AR125" t="s">
        <v>139</v>
      </c>
    </row>
    <row r="126" spans="1:44" x14ac:dyDescent="0.4">
      <c r="A126" s="3" t="s">
        <v>257</v>
      </c>
      <c r="B126">
        <v>154953.70000000001</v>
      </c>
      <c r="C126">
        <v>72227.7</v>
      </c>
      <c r="D126">
        <v>60236.2</v>
      </c>
      <c r="E126" t="s">
        <v>139</v>
      </c>
      <c r="F126" t="s">
        <v>139</v>
      </c>
      <c r="G126">
        <v>11991.5</v>
      </c>
      <c r="H126" t="s">
        <v>139</v>
      </c>
      <c r="I126" t="s">
        <v>139</v>
      </c>
      <c r="J126">
        <v>82726</v>
      </c>
      <c r="K126">
        <v>32260.9</v>
      </c>
      <c r="L126">
        <v>21060.400000000001</v>
      </c>
      <c r="M126" t="s">
        <v>139</v>
      </c>
      <c r="N126" t="s">
        <v>139</v>
      </c>
      <c r="O126" t="s">
        <v>139</v>
      </c>
      <c r="P126" t="s">
        <v>139</v>
      </c>
      <c r="Q126" t="s">
        <v>139</v>
      </c>
      <c r="R126" t="s">
        <v>139</v>
      </c>
      <c r="S126" t="s">
        <v>139</v>
      </c>
      <c r="T126" t="s">
        <v>139</v>
      </c>
      <c r="U126">
        <v>18668.599999999999</v>
      </c>
      <c r="V126" s="6" t="s">
        <v>139</v>
      </c>
      <c r="W126" t="s">
        <v>139</v>
      </c>
      <c r="X126" t="s">
        <v>139</v>
      </c>
      <c r="Y126" t="s">
        <v>139</v>
      </c>
      <c r="Z126" t="s">
        <v>139</v>
      </c>
      <c r="AA126" t="s">
        <v>139</v>
      </c>
      <c r="AB126" t="s">
        <v>139</v>
      </c>
      <c r="AC126" t="s">
        <v>139</v>
      </c>
      <c r="AD126" t="s">
        <v>139</v>
      </c>
      <c r="AE126" t="s">
        <v>139</v>
      </c>
      <c r="AF126" t="s">
        <v>139</v>
      </c>
      <c r="AG126" t="s">
        <v>139</v>
      </c>
      <c r="AH126" s="9" t="s">
        <v>139</v>
      </c>
      <c r="AI126" t="s">
        <v>139</v>
      </c>
      <c r="AJ126" t="s">
        <v>139</v>
      </c>
      <c r="AK126" t="s">
        <v>139</v>
      </c>
      <c r="AL126" t="s">
        <v>139</v>
      </c>
      <c r="AM126" t="s">
        <v>139</v>
      </c>
      <c r="AN126" t="s">
        <v>139</v>
      </c>
      <c r="AO126" s="9" t="s">
        <v>139</v>
      </c>
      <c r="AP126" t="s">
        <v>139</v>
      </c>
      <c r="AQ126" t="s">
        <v>139</v>
      </c>
      <c r="AR126" t="s">
        <v>139</v>
      </c>
    </row>
    <row r="127" spans="1:44" x14ac:dyDescent="0.4">
      <c r="A127" s="3" t="s">
        <v>258</v>
      </c>
      <c r="B127">
        <v>156152</v>
      </c>
      <c r="C127">
        <v>72684.800000000003</v>
      </c>
      <c r="D127">
        <v>60753.599999999999</v>
      </c>
      <c r="E127" t="s">
        <v>139</v>
      </c>
      <c r="F127" t="s">
        <v>139</v>
      </c>
      <c r="G127">
        <v>11931.2</v>
      </c>
      <c r="H127" t="s">
        <v>139</v>
      </c>
      <c r="I127" t="s">
        <v>139</v>
      </c>
      <c r="J127">
        <v>83467.199999999997</v>
      </c>
      <c r="K127">
        <v>32473</v>
      </c>
      <c r="L127">
        <v>21198.5</v>
      </c>
      <c r="M127" t="s">
        <v>139</v>
      </c>
      <c r="N127" t="s">
        <v>139</v>
      </c>
      <c r="O127" t="s">
        <v>139</v>
      </c>
      <c r="P127" t="s">
        <v>139</v>
      </c>
      <c r="Q127" t="s">
        <v>139</v>
      </c>
      <c r="R127" t="s">
        <v>139</v>
      </c>
      <c r="S127" t="s">
        <v>139</v>
      </c>
      <c r="T127" t="s">
        <v>139</v>
      </c>
      <c r="U127">
        <v>18867.8</v>
      </c>
      <c r="V127" s="6" t="s">
        <v>139</v>
      </c>
      <c r="W127" t="s">
        <v>139</v>
      </c>
      <c r="X127" t="s">
        <v>139</v>
      </c>
      <c r="Y127" t="s">
        <v>139</v>
      </c>
      <c r="Z127" t="s">
        <v>139</v>
      </c>
      <c r="AA127" t="s">
        <v>139</v>
      </c>
      <c r="AB127" t="s">
        <v>139</v>
      </c>
      <c r="AC127" t="s">
        <v>139</v>
      </c>
      <c r="AD127" t="s">
        <v>139</v>
      </c>
      <c r="AE127" t="s">
        <v>139</v>
      </c>
      <c r="AF127" t="s">
        <v>139</v>
      </c>
      <c r="AG127" t="s">
        <v>139</v>
      </c>
      <c r="AH127" s="9" t="s">
        <v>139</v>
      </c>
      <c r="AI127" t="s">
        <v>139</v>
      </c>
      <c r="AJ127" t="s">
        <v>139</v>
      </c>
      <c r="AK127" t="s">
        <v>139</v>
      </c>
      <c r="AL127" t="s">
        <v>139</v>
      </c>
      <c r="AM127" t="s">
        <v>139</v>
      </c>
      <c r="AN127" t="s">
        <v>139</v>
      </c>
      <c r="AO127" s="9" t="s">
        <v>139</v>
      </c>
      <c r="AP127" t="s">
        <v>139</v>
      </c>
      <c r="AQ127" t="s">
        <v>139</v>
      </c>
      <c r="AR127" t="s">
        <v>139</v>
      </c>
    </row>
    <row r="128" spans="1:44" x14ac:dyDescent="0.4">
      <c r="A128" s="3" t="s">
        <v>259</v>
      </c>
      <c r="B128">
        <v>155709.20000000001</v>
      </c>
      <c r="C128">
        <v>72224.899999999994</v>
      </c>
      <c r="D128">
        <v>60306.5</v>
      </c>
      <c r="E128" t="s">
        <v>139</v>
      </c>
      <c r="F128" t="s">
        <v>139</v>
      </c>
      <c r="G128">
        <v>11918.4</v>
      </c>
      <c r="H128" t="s">
        <v>139</v>
      </c>
      <c r="I128" t="s">
        <v>139</v>
      </c>
      <c r="J128">
        <v>83484.3</v>
      </c>
      <c r="K128">
        <v>32687</v>
      </c>
      <c r="L128">
        <v>21211.1</v>
      </c>
      <c r="M128" t="s">
        <v>139</v>
      </c>
      <c r="N128" t="s">
        <v>139</v>
      </c>
      <c r="O128" t="s">
        <v>139</v>
      </c>
      <c r="P128" t="s">
        <v>139</v>
      </c>
      <c r="Q128" t="s">
        <v>139</v>
      </c>
      <c r="R128" t="s">
        <v>139</v>
      </c>
      <c r="S128" t="s">
        <v>139</v>
      </c>
      <c r="T128" t="s">
        <v>139</v>
      </c>
      <c r="U128">
        <v>18814.400000000001</v>
      </c>
      <c r="V128" s="6" t="s">
        <v>139</v>
      </c>
      <c r="W128" t="s">
        <v>139</v>
      </c>
      <c r="X128" t="s">
        <v>139</v>
      </c>
      <c r="Y128" t="s">
        <v>139</v>
      </c>
      <c r="Z128" t="s">
        <v>139</v>
      </c>
      <c r="AA128" t="s">
        <v>139</v>
      </c>
      <c r="AB128" t="s">
        <v>139</v>
      </c>
      <c r="AC128" t="s">
        <v>139</v>
      </c>
      <c r="AD128" t="s">
        <v>139</v>
      </c>
      <c r="AE128" t="s">
        <v>139</v>
      </c>
      <c r="AF128" t="s">
        <v>139</v>
      </c>
      <c r="AG128" t="s">
        <v>139</v>
      </c>
      <c r="AH128" s="9" t="s">
        <v>139</v>
      </c>
      <c r="AI128" t="s">
        <v>139</v>
      </c>
      <c r="AJ128" t="s">
        <v>139</v>
      </c>
      <c r="AK128" t="s">
        <v>139</v>
      </c>
      <c r="AL128" t="s">
        <v>139</v>
      </c>
      <c r="AM128" t="s">
        <v>139</v>
      </c>
      <c r="AN128" t="s">
        <v>139</v>
      </c>
      <c r="AO128" s="9" t="s">
        <v>139</v>
      </c>
      <c r="AP128" t="s">
        <v>139</v>
      </c>
      <c r="AQ128" t="s">
        <v>139</v>
      </c>
      <c r="AR128" t="s">
        <v>139</v>
      </c>
    </row>
    <row r="129" spans="1:44" x14ac:dyDescent="0.4">
      <c r="A129" s="3" t="s">
        <v>260</v>
      </c>
      <c r="B129">
        <v>154785.5</v>
      </c>
      <c r="C129">
        <v>71406.899999999994</v>
      </c>
      <c r="D129">
        <v>59418</v>
      </c>
      <c r="E129" t="s">
        <v>139</v>
      </c>
      <c r="F129" t="s">
        <v>139</v>
      </c>
      <c r="G129">
        <v>11988.9</v>
      </c>
      <c r="H129" t="s">
        <v>139</v>
      </c>
      <c r="I129" t="s">
        <v>139</v>
      </c>
      <c r="J129">
        <v>83378.7</v>
      </c>
      <c r="K129">
        <v>32689.5</v>
      </c>
      <c r="L129">
        <v>21238.9</v>
      </c>
      <c r="M129" t="s">
        <v>139</v>
      </c>
      <c r="N129" t="s">
        <v>139</v>
      </c>
      <c r="O129" t="s">
        <v>139</v>
      </c>
      <c r="P129" t="s">
        <v>139</v>
      </c>
      <c r="Q129" t="s">
        <v>139</v>
      </c>
      <c r="R129" t="s">
        <v>139</v>
      </c>
      <c r="S129" t="s">
        <v>139</v>
      </c>
      <c r="T129" t="s">
        <v>139</v>
      </c>
      <c r="U129">
        <v>18805.900000000001</v>
      </c>
      <c r="V129" s="6" t="s">
        <v>139</v>
      </c>
      <c r="W129" t="s">
        <v>139</v>
      </c>
      <c r="X129" t="s">
        <v>139</v>
      </c>
      <c r="Y129" t="s">
        <v>139</v>
      </c>
      <c r="Z129" t="s">
        <v>139</v>
      </c>
      <c r="AA129" t="s">
        <v>139</v>
      </c>
      <c r="AB129" t="s">
        <v>139</v>
      </c>
      <c r="AC129" t="s">
        <v>139</v>
      </c>
      <c r="AD129" t="s">
        <v>139</v>
      </c>
      <c r="AE129" t="s">
        <v>139</v>
      </c>
      <c r="AF129" t="s">
        <v>139</v>
      </c>
      <c r="AG129" t="s">
        <v>139</v>
      </c>
      <c r="AH129" s="9" t="s">
        <v>139</v>
      </c>
      <c r="AI129" t="s">
        <v>139</v>
      </c>
      <c r="AJ129" t="s">
        <v>139</v>
      </c>
      <c r="AK129" t="s">
        <v>139</v>
      </c>
      <c r="AL129" t="s">
        <v>139</v>
      </c>
      <c r="AM129" t="s">
        <v>139</v>
      </c>
      <c r="AN129" t="s">
        <v>139</v>
      </c>
      <c r="AO129" s="9" t="s">
        <v>139</v>
      </c>
      <c r="AP129" t="s">
        <v>139</v>
      </c>
      <c r="AQ129" t="s">
        <v>139</v>
      </c>
      <c r="AR129" t="s">
        <v>139</v>
      </c>
    </row>
    <row r="130" spans="1:44" x14ac:dyDescent="0.4">
      <c r="A130" s="3" t="s">
        <v>261</v>
      </c>
      <c r="B130">
        <v>154441.9</v>
      </c>
      <c r="C130">
        <v>70495.399999999994</v>
      </c>
      <c r="D130">
        <v>58386.9</v>
      </c>
      <c r="E130" t="s">
        <v>139</v>
      </c>
      <c r="F130" t="s">
        <v>139</v>
      </c>
      <c r="G130">
        <v>12108.5</v>
      </c>
      <c r="H130" t="s">
        <v>139</v>
      </c>
      <c r="I130" t="s">
        <v>139</v>
      </c>
      <c r="J130">
        <v>83946.5</v>
      </c>
      <c r="K130">
        <v>33040.699999999997</v>
      </c>
      <c r="L130">
        <v>21262.400000000001</v>
      </c>
      <c r="M130" t="s">
        <v>139</v>
      </c>
      <c r="N130" t="s">
        <v>139</v>
      </c>
      <c r="O130" t="s">
        <v>139</v>
      </c>
      <c r="P130" t="s">
        <v>139</v>
      </c>
      <c r="Q130" t="s">
        <v>139</v>
      </c>
      <c r="R130" t="s">
        <v>139</v>
      </c>
      <c r="S130" t="s">
        <v>139</v>
      </c>
      <c r="T130" t="s">
        <v>139</v>
      </c>
      <c r="U130">
        <v>18929.900000000001</v>
      </c>
      <c r="V130" s="6" t="s">
        <v>139</v>
      </c>
      <c r="W130" t="s">
        <v>139</v>
      </c>
      <c r="X130" t="s">
        <v>139</v>
      </c>
      <c r="Y130" t="s">
        <v>139</v>
      </c>
      <c r="Z130" t="s">
        <v>139</v>
      </c>
      <c r="AA130" t="s">
        <v>139</v>
      </c>
      <c r="AB130" t="s">
        <v>139</v>
      </c>
      <c r="AC130" t="s">
        <v>139</v>
      </c>
      <c r="AD130" t="s">
        <v>139</v>
      </c>
      <c r="AE130" t="s">
        <v>139</v>
      </c>
      <c r="AF130" t="s">
        <v>139</v>
      </c>
      <c r="AG130" t="s">
        <v>139</v>
      </c>
      <c r="AH130" s="9" t="s">
        <v>139</v>
      </c>
      <c r="AI130" t="s">
        <v>139</v>
      </c>
      <c r="AJ130" t="s">
        <v>139</v>
      </c>
      <c r="AK130" t="s">
        <v>139</v>
      </c>
      <c r="AL130" t="s">
        <v>139</v>
      </c>
      <c r="AM130" t="s">
        <v>139</v>
      </c>
      <c r="AN130" t="s">
        <v>139</v>
      </c>
      <c r="AO130" s="9" t="s">
        <v>139</v>
      </c>
      <c r="AP130" t="s">
        <v>139</v>
      </c>
      <c r="AQ130" t="s">
        <v>139</v>
      </c>
      <c r="AR130" t="s">
        <v>139</v>
      </c>
    </row>
    <row r="131" spans="1:44" x14ac:dyDescent="0.4">
      <c r="A131" s="3" t="s">
        <v>262</v>
      </c>
      <c r="B131">
        <v>155970.9</v>
      </c>
      <c r="C131">
        <v>71427.3</v>
      </c>
      <c r="D131">
        <v>59189.3</v>
      </c>
      <c r="E131" t="s">
        <v>139</v>
      </c>
      <c r="F131" t="s">
        <v>139</v>
      </c>
      <c r="G131">
        <v>12238</v>
      </c>
      <c r="H131" t="s">
        <v>139</v>
      </c>
      <c r="I131" t="s">
        <v>139</v>
      </c>
      <c r="J131">
        <v>84543.6</v>
      </c>
      <c r="K131">
        <v>33385.599999999999</v>
      </c>
      <c r="L131">
        <v>21273.599999999999</v>
      </c>
      <c r="M131" t="s">
        <v>139</v>
      </c>
      <c r="N131" t="s">
        <v>139</v>
      </c>
      <c r="O131" t="s">
        <v>139</v>
      </c>
      <c r="P131" t="s">
        <v>139</v>
      </c>
      <c r="Q131" t="s">
        <v>139</v>
      </c>
      <c r="R131" t="s">
        <v>139</v>
      </c>
      <c r="S131" t="s">
        <v>139</v>
      </c>
      <c r="T131" t="s">
        <v>139</v>
      </c>
      <c r="U131">
        <v>19011.7</v>
      </c>
      <c r="V131" s="6" t="s">
        <v>139</v>
      </c>
      <c r="W131" t="s">
        <v>139</v>
      </c>
      <c r="X131" t="s">
        <v>139</v>
      </c>
      <c r="Y131" t="s">
        <v>139</v>
      </c>
      <c r="Z131" t="s">
        <v>139</v>
      </c>
      <c r="AA131" t="s">
        <v>139</v>
      </c>
      <c r="AB131" t="s">
        <v>139</v>
      </c>
      <c r="AC131" t="s">
        <v>139</v>
      </c>
      <c r="AD131" t="s">
        <v>139</v>
      </c>
      <c r="AE131" t="s">
        <v>139</v>
      </c>
      <c r="AF131" t="s">
        <v>139</v>
      </c>
      <c r="AG131" t="s">
        <v>139</v>
      </c>
      <c r="AH131" s="9" t="s">
        <v>139</v>
      </c>
      <c r="AI131" t="s">
        <v>139</v>
      </c>
      <c r="AJ131" t="s">
        <v>139</v>
      </c>
      <c r="AK131" t="s">
        <v>139</v>
      </c>
      <c r="AL131" t="s">
        <v>139</v>
      </c>
      <c r="AM131" t="s">
        <v>139</v>
      </c>
      <c r="AN131" t="s">
        <v>139</v>
      </c>
      <c r="AO131" s="9" t="s">
        <v>139</v>
      </c>
      <c r="AP131" t="s">
        <v>139</v>
      </c>
      <c r="AQ131" t="s">
        <v>139</v>
      </c>
      <c r="AR131" t="s">
        <v>139</v>
      </c>
    </row>
    <row r="132" spans="1:44" x14ac:dyDescent="0.4">
      <c r="A132" s="3" t="s">
        <v>263</v>
      </c>
      <c r="B132">
        <v>156717.20000000001</v>
      </c>
      <c r="C132">
        <v>71605.2</v>
      </c>
      <c r="D132">
        <v>59268</v>
      </c>
      <c r="E132" t="s">
        <v>139</v>
      </c>
      <c r="F132" t="s">
        <v>139</v>
      </c>
      <c r="G132">
        <v>12337.3</v>
      </c>
      <c r="H132" t="s">
        <v>139</v>
      </c>
      <c r="I132" t="s">
        <v>139</v>
      </c>
      <c r="J132">
        <v>85112</v>
      </c>
      <c r="K132">
        <v>33636.199999999997</v>
      </c>
      <c r="L132">
        <v>21259.5</v>
      </c>
      <c r="M132" t="s">
        <v>139</v>
      </c>
      <c r="N132" t="s">
        <v>139</v>
      </c>
      <c r="O132" t="s">
        <v>139</v>
      </c>
      <c r="P132" t="s">
        <v>139</v>
      </c>
      <c r="Q132" t="s">
        <v>139</v>
      </c>
      <c r="R132" t="s">
        <v>139</v>
      </c>
      <c r="S132" t="s">
        <v>139</v>
      </c>
      <c r="T132" t="s">
        <v>139</v>
      </c>
      <c r="U132">
        <v>19176.7</v>
      </c>
      <c r="V132" s="6" t="s">
        <v>139</v>
      </c>
      <c r="W132" t="s">
        <v>139</v>
      </c>
      <c r="X132" t="s">
        <v>139</v>
      </c>
      <c r="Y132" t="s">
        <v>139</v>
      </c>
      <c r="Z132" t="s">
        <v>139</v>
      </c>
      <c r="AA132" t="s">
        <v>139</v>
      </c>
      <c r="AB132" t="s">
        <v>139</v>
      </c>
      <c r="AC132" t="s">
        <v>139</v>
      </c>
      <c r="AD132" t="s">
        <v>139</v>
      </c>
      <c r="AE132" t="s">
        <v>139</v>
      </c>
      <c r="AF132" t="s">
        <v>139</v>
      </c>
      <c r="AG132" t="s">
        <v>139</v>
      </c>
      <c r="AH132" s="9" t="s">
        <v>139</v>
      </c>
      <c r="AI132" t="s">
        <v>139</v>
      </c>
      <c r="AJ132" t="s">
        <v>139</v>
      </c>
      <c r="AK132" t="s">
        <v>139</v>
      </c>
      <c r="AL132" t="s">
        <v>139</v>
      </c>
      <c r="AM132" t="s">
        <v>139</v>
      </c>
      <c r="AN132" t="s">
        <v>139</v>
      </c>
      <c r="AO132" s="9" t="s">
        <v>139</v>
      </c>
      <c r="AP132" t="s">
        <v>139</v>
      </c>
      <c r="AQ132" t="s">
        <v>139</v>
      </c>
      <c r="AR132" t="s">
        <v>139</v>
      </c>
    </row>
    <row r="133" spans="1:44" x14ac:dyDescent="0.4">
      <c r="A133" s="3" t="s">
        <v>264</v>
      </c>
      <c r="B133">
        <v>156134.29999999999</v>
      </c>
      <c r="C133">
        <v>70404.800000000003</v>
      </c>
      <c r="D133">
        <v>58040.6</v>
      </c>
      <c r="E133" t="s">
        <v>139</v>
      </c>
      <c r="F133" t="s">
        <v>139</v>
      </c>
      <c r="G133">
        <v>12364.2</v>
      </c>
      <c r="H133" t="s">
        <v>139</v>
      </c>
      <c r="I133" t="s">
        <v>139</v>
      </c>
      <c r="J133">
        <v>85729.4</v>
      </c>
      <c r="K133">
        <v>34059.599999999999</v>
      </c>
      <c r="L133">
        <v>21230.400000000001</v>
      </c>
      <c r="M133" t="s">
        <v>139</v>
      </c>
      <c r="N133" t="s">
        <v>139</v>
      </c>
      <c r="O133" t="s">
        <v>139</v>
      </c>
      <c r="P133" t="s">
        <v>139</v>
      </c>
      <c r="Q133" t="s">
        <v>139</v>
      </c>
      <c r="R133" t="s">
        <v>139</v>
      </c>
      <c r="S133" t="s">
        <v>139</v>
      </c>
      <c r="T133" t="s">
        <v>139</v>
      </c>
      <c r="U133">
        <v>19288.900000000001</v>
      </c>
      <c r="V133" s="6" t="s">
        <v>139</v>
      </c>
      <c r="W133" t="s">
        <v>139</v>
      </c>
      <c r="X133" t="s">
        <v>139</v>
      </c>
      <c r="Y133" t="s">
        <v>139</v>
      </c>
      <c r="Z133" t="s">
        <v>139</v>
      </c>
      <c r="AA133" t="s">
        <v>139</v>
      </c>
      <c r="AB133" t="s">
        <v>139</v>
      </c>
      <c r="AC133" t="s">
        <v>139</v>
      </c>
      <c r="AD133" t="s">
        <v>139</v>
      </c>
      <c r="AE133" t="s">
        <v>139</v>
      </c>
      <c r="AF133" t="s">
        <v>139</v>
      </c>
      <c r="AG133" t="s">
        <v>139</v>
      </c>
      <c r="AH133" s="9" t="s">
        <v>139</v>
      </c>
      <c r="AI133" t="s">
        <v>139</v>
      </c>
      <c r="AJ133" t="s">
        <v>139</v>
      </c>
      <c r="AK133" t="s">
        <v>139</v>
      </c>
      <c r="AL133" t="s">
        <v>139</v>
      </c>
      <c r="AM133" t="s">
        <v>139</v>
      </c>
      <c r="AN133" t="s">
        <v>139</v>
      </c>
      <c r="AO133" s="9" t="s">
        <v>139</v>
      </c>
      <c r="AP133" t="s">
        <v>139</v>
      </c>
      <c r="AQ133" t="s">
        <v>139</v>
      </c>
      <c r="AR133" t="s">
        <v>139</v>
      </c>
    </row>
    <row r="134" spans="1:44" x14ac:dyDescent="0.4">
      <c r="A134" s="3" t="s">
        <v>265</v>
      </c>
      <c r="B134">
        <v>156495.9</v>
      </c>
      <c r="C134">
        <v>70365.7</v>
      </c>
      <c r="D134">
        <v>58041</v>
      </c>
      <c r="E134" t="s">
        <v>139</v>
      </c>
      <c r="F134" t="s">
        <v>139</v>
      </c>
      <c r="G134">
        <v>12324.8</v>
      </c>
      <c r="H134" t="s">
        <v>139</v>
      </c>
      <c r="I134" t="s">
        <v>139</v>
      </c>
      <c r="J134">
        <v>86130.1</v>
      </c>
      <c r="K134">
        <v>34374.9</v>
      </c>
      <c r="L134">
        <v>21314.6</v>
      </c>
      <c r="M134" t="s">
        <v>139</v>
      </c>
      <c r="N134" t="s">
        <v>139</v>
      </c>
      <c r="O134" t="s">
        <v>139</v>
      </c>
      <c r="P134" t="s">
        <v>139</v>
      </c>
      <c r="Q134" t="s">
        <v>139</v>
      </c>
      <c r="R134" t="s">
        <v>139</v>
      </c>
      <c r="S134" t="s">
        <v>139</v>
      </c>
      <c r="T134" t="s">
        <v>139</v>
      </c>
      <c r="U134">
        <v>19425.900000000001</v>
      </c>
      <c r="V134" s="6" t="s">
        <v>139</v>
      </c>
      <c r="W134" t="s">
        <v>139</v>
      </c>
      <c r="X134" t="s">
        <v>139</v>
      </c>
      <c r="Y134" t="s">
        <v>139</v>
      </c>
      <c r="Z134" t="s">
        <v>139</v>
      </c>
      <c r="AA134" t="s">
        <v>139</v>
      </c>
      <c r="AB134" t="s">
        <v>139</v>
      </c>
      <c r="AC134" t="s">
        <v>139</v>
      </c>
      <c r="AD134" t="s">
        <v>139</v>
      </c>
      <c r="AE134" t="s">
        <v>139</v>
      </c>
      <c r="AF134" t="s">
        <v>139</v>
      </c>
      <c r="AG134" t="s">
        <v>139</v>
      </c>
      <c r="AH134" s="9" t="s">
        <v>139</v>
      </c>
      <c r="AI134" t="s">
        <v>139</v>
      </c>
      <c r="AJ134" t="s">
        <v>139</v>
      </c>
      <c r="AK134" t="s">
        <v>139</v>
      </c>
      <c r="AL134" t="s">
        <v>139</v>
      </c>
      <c r="AM134" t="s">
        <v>139</v>
      </c>
      <c r="AN134" t="s">
        <v>139</v>
      </c>
      <c r="AO134" s="9" t="s">
        <v>139</v>
      </c>
      <c r="AP134" t="s">
        <v>139</v>
      </c>
      <c r="AQ134" t="s">
        <v>139</v>
      </c>
      <c r="AR134" t="s">
        <v>139</v>
      </c>
    </row>
    <row r="135" spans="1:44" x14ac:dyDescent="0.4">
      <c r="A135" s="3" t="s">
        <v>266</v>
      </c>
      <c r="B135">
        <v>157153.4</v>
      </c>
      <c r="C135">
        <v>70626.399999999994</v>
      </c>
      <c r="D135">
        <v>58270.5</v>
      </c>
      <c r="E135" t="s">
        <v>139</v>
      </c>
      <c r="F135" t="s">
        <v>139</v>
      </c>
      <c r="G135">
        <v>12355.9</v>
      </c>
      <c r="H135" t="s">
        <v>139</v>
      </c>
      <c r="I135" t="s">
        <v>139</v>
      </c>
      <c r="J135">
        <v>86527</v>
      </c>
      <c r="K135">
        <v>34596.1</v>
      </c>
      <c r="L135">
        <v>21413</v>
      </c>
      <c r="M135" t="s">
        <v>139</v>
      </c>
      <c r="N135" t="s">
        <v>139</v>
      </c>
      <c r="O135" t="s">
        <v>139</v>
      </c>
      <c r="P135" t="s">
        <v>139</v>
      </c>
      <c r="Q135" t="s">
        <v>139</v>
      </c>
      <c r="R135" t="s">
        <v>139</v>
      </c>
      <c r="S135" t="s">
        <v>139</v>
      </c>
      <c r="T135" t="s">
        <v>139</v>
      </c>
      <c r="U135">
        <v>19600</v>
      </c>
      <c r="V135" s="6" t="s">
        <v>139</v>
      </c>
      <c r="W135" t="s">
        <v>139</v>
      </c>
      <c r="X135" t="s">
        <v>139</v>
      </c>
      <c r="Y135" t="s">
        <v>139</v>
      </c>
      <c r="Z135" t="s">
        <v>139</v>
      </c>
      <c r="AA135" t="s">
        <v>139</v>
      </c>
      <c r="AB135" t="s">
        <v>139</v>
      </c>
      <c r="AC135" t="s">
        <v>139</v>
      </c>
      <c r="AD135" t="s">
        <v>139</v>
      </c>
      <c r="AE135" t="s">
        <v>139</v>
      </c>
      <c r="AF135" t="s">
        <v>139</v>
      </c>
      <c r="AG135" t="s">
        <v>139</v>
      </c>
      <c r="AH135" s="9" t="s">
        <v>139</v>
      </c>
      <c r="AI135" t="s">
        <v>139</v>
      </c>
      <c r="AJ135" t="s">
        <v>139</v>
      </c>
      <c r="AK135" t="s">
        <v>139</v>
      </c>
      <c r="AL135" t="s">
        <v>139</v>
      </c>
      <c r="AM135" t="s">
        <v>139</v>
      </c>
      <c r="AN135" t="s">
        <v>139</v>
      </c>
      <c r="AO135" s="9" t="s">
        <v>139</v>
      </c>
      <c r="AP135" t="s">
        <v>139</v>
      </c>
      <c r="AQ135" t="s">
        <v>139</v>
      </c>
      <c r="AR135" t="s">
        <v>139</v>
      </c>
    </row>
    <row r="136" spans="1:44" x14ac:dyDescent="0.4">
      <c r="A136" s="3" t="s">
        <v>267</v>
      </c>
      <c r="B136">
        <v>157304.9</v>
      </c>
      <c r="C136">
        <v>70592.100000000006</v>
      </c>
      <c r="D136">
        <v>58129.7</v>
      </c>
      <c r="E136" t="s">
        <v>139</v>
      </c>
      <c r="F136" t="s">
        <v>139</v>
      </c>
      <c r="G136">
        <v>12462.4</v>
      </c>
      <c r="H136" t="s">
        <v>139</v>
      </c>
      <c r="I136" t="s">
        <v>139</v>
      </c>
      <c r="J136">
        <v>86712.8</v>
      </c>
      <c r="K136">
        <v>34547.4</v>
      </c>
      <c r="L136">
        <v>21447.5</v>
      </c>
      <c r="M136" t="s">
        <v>139</v>
      </c>
      <c r="N136" t="s">
        <v>139</v>
      </c>
      <c r="O136" t="s">
        <v>139</v>
      </c>
      <c r="P136" t="s">
        <v>139</v>
      </c>
      <c r="Q136" t="s">
        <v>139</v>
      </c>
      <c r="R136" t="s">
        <v>139</v>
      </c>
      <c r="S136" t="s">
        <v>139</v>
      </c>
      <c r="T136" t="s">
        <v>139</v>
      </c>
      <c r="U136">
        <v>19766.3</v>
      </c>
      <c r="V136" s="6" t="s">
        <v>139</v>
      </c>
      <c r="W136" t="s">
        <v>139</v>
      </c>
      <c r="X136" t="s">
        <v>139</v>
      </c>
      <c r="Y136" t="s">
        <v>139</v>
      </c>
      <c r="Z136" t="s">
        <v>139</v>
      </c>
      <c r="AA136" t="s">
        <v>139</v>
      </c>
      <c r="AB136" t="s">
        <v>139</v>
      </c>
      <c r="AC136" t="s">
        <v>139</v>
      </c>
      <c r="AD136" t="s">
        <v>139</v>
      </c>
      <c r="AE136" t="s">
        <v>139</v>
      </c>
      <c r="AF136" t="s">
        <v>139</v>
      </c>
      <c r="AG136" t="s">
        <v>139</v>
      </c>
      <c r="AH136" s="9" t="s">
        <v>139</v>
      </c>
      <c r="AI136" t="s">
        <v>139</v>
      </c>
      <c r="AJ136" t="s">
        <v>139</v>
      </c>
      <c r="AK136" t="s">
        <v>139</v>
      </c>
      <c r="AL136" t="s">
        <v>139</v>
      </c>
      <c r="AM136" t="s">
        <v>139</v>
      </c>
      <c r="AN136" t="s">
        <v>139</v>
      </c>
      <c r="AO136" s="9" t="s">
        <v>139</v>
      </c>
      <c r="AP136" t="s">
        <v>139</v>
      </c>
      <c r="AQ136" t="s">
        <v>139</v>
      </c>
      <c r="AR136" t="s">
        <v>139</v>
      </c>
    </row>
    <row r="137" spans="1:44" x14ac:dyDescent="0.4">
      <c r="A137" s="3" t="s">
        <v>268</v>
      </c>
      <c r="B137">
        <v>158675.79999999999</v>
      </c>
      <c r="C137">
        <v>71794</v>
      </c>
      <c r="D137">
        <v>59059.9</v>
      </c>
      <c r="E137" t="s">
        <v>139</v>
      </c>
      <c r="F137" t="s">
        <v>139</v>
      </c>
      <c r="G137">
        <v>12734.1</v>
      </c>
      <c r="H137" t="s">
        <v>139</v>
      </c>
      <c r="I137" t="s">
        <v>139</v>
      </c>
      <c r="J137">
        <v>86881.8</v>
      </c>
      <c r="K137">
        <v>34419.699999999997</v>
      </c>
      <c r="L137">
        <v>21485.9</v>
      </c>
      <c r="M137" t="s">
        <v>139</v>
      </c>
      <c r="N137" t="s">
        <v>139</v>
      </c>
      <c r="O137" t="s">
        <v>139</v>
      </c>
      <c r="P137" t="s">
        <v>139</v>
      </c>
      <c r="Q137" t="s">
        <v>139</v>
      </c>
      <c r="R137" t="s">
        <v>139</v>
      </c>
      <c r="S137" t="s">
        <v>139</v>
      </c>
      <c r="T137" t="s">
        <v>139</v>
      </c>
      <c r="U137">
        <v>19909.099999999999</v>
      </c>
      <c r="V137" s="6" t="s">
        <v>139</v>
      </c>
      <c r="W137" t="s">
        <v>139</v>
      </c>
      <c r="X137" t="s">
        <v>139</v>
      </c>
      <c r="Y137" t="s">
        <v>139</v>
      </c>
      <c r="Z137" t="s">
        <v>139</v>
      </c>
      <c r="AA137" t="s">
        <v>139</v>
      </c>
      <c r="AB137" t="s">
        <v>139</v>
      </c>
      <c r="AC137" t="s">
        <v>139</v>
      </c>
      <c r="AD137" t="s">
        <v>139</v>
      </c>
      <c r="AE137" t="s">
        <v>139</v>
      </c>
      <c r="AF137" t="s">
        <v>139</v>
      </c>
      <c r="AG137" t="s">
        <v>139</v>
      </c>
      <c r="AH137" s="9" t="s">
        <v>139</v>
      </c>
      <c r="AI137" t="s">
        <v>139</v>
      </c>
      <c r="AJ137" t="s">
        <v>139</v>
      </c>
      <c r="AK137" t="s">
        <v>139</v>
      </c>
      <c r="AL137" t="s">
        <v>139</v>
      </c>
      <c r="AM137" t="s">
        <v>139</v>
      </c>
      <c r="AN137" t="s">
        <v>139</v>
      </c>
      <c r="AO137" s="9" t="s">
        <v>139</v>
      </c>
      <c r="AP137" t="s">
        <v>139</v>
      </c>
      <c r="AQ137" t="s">
        <v>139</v>
      </c>
      <c r="AR137" t="s">
        <v>139</v>
      </c>
    </row>
    <row r="138" spans="1:44" x14ac:dyDescent="0.4">
      <c r="A138" s="3" t="s">
        <v>269</v>
      </c>
      <c r="B138">
        <v>159021.79999999999</v>
      </c>
      <c r="C138">
        <v>72097.8</v>
      </c>
      <c r="D138">
        <v>59340</v>
      </c>
      <c r="E138" t="s">
        <v>139</v>
      </c>
      <c r="F138" t="s">
        <v>139</v>
      </c>
      <c r="G138">
        <v>12757.7</v>
      </c>
      <c r="H138" t="s">
        <v>139</v>
      </c>
      <c r="I138" t="s">
        <v>139</v>
      </c>
      <c r="J138">
        <v>86924.1</v>
      </c>
      <c r="K138">
        <v>34332.5</v>
      </c>
      <c r="L138">
        <v>21522.6</v>
      </c>
      <c r="M138" t="s">
        <v>139</v>
      </c>
      <c r="N138" t="s">
        <v>139</v>
      </c>
      <c r="O138" t="s">
        <v>139</v>
      </c>
      <c r="P138" t="s">
        <v>139</v>
      </c>
      <c r="Q138" t="s">
        <v>139</v>
      </c>
      <c r="R138" t="s">
        <v>139</v>
      </c>
      <c r="S138" t="s">
        <v>139</v>
      </c>
      <c r="T138" t="s">
        <v>139</v>
      </c>
      <c r="U138">
        <v>20010.5</v>
      </c>
      <c r="V138" s="6" t="s">
        <v>139</v>
      </c>
      <c r="W138" t="s">
        <v>139</v>
      </c>
      <c r="X138" t="s">
        <v>139</v>
      </c>
      <c r="Y138" t="s">
        <v>139</v>
      </c>
      <c r="Z138" t="s">
        <v>139</v>
      </c>
      <c r="AA138" t="s">
        <v>139</v>
      </c>
      <c r="AB138" t="s">
        <v>139</v>
      </c>
      <c r="AC138" t="s">
        <v>139</v>
      </c>
      <c r="AD138" t="s">
        <v>139</v>
      </c>
      <c r="AE138" t="s">
        <v>139</v>
      </c>
      <c r="AF138" t="s">
        <v>139</v>
      </c>
      <c r="AG138" t="s">
        <v>139</v>
      </c>
      <c r="AH138" s="9" t="s">
        <v>139</v>
      </c>
      <c r="AI138" t="s">
        <v>139</v>
      </c>
      <c r="AJ138" t="s">
        <v>139</v>
      </c>
      <c r="AK138" t="s">
        <v>139</v>
      </c>
      <c r="AL138" t="s">
        <v>139</v>
      </c>
      <c r="AM138" t="s">
        <v>139</v>
      </c>
      <c r="AN138" t="s">
        <v>139</v>
      </c>
      <c r="AO138" s="9" t="s">
        <v>139</v>
      </c>
      <c r="AP138" t="s">
        <v>139</v>
      </c>
      <c r="AQ138" t="s">
        <v>139</v>
      </c>
      <c r="AR138" t="s">
        <v>139</v>
      </c>
    </row>
    <row r="139" spans="1:44" x14ac:dyDescent="0.4">
      <c r="A139" s="3" t="s">
        <v>270</v>
      </c>
      <c r="B139">
        <v>160601.70000000001</v>
      </c>
      <c r="C139">
        <v>72882.899999999994</v>
      </c>
      <c r="D139">
        <v>60013.7</v>
      </c>
      <c r="E139" t="s">
        <v>139</v>
      </c>
      <c r="F139" t="s">
        <v>139</v>
      </c>
      <c r="G139">
        <v>12869.2</v>
      </c>
      <c r="H139" t="s">
        <v>139</v>
      </c>
      <c r="I139" t="s">
        <v>139</v>
      </c>
      <c r="J139">
        <v>87718.8</v>
      </c>
      <c r="K139">
        <v>33885.300000000003</v>
      </c>
      <c r="L139">
        <v>21539.7</v>
      </c>
      <c r="M139" t="s">
        <v>139</v>
      </c>
      <c r="N139" t="s">
        <v>139</v>
      </c>
      <c r="O139" t="s">
        <v>139</v>
      </c>
      <c r="P139" t="s">
        <v>139</v>
      </c>
      <c r="Q139" t="s">
        <v>139</v>
      </c>
      <c r="R139" t="s">
        <v>139</v>
      </c>
      <c r="S139" t="s">
        <v>139</v>
      </c>
      <c r="T139" t="s">
        <v>139</v>
      </c>
      <c r="U139">
        <v>19812.7</v>
      </c>
      <c r="V139" s="6" t="s">
        <v>139</v>
      </c>
      <c r="W139" t="s">
        <v>139</v>
      </c>
      <c r="X139" t="s">
        <v>139</v>
      </c>
      <c r="Y139" t="s">
        <v>139</v>
      </c>
      <c r="Z139" t="s">
        <v>139</v>
      </c>
      <c r="AA139" t="s">
        <v>139</v>
      </c>
      <c r="AB139" t="s">
        <v>139</v>
      </c>
      <c r="AC139" t="s">
        <v>139</v>
      </c>
      <c r="AD139" t="s">
        <v>139</v>
      </c>
      <c r="AE139" t="s">
        <v>139</v>
      </c>
      <c r="AF139" t="s">
        <v>139</v>
      </c>
      <c r="AG139" t="s">
        <v>139</v>
      </c>
      <c r="AH139" s="9" t="s">
        <v>139</v>
      </c>
      <c r="AI139" t="s">
        <v>139</v>
      </c>
      <c r="AJ139" t="s">
        <v>139</v>
      </c>
      <c r="AK139" t="s">
        <v>139</v>
      </c>
      <c r="AL139" t="s">
        <v>139</v>
      </c>
      <c r="AM139" t="s">
        <v>139</v>
      </c>
      <c r="AN139" t="s">
        <v>139</v>
      </c>
      <c r="AO139" s="9" t="s">
        <v>139</v>
      </c>
      <c r="AP139" t="s">
        <v>139</v>
      </c>
      <c r="AQ139" t="s">
        <v>139</v>
      </c>
      <c r="AR139" t="s">
        <v>139</v>
      </c>
    </row>
    <row r="140" spans="1:44" x14ac:dyDescent="0.4">
      <c r="A140" s="3" t="s">
        <v>271</v>
      </c>
      <c r="B140">
        <v>167175.1</v>
      </c>
      <c r="C140">
        <v>73173.3</v>
      </c>
      <c r="D140">
        <v>60169.8</v>
      </c>
      <c r="E140" t="s">
        <v>139</v>
      </c>
      <c r="F140" t="s">
        <v>139</v>
      </c>
      <c r="G140">
        <v>13003.5</v>
      </c>
      <c r="H140" t="s">
        <v>139</v>
      </c>
      <c r="I140" t="s">
        <v>139</v>
      </c>
      <c r="J140">
        <v>94001.8</v>
      </c>
      <c r="K140">
        <v>34698.800000000003</v>
      </c>
      <c r="L140">
        <v>22423.1</v>
      </c>
      <c r="M140" t="s">
        <v>139</v>
      </c>
      <c r="N140" t="s">
        <v>139</v>
      </c>
      <c r="O140" t="s">
        <v>139</v>
      </c>
      <c r="P140" t="s">
        <v>139</v>
      </c>
      <c r="Q140" t="s">
        <v>139</v>
      </c>
      <c r="R140" t="s">
        <v>139</v>
      </c>
      <c r="S140" t="s">
        <v>139</v>
      </c>
      <c r="T140" t="s">
        <v>139</v>
      </c>
      <c r="U140">
        <v>19909.400000000001</v>
      </c>
      <c r="V140" s="6" t="s">
        <v>139</v>
      </c>
      <c r="W140" t="s">
        <v>139</v>
      </c>
      <c r="X140" t="s">
        <v>139</v>
      </c>
      <c r="Y140" t="s">
        <v>139</v>
      </c>
      <c r="Z140" t="s">
        <v>139</v>
      </c>
      <c r="AA140" t="s">
        <v>139</v>
      </c>
      <c r="AB140" t="s">
        <v>139</v>
      </c>
      <c r="AC140" t="s">
        <v>139</v>
      </c>
      <c r="AD140" t="s">
        <v>139</v>
      </c>
      <c r="AE140" t="s">
        <v>139</v>
      </c>
      <c r="AF140" t="s">
        <v>139</v>
      </c>
      <c r="AG140" t="s">
        <v>139</v>
      </c>
      <c r="AH140" s="9" t="s">
        <v>139</v>
      </c>
      <c r="AI140" t="s">
        <v>139</v>
      </c>
      <c r="AJ140" t="s">
        <v>139</v>
      </c>
      <c r="AK140" t="s">
        <v>139</v>
      </c>
      <c r="AL140" t="s">
        <v>139</v>
      </c>
      <c r="AM140" t="s">
        <v>139</v>
      </c>
      <c r="AN140" t="s">
        <v>139</v>
      </c>
      <c r="AO140" s="9" t="s">
        <v>139</v>
      </c>
      <c r="AP140" t="s">
        <v>139</v>
      </c>
      <c r="AQ140" t="s">
        <v>139</v>
      </c>
      <c r="AR140" t="s">
        <v>139</v>
      </c>
    </row>
    <row r="141" spans="1:44" x14ac:dyDescent="0.4">
      <c r="A141" s="3" t="s">
        <v>272</v>
      </c>
      <c r="B141">
        <v>168372.8</v>
      </c>
      <c r="C141">
        <v>73684</v>
      </c>
      <c r="D141">
        <v>60519.8</v>
      </c>
      <c r="E141" t="s">
        <v>139</v>
      </c>
      <c r="F141" t="s">
        <v>139</v>
      </c>
      <c r="G141">
        <v>13164.2</v>
      </c>
      <c r="H141" t="s">
        <v>139</v>
      </c>
      <c r="I141" t="s">
        <v>139</v>
      </c>
      <c r="J141">
        <v>94688.8</v>
      </c>
      <c r="K141">
        <v>34862.300000000003</v>
      </c>
      <c r="L141">
        <v>22767.4</v>
      </c>
      <c r="M141" t="s">
        <v>139</v>
      </c>
      <c r="N141" t="s">
        <v>139</v>
      </c>
      <c r="O141" t="s">
        <v>139</v>
      </c>
      <c r="P141" t="s">
        <v>139</v>
      </c>
      <c r="Q141" t="s">
        <v>139</v>
      </c>
      <c r="R141" t="s">
        <v>139</v>
      </c>
      <c r="S141" t="s">
        <v>139</v>
      </c>
      <c r="T141" t="s">
        <v>139</v>
      </c>
      <c r="U141">
        <v>20009.5</v>
      </c>
      <c r="V141" s="6" t="s">
        <v>139</v>
      </c>
      <c r="W141" t="s">
        <v>139</v>
      </c>
      <c r="X141" t="s">
        <v>139</v>
      </c>
      <c r="Y141" t="s">
        <v>139</v>
      </c>
      <c r="Z141" t="s">
        <v>139</v>
      </c>
      <c r="AA141" t="s">
        <v>139</v>
      </c>
      <c r="AB141" t="s">
        <v>139</v>
      </c>
      <c r="AC141" t="s">
        <v>139</v>
      </c>
      <c r="AD141" t="s">
        <v>139</v>
      </c>
      <c r="AE141" t="s">
        <v>139</v>
      </c>
      <c r="AF141" t="s">
        <v>139</v>
      </c>
      <c r="AG141" t="s">
        <v>139</v>
      </c>
      <c r="AH141" s="9" t="s">
        <v>139</v>
      </c>
      <c r="AI141" t="s">
        <v>139</v>
      </c>
      <c r="AJ141" t="s">
        <v>139</v>
      </c>
      <c r="AK141" t="s">
        <v>139</v>
      </c>
      <c r="AL141" t="s">
        <v>139</v>
      </c>
      <c r="AM141" t="s">
        <v>139</v>
      </c>
      <c r="AN141" t="s">
        <v>139</v>
      </c>
      <c r="AO141" s="9" t="s">
        <v>139</v>
      </c>
      <c r="AP141" t="s">
        <v>139</v>
      </c>
      <c r="AQ141" t="s">
        <v>139</v>
      </c>
      <c r="AR141" t="s">
        <v>139</v>
      </c>
    </row>
    <row r="142" spans="1:44" x14ac:dyDescent="0.4">
      <c r="A142" s="3" t="s">
        <v>273</v>
      </c>
      <c r="B142">
        <v>170311.4</v>
      </c>
      <c r="C142">
        <v>75271.199999999997</v>
      </c>
      <c r="D142">
        <v>61748.5</v>
      </c>
      <c r="E142" t="s">
        <v>139</v>
      </c>
      <c r="F142" t="s">
        <v>139</v>
      </c>
      <c r="G142">
        <v>13522.7</v>
      </c>
      <c r="H142" t="s">
        <v>139</v>
      </c>
      <c r="I142" t="s">
        <v>139</v>
      </c>
      <c r="J142">
        <v>95040.2</v>
      </c>
      <c r="K142">
        <v>34752.800000000003</v>
      </c>
      <c r="L142">
        <v>22825.9</v>
      </c>
      <c r="M142" t="s">
        <v>139</v>
      </c>
      <c r="N142" t="s">
        <v>139</v>
      </c>
      <c r="O142" t="s">
        <v>139</v>
      </c>
      <c r="P142" t="s">
        <v>139</v>
      </c>
      <c r="Q142" t="s">
        <v>139</v>
      </c>
      <c r="R142" t="s">
        <v>139</v>
      </c>
      <c r="S142" t="s">
        <v>139</v>
      </c>
      <c r="T142" t="s">
        <v>139</v>
      </c>
      <c r="U142">
        <v>19894</v>
      </c>
      <c r="V142" s="6" t="s">
        <v>139</v>
      </c>
      <c r="W142" t="s">
        <v>139</v>
      </c>
      <c r="X142" t="s">
        <v>139</v>
      </c>
      <c r="Y142" t="s">
        <v>139</v>
      </c>
      <c r="Z142" t="s">
        <v>139</v>
      </c>
      <c r="AA142" t="s">
        <v>139</v>
      </c>
      <c r="AB142" t="s">
        <v>139</v>
      </c>
      <c r="AC142" t="s">
        <v>139</v>
      </c>
      <c r="AD142" t="s">
        <v>139</v>
      </c>
      <c r="AE142" t="s">
        <v>139</v>
      </c>
      <c r="AF142" t="s">
        <v>139</v>
      </c>
      <c r="AG142" t="s">
        <v>139</v>
      </c>
      <c r="AH142" s="9" t="s">
        <v>139</v>
      </c>
      <c r="AI142" t="s">
        <v>139</v>
      </c>
      <c r="AJ142" t="s">
        <v>139</v>
      </c>
      <c r="AK142" t="s">
        <v>139</v>
      </c>
      <c r="AL142" t="s">
        <v>139</v>
      </c>
      <c r="AM142" t="s">
        <v>139</v>
      </c>
      <c r="AN142" t="s">
        <v>139</v>
      </c>
      <c r="AO142" s="9" t="s">
        <v>139</v>
      </c>
      <c r="AP142" t="s">
        <v>139</v>
      </c>
      <c r="AQ142" t="s">
        <v>139</v>
      </c>
      <c r="AR142" t="s">
        <v>139</v>
      </c>
    </row>
    <row r="143" spans="1:44" x14ac:dyDescent="0.4">
      <c r="A143" s="3" t="s">
        <v>274</v>
      </c>
      <c r="B143">
        <v>173596.5</v>
      </c>
      <c r="C143">
        <v>78033.899999999994</v>
      </c>
      <c r="D143">
        <v>64217.4</v>
      </c>
      <c r="E143" t="s">
        <v>139</v>
      </c>
      <c r="F143" t="s">
        <v>139</v>
      </c>
      <c r="G143">
        <v>13816.5</v>
      </c>
      <c r="H143" t="s">
        <v>139</v>
      </c>
      <c r="I143" t="s">
        <v>139</v>
      </c>
      <c r="J143">
        <v>95562.6</v>
      </c>
      <c r="K143">
        <v>34571.800000000003</v>
      </c>
      <c r="L143">
        <v>22899.1</v>
      </c>
      <c r="M143" t="s">
        <v>139</v>
      </c>
      <c r="N143" t="s">
        <v>139</v>
      </c>
      <c r="O143" t="s">
        <v>139</v>
      </c>
      <c r="P143" t="s">
        <v>139</v>
      </c>
      <c r="Q143" t="s">
        <v>139</v>
      </c>
      <c r="R143" t="s">
        <v>139</v>
      </c>
      <c r="S143" t="s">
        <v>139</v>
      </c>
      <c r="T143" t="s">
        <v>139</v>
      </c>
      <c r="U143">
        <v>19851.099999999999</v>
      </c>
      <c r="V143" s="6" t="s">
        <v>139</v>
      </c>
      <c r="W143" t="s">
        <v>139</v>
      </c>
      <c r="X143" t="s">
        <v>139</v>
      </c>
      <c r="Y143" t="s">
        <v>139</v>
      </c>
      <c r="Z143" t="s">
        <v>139</v>
      </c>
      <c r="AA143" t="s">
        <v>139</v>
      </c>
      <c r="AB143" t="s">
        <v>139</v>
      </c>
      <c r="AC143" t="s">
        <v>139</v>
      </c>
      <c r="AD143" t="s">
        <v>139</v>
      </c>
      <c r="AE143" t="s">
        <v>139</v>
      </c>
      <c r="AF143" t="s">
        <v>139</v>
      </c>
      <c r="AG143" t="s">
        <v>139</v>
      </c>
      <c r="AH143" s="9" t="s">
        <v>139</v>
      </c>
      <c r="AI143" t="s">
        <v>139</v>
      </c>
      <c r="AJ143" t="s">
        <v>139</v>
      </c>
      <c r="AK143" t="s">
        <v>139</v>
      </c>
      <c r="AL143" t="s">
        <v>139</v>
      </c>
      <c r="AM143" t="s">
        <v>139</v>
      </c>
      <c r="AN143" t="s">
        <v>139</v>
      </c>
      <c r="AO143" s="9" t="s">
        <v>139</v>
      </c>
      <c r="AP143" t="s">
        <v>139</v>
      </c>
      <c r="AQ143" t="s">
        <v>139</v>
      </c>
      <c r="AR143" t="s">
        <v>139</v>
      </c>
    </row>
    <row r="144" spans="1:44" x14ac:dyDescent="0.4">
      <c r="A144" s="3" t="s">
        <v>275</v>
      </c>
      <c r="B144">
        <v>175071.5</v>
      </c>
      <c r="C144">
        <v>79527.199999999997</v>
      </c>
      <c r="D144">
        <v>65551.8</v>
      </c>
      <c r="E144" t="s">
        <v>139</v>
      </c>
      <c r="F144" t="s">
        <v>139</v>
      </c>
      <c r="G144">
        <v>13975.4</v>
      </c>
      <c r="H144" t="s">
        <v>139</v>
      </c>
      <c r="I144" t="s">
        <v>139</v>
      </c>
      <c r="J144">
        <v>95544.3</v>
      </c>
      <c r="K144">
        <v>34437.5</v>
      </c>
      <c r="L144">
        <v>23036.799999999999</v>
      </c>
      <c r="M144" t="s">
        <v>139</v>
      </c>
      <c r="N144" t="s">
        <v>139</v>
      </c>
      <c r="O144" t="s">
        <v>139</v>
      </c>
      <c r="P144" t="s">
        <v>139</v>
      </c>
      <c r="Q144" t="s">
        <v>139</v>
      </c>
      <c r="R144" t="s">
        <v>139</v>
      </c>
      <c r="S144" t="s">
        <v>139</v>
      </c>
      <c r="T144" t="s">
        <v>139</v>
      </c>
      <c r="U144">
        <v>19869.099999999999</v>
      </c>
      <c r="V144" s="6" t="s">
        <v>139</v>
      </c>
      <c r="W144" t="s">
        <v>139</v>
      </c>
      <c r="X144" t="s">
        <v>139</v>
      </c>
      <c r="Y144" t="s">
        <v>139</v>
      </c>
      <c r="Z144" t="s">
        <v>139</v>
      </c>
      <c r="AA144" t="s">
        <v>139</v>
      </c>
      <c r="AB144" t="s">
        <v>139</v>
      </c>
      <c r="AC144" t="s">
        <v>139</v>
      </c>
      <c r="AD144" t="s">
        <v>139</v>
      </c>
      <c r="AE144" t="s">
        <v>139</v>
      </c>
      <c r="AF144" t="s">
        <v>139</v>
      </c>
      <c r="AG144" t="s">
        <v>139</v>
      </c>
      <c r="AH144" s="9" t="s">
        <v>139</v>
      </c>
      <c r="AI144" t="s">
        <v>139</v>
      </c>
      <c r="AJ144" t="s">
        <v>139</v>
      </c>
      <c r="AK144" t="s">
        <v>139</v>
      </c>
      <c r="AL144" t="s">
        <v>139</v>
      </c>
      <c r="AM144" t="s">
        <v>139</v>
      </c>
      <c r="AN144" t="s">
        <v>139</v>
      </c>
      <c r="AO144" s="9" t="s">
        <v>139</v>
      </c>
      <c r="AP144" t="s">
        <v>139</v>
      </c>
      <c r="AQ144" t="s">
        <v>139</v>
      </c>
      <c r="AR144" t="s">
        <v>139</v>
      </c>
    </row>
    <row r="145" spans="1:44" x14ac:dyDescent="0.4">
      <c r="A145" s="3" t="s">
        <v>276</v>
      </c>
      <c r="B145">
        <v>176945.9</v>
      </c>
      <c r="C145">
        <v>80948.399999999994</v>
      </c>
      <c r="D145">
        <v>66664.800000000003</v>
      </c>
      <c r="E145" t="s">
        <v>139</v>
      </c>
      <c r="F145" t="s">
        <v>139</v>
      </c>
      <c r="G145">
        <v>14283.6</v>
      </c>
      <c r="H145" t="s">
        <v>139</v>
      </c>
      <c r="I145" t="s">
        <v>139</v>
      </c>
      <c r="J145">
        <v>95997.5</v>
      </c>
      <c r="K145">
        <v>34271.800000000003</v>
      </c>
      <c r="L145">
        <v>23118.6</v>
      </c>
      <c r="M145" t="s">
        <v>139</v>
      </c>
      <c r="N145" t="s">
        <v>139</v>
      </c>
      <c r="O145" t="s">
        <v>139</v>
      </c>
      <c r="P145" t="s">
        <v>139</v>
      </c>
      <c r="Q145" t="s">
        <v>139</v>
      </c>
      <c r="R145" t="s">
        <v>139</v>
      </c>
      <c r="S145" t="s">
        <v>139</v>
      </c>
      <c r="T145" t="s">
        <v>139</v>
      </c>
      <c r="U145">
        <v>19788</v>
      </c>
      <c r="V145" s="6" t="s">
        <v>139</v>
      </c>
      <c r="W145" t="s">
        <v>139</v>
      </c>
      <c r="X145" t="s">
        <v>139</v>
      </c>
      <c r="Y145" t="s">
        <v>139</v>
      </c>
      <c r="Z145" t="s">
        <v>139</v>
      </c>
      <c r="AA145" t="s">
        <v>139</v>
      </c>
      <c r="AB145" t="s">
        <v>139</v>
      </c>
      <c r="AC145" t="s">
        <v>139</v>
      </c>
      <c r="AD145" t="s">
        <v>139</v>
      </c>
      <c r="AE145" t="s">
        <v>139</v>
      </c>
      <c r="AF145" t="s">
        <v>139</v>
      </c>
      <c r="AG145" t="s">
        <v>139</v>
      </c>
      <c r="AH145" s="9" t="s">
        <v>139</v>
      </c>
      <c r="AI145" t="s">
        <v>139</v>
      </c>
      <c r="AJ145" t="s">
        <v>139</v>
      </c>
      <c r="AK145" t="s">
        <v>139</v>
      </c>
      <c r="AL145" t="s">
        <v>139</v>
      </c>
      <c r="AM145" t="s">
        <v>139</v>
      </c>
      <c r="AN145" t="s">
        <v>139</v>
      </c>
      <c r="AO145" s="9" t="s">
        <v>139</v>
      </c>
      <c r="AP145" t="s">
        <v>139</v>
      </c>
      <c r="AQ145" t="s">
        <v>139</v>
      </c>
      <c r="AR145" t="s">
        <v>139</v>
      </c>
    </row>
    <row r="146" spans="1:44" x14ac:dyDescent="0.4">
      <c r="A146" s="3" t="s">
        <v>277</v>
      </c>
      <c r="B146">
        <v>177545.5</v>
      </c>
      <c r="C146">
        <v>81070.5</v>
      </c>
      <c r="D146">
        <v>66826.2</v>
      </c>
      <c r="E146" t="s">
        <v>139</v>
      </c>
      <c r="F146" t="s">
        <v>139</v>
      </c>
      <c r="G146">
        <v>14244.4</v>
      </c>
      <c r="H146" t="s">
        <v>139</v>
      </c>
      <c r="I146" t="s">
        <v>139</v>
      </c>
      <c r="J146">
        <v>96475</v>
      </c>
      <c r="K146">
        <v>34183.1</v>
      </c>
      <c r="L146">
        <v>23300.3</v>
      </c>
      <c r="M146" t="s">
        <v>139</v>
      </c>
      <c r="N146" t="s">
        <v>139</v>
      </c>
      <c r="O146" t="s">
        <v>139</v>
      </c>
      <c r="P146" t="s">
        <v>139</v>
      </c>
      <c r="Q146" t="s">
        <v>139</v>
      </c>
      <c r="R146" t="s">
        <v>139</v>
      </c>
      <c r="S146" t="s">
        <v>139</v>
      </c>
      <c r="T146" t="s">
        <v>139</v>
      </c>
      <c r="U146">
        <v>19942.599999999999</v>
      </c>
      <c r="V146" s="6" t="s">
        <v>139</v>
      </c>
      <c r="W146" t="s">
        <v>139</v>
      </c>
      <c r="X146" t="s">
        <v>139</v>
      </c>
      <c r="Y146" t="s">
        <v>139</v>
      </c>
      <c r="Z146" t="s">
        <v>139</v>
      </c>
      <c r="AA146" t="s">
        <v>139</v>
      </c>
      <c r="AB146" t="s">
        <v>139</v>
      </c>
      <c r="AC146" t="s">
        <v>139</v>
      </c>
      <c r="AD146" t="s">
        <v>139</v>
      </c>
      <c r="AE146" t="s">
        <v>139</v>
      </c>
      <c r="AF146" t="s">
        <v>139</v>
      </c>
      <c r="AG146" t="s">
        <v>139</v>
      </c>
      <c r="AH146" s="9" t="s">
        <v>139</v>
      </c>
      <c r="AI146" t="s">
        <v>139</v>
      </c>
      <c r="AJ146" t="s">
        <v>139</v>
      </c>
      <c r="AK146" t="s">
        <v>139</v>
      </c>
      <c r="AL146" t="s">
        <v>139</v>
      </c>
      <c r="AM146" t="s">
        <v>139</v>
      </c>
      <c r="AN146" t="s">
        <v>139</v>
      </c>
      <c r="AO146" s="9" t="s">
        <v>139</v>
      </c>
      <c r="AP146" t="s">
        <v>139</v>
      </c>
      <c r="AQ146" t="s">
        <v>139</v>
      </c>
      <c r="AR146" t="s">
        <v>139</v>
      </c>
    </row>
    <row r="147" spans="1:44" x14ac:dyDescent="0.4">
      <c r="A147" s="3" t="s">
        <v>278</v>
      </c>
      <c r="B147">
        <v>178598.6</v>
      </c>
      <c r="C147">
        <v>82373.5</v>
      </c>
      <c r="D147">
        <v>67988.800000000003</v>
      </c>
      <c r="E147" t="s">
        <v>139</v>
      </c>
      <c r="F147" t="s">
        <v>139</v>
      </c>
      <c r="G147">
        <v>14384.6</v>
      </c>
      <c r="H147" t="s">
        <v>139</v>
      </c>
      <c r="I147" t="s">
        <v>139</v>
      </c>
      <c r="J147">
        <v>96225.1</v>
      </c>
      <c r="K147">
        <v>34361.199999999997</v>
      </c>
      <c r="L147">
        <v>23515.200000000001</v>
      </c>
      <c r="M147" t="s">
        <v>139</v>
      </c>
      <c r="N147" t="s">
        <v>139</v>
      </c>
      <c r="O147" t="s">
        <v>139</v>
      </c>
      <c r="P147" t="s">
        <v>139</v>
      </c>
      <c r="Q147" t="s">
        <v>139</v>
      </c>
      <c r="R147" t="s">
        <v>139</v>
      </c>
      <c r="S147" t="s">
        <v>139</v>
      </c>
      <c r="T147" t="s">
        <v>139</v>
      </c>
      <c r="U147">
        <v>20153.099999999999</v>
      </c>
      <c r="V147" s="6" t="s">
        <v>139</v>
      </c>
      <c r="W147" t="s">
        <v>139</v>
      </c>
      <c r="X147" t="s">
        <v>139</v>
      </c>
      <c r="Y147" t="s">
        <v>139</v>
      </c>
      <c r="Z147" t="s">
        <v>139</v>
      </c>
      <c r="AA147" t="s">
        <v>139</v>
      </c>
      <c r="AB147" t="s">
        <v>139</v>
      </c>
      <c r="AC147" t="s">
        <v>139</v>
      </c>
      <c r="AD147" t="s">
        <v>139</v>
      </c>
      <c r="AE147" t="s">
        <v>139</v>
      </c>
      <c r="AF147" t="s">
        <v>139</v>
      </c>
      <c r="AG147" t="s">
        <v>139</v>
      </c>
      <c r="AH147" s="9" t="s">
        <v>139</v>
      </c>
      <c r="AI147" t="s">
        <v>139</v>
      </c>
      <c r="AJ147" t="s">
        <v>139</v>
      </c>
      <c r="AK147" t="s">
        <v>139</v>
      </c>
      <c r="AL147" t="s">
        <v>139</v>
      </c>
      <c r="AM147" t="s">
        <v>139</v>
      </c>
      <c r="AN147" t="s">
        <v>139</v>
      </c>
      <c r="AO147" s="9" t="s">
        <v>139</v>
      </c>
      <c r="AP147" t="s">
        <v>139</v>
      </c>
      <c r="AQ147" t="s">
        <v>139</v>
      </c>
      <c r="AR147" t="s">
        <v>139</v>
      </c>
    </row>
    <row r="148" spans="1:44" x14ac:dyDescent="0.4">
      <c r="A148" s="3" t="s">
        <v>279</v>
      </c>
      <c r="B148">
        <v>178788.1</v>
      </c>
      <c r="C148">
        <v>82457</v>
      </c>
      <c r="D148">
        <v>67765</v>
      </c>
      <c r="E148" t="s">
        <v>139</v>
      </c>
      <c r="F148" t="s">
        <v>139</v>
      </c>
      <c r="G148">
        <v>14692</v>
      </c>
      <c r="H148" t="s">
        <v>139</v>
      </c>
      <c r="I148" t="s">
        <v>139</v>
      </c>
      <c r="J148">
        <v>96331.1</v>
      </c>
      <c r="K148">
        <v>34523.699999999997</v>
      </c>
      <c r="L148">
        <v>23659.4</v>
      </c>
      <c r="M148" t="s">
        <v>139</v>
      </c>
      <c r="N148" t="s">
        <v>139</v>
      </c>
      <c r="O148" t="s">
        <v>139</v>
      </c>
      <c r="P148" t="s">
        <v>139</v>
      </c>
      <c r="Q148" t="s">
        <v>139</v>
      </c>
      <c r="R148" t="s">
        <v>139</v>
      </c>
      <c r="S148" t="s">
        <v>139</v>
      </c>
      <c r="T148" t="s">
        <v>139</v>
      </c>
      <c r="U148">
        <v>20104.599999999999</v>
      </c>
      <c r="V148" s="6" t="s">
        <v>139</v>
      </c>
      <c r="W148" t="s">
        <v>139</v>
      </c>
      <c r="X148" t="s">
        <v>139</v>
      </c>
      <c r="Y148" t="s">
        <v>139</v>
      </c>
      <c r="Z148" t="s">
        <v>139</v>
      </c>
      <c r="AA148" t="s">
        <v>139</v>
      </c>
      <c r="AB148" t="s">
        <v>139</v>
      </c>
      <c r="AC148" t="s">
        <v>139</v>
      </c>
      <c r="AD148" t="s">
        <v>139</v>
      </c>
      <c r="AE148" t="s">
        <v>139</v>
      </c>
      <c r="AF148" t="s">
        <v>139</v>
      </c>
      <c r="AG148" t="s">
        <v>139</v>
      </c>
      <c r="AH148" s="9" t="s">
        <v>139</v>
      </c>
      <c r="AI148" t="s">
        <v>139</v>
      </c>
      <c r="AJ148" t="s">
        <v>139</v>
      </c>
      <c r="AK148" t="s">
        <v>139</v>
      </c>
      <c r="AL148" t="s">
        <v>139</v>
      </c>
      <c r="AM148" t="s">
        <v>139</v>
      </c>
      <c r="AN148" t="s">
        <v>139</v>
      </c>
      <c r="AO148" s="9" t="s">
        <v>139</v>
      </c>
      <c r="AP148" t="s">
        <v>139</v>
      </c>
      <c r="AQ148" t="s">
        <v>139</v>
      </c>
      <c r="AR148" t="s">
        <v>139</v>
      </c>
    </row>
    <row r="149" spans="1:44" x14ac:dyDescent="0.4">
      <c r="A149" s="3" t="s">
        <v>280</v>
      </c>
      <c r="B149">
        <v>180125.3</v>
      </c>
      <c r="C149">
        <v>83193</v>
      </c>
      <c r="D149">
        <v>68413.2</v>
      </c>
      <c r="E149" t="s">
        <v>139</v>
      </c>
      <c r="F149" t="s">
        <v>139</v>
      </c>
      <c r="G149">
        <v>14779.9</v>
      </c>
      <c r="H149" t="s">
        <v>139</v>
      </c>
      <c r="I149" t="s">
        <v>139</v>
      </c>
      <c r="J149">
        <v>96932.3</v>
      </c>
      <c r="K149">
        <v>34751.800000000003</v>
      </c>
      <c r="L149">
        <v>23972.1</v>
      </c>
      <c r="M149" t="s">
        <v>139</v>
      </c>
      <c r="N149" t="s">
        <v>139</v>
      </c>
      <c r="O149" t="s">
        <v>139</v>
      </c>
      <c r="P149" t="s">
        <v>139</v>
      </c>
      <c r="Q149" t="s">
        <v>139</v>
      </c>
      <c r="R149" t="s">
        <v>139</v>
      </c>
      <c r="S149" t="s">
        <v>139</v>
      </c>
      <c r="T149" t="s">
        <v>139</v>
      </c>
      <c r="U149">
        <v>20117.400000000001</v>
      </c>
      <c r="V149" s="6" t="s">
        <v>139</v>
      </c>
      <c r="W149" t="s">
        <v>139</v>
      </c>
      <c r="X149" t="s">
        <v>139</v>
      </c>
      <c r="Y149" t="s">
        <v>139</v>
      </c>
      <c r="Z149" t="s">
        <v>139</v>
      </c>
      <c r="AA149" t="s">
        <v>139</v>
      </c>
      <c r="AB149" t="s">
        <v>139</v>
      </c>
      <c r="AC149" t="s">
        <v>139</v>
      </c>
      <c r="AD149" t="s">
        <v>139</v>
      </c>
      <c r="AE149" t="s">
        <v>139</v>
      </c>
      <c r="AF149" t="s">
        <v>139</v>
      </c>
      <c r="AG149" t="s">
        <v>139</v>
      </c>
      <c r="AH149" s="9" t="s">
        <v>139</v>
      </c>
      <c r="AI149" t="s">
        <v>139</v>
      </c>
      <c r="AJ149" t="s">
        <v>139</v>
      </c>
      <c r="AK149" t="s">
        <v>139</v>
      </c>
      <c r="AL149" t="s">
        <v>139</v>
      </c>
      <c r="AM149" t="s">
        <v>139</v>
      </c>
      <c r="AN149" t="s">
        <v>139</v>
      </c>
      <c r="AO149" s="9" t="s">
        <v>139</v>
      </c>
      <c r="AP149" t="s">
        <v>139</v>
      </c>
      <c r="AQ149" t="s">
        <v>139</v>
      </c>
      <c r="AR149" t="s">
        <v>139</v>
      </c>
    </row>
    <row r="150" spans="1:44" x14ac:dyDescent="0.4">
      <c r="A150" s="3" t="s">
        <v>281</v>
      </c>
      <c r="B150">
        <v>181730.7</v>
      </c>
      <c r="C150">
        <v>84056.8</v>
      </c>
      <c r="D150">
        <v>69322.8</v>
      </c>
      <c r="E150" t="s">
        <v>139</v>
      </c>
      <c r="F150" t="s">
        <v>139</v>
      </c>
      <c r="G150">
        <v>14734</v>
      </c>
      <c r="H150" t="s">
        <v>139</v>
      </c>
      <c r="I150" t="s">
        <v>139</v>
      </c>
      <c r="J150">
        <v>97673.9</v>
      </c>
      <c r="K150">
        <v>34915.599999999999</v>
      </c>
      <c r="L150">
        <v>24285.4</v>
      </c>
      <c r="M150" t="s">
        <v>139</v>
      </c>
      <c r="N150" t="s">
        <v>139</v>
      </c>
      <c r="O150" t="s">
        <v>139</v>
      </c>
      <c r="P150" t="s">
        <v>139</v>
      </c>
      <c r="Q150" t="s">
        <v>139</v>
      </c>
      <c r="R150" t="s">
        <v>139</v>
      </c>
      <c r="S150" t="s">
        <v>139</v>
      </c>
      <c r="T150" t="s">
        <v>139</v>
      </c>
      <c r="U150">
        <v>20234.2</v>
      </c>
      <c r="V150" s="6" t="s">
        <v>139</v>
      </c>
      <c r="W150" t="s">
        <v>139</v>
      </c>
      <c r="X150" t="s">
        <v>139</v>
      </c>
      <c r="Y150" t="s">
        <v>139</v>
      </c>
      <c r="Z150" t="s">
        <v>139</v>
      </c>
      <c r="AA150" t="s">
        <v>139</v>
      </c>
      <c r="AB150" t="s">
        <v>139</v>
      </c>
      <c r="AC150" t="s">
        <v>139</v>
      </c>
      <c r="AD150" t="s">
        <v>139</v>
      </c>
      <c r="AE150" t="s">
        <v>139</v>
      </c>
      <c r="AF150" t="s">
        <v>139</v>
      </c>
      <c r="AG150" t="s">
        <v>139</v>
      </c>
      <c r="AH150" s="9" t="s">
        <v>139</v>
      </c>
      <c r="AI150" t="s">
        <v>139</v>
      </c>
      <c r="AJ150" t="s">
        <v>139</v>
      </c>
      <c r="AK150" t="s">
        <v>139</v>
      </c>
      <c r="AL150" t="s">
        <v>139</v>
      </c>
      <c r="AM150" t="s">
        <v>139</v>
      </c>
      <c r="AN150" t="s">
        <v>139</v>
      </c>
      <c r="AO150" s="9" t="s">
        <v>139</v>
      </c>
      <c r="AP150" t="s">
        <v>139</v>
      </c>
      <c r="AQ150" t="s">
        <v>139</v>
      </c>
      <c r="AR150" t="s">
        <v>139</v>
      </c>
    </row>
    <row r="151" spans="1:44" x14ac:dyDescent="0.4">
      <c r="A151" s="3" t="s">
        <v>282</v>
      </c>
      <c r="B151">
        <v>182946.3</v>
      </c>
      <c r="C151">
        <v>84063.3</v>
      </c>
      <c r="D151">
        <v>69231</v>
      </c>
      <c r="E151" t="s">
        <v>139</v>
      </c>
      <c r="F151" t="s">
        <v>139</v>
      </c>
      <c r="G151">
        <v>14832.2</v>
      </c>
      <c r="H151" t="s">
        <v>139</v>
      </c>
      <c r="I151" t="s">
        <v>139</v>
      </c>
      <c r="J151">
        <v>98883.1</v>
      </c>
      <c r="K151">
        <v>34948.9</v>
      </c>
      <c r="L151">
        <v>24536.6</v>
      </c>
      <c r="M151" t="s">
        <v>139</v>
      </c>
      <c r="N151" t="s">
        <v>139</v>
      </c>
      <c r="O151" t="s">
        <v>139</v>
      </c>
      <c r="P151" t="s">
        <v>139</v>
      </c>
      <c r="Q151" t="s">
        <v>139</v>
      </c>
      <c r="R151" t="s">
        <v>139</v>
      </c>
      <c r="S151" t="s">
        <v>139</v>
      </c>
      <c r="T151" t="s">
        <v>139</v>
      </c>
      <c r="U151">
        <v>20433</v>
      </c>
      <c r="V151" s="6" t="s">
        <v>139</v>
      </c>
      <c r="W151" t="s">
        <v>139</v>
      </c>
      <c r="X151" t="s">
        <v>139</v>
      </c>
      <c r="Y151" t="s">
        <v>139</v>
      </c>
      <c r="Z151" t="s">
        <v>139</v>
      </c>
      <c r="AA151" t="s">
        <v>139</v>
      </c>
      <c r="AB151" t="s">
        <v>139</v>
      </c>
      <c r="AC151" t="s">
        <v>139</v>
      </c>
      <c r="AD151" t="s">
        <v>139</v>
      </c>
      <c r="AE151" t="s">
        <v>139</v>
      </c>
      <c r="AF151" t="s">
        <v>139</v>
      </c>
      <c r="AG151" t="s">
        <v>139</v>
      </c>
      <c r="AH151" s="9" t="s">
        <v>139</v>
      </c>
      <c r="AI151" t="s">
        <v>139</v>
      </c>
      <c r="AJ151" t="s">
        <v>139</v>
      </c>
      <c r="AK151" t="s">
        <v>139</v>
      </c>
      <c r="AL151" t="s">
        <v>139</v>
      </c>
      <c r="AM151" t="s">
        <v>139</v>
      </c>
      <c r="AN151" t="s">
        <v>139</v>
      </c>
      <c r="AO151" s="9" t="s">
        <v>139</v>
      </c>
      <c r="AP151" t="s">
        <v>139</v>
      </c>
      <c r="AQ151" t="s">
        <v>139</v>
      </c>
      <c r="AR151" t="s">
        <v>139</v>
      </c>
    </row>
    <row r="152" spans="1:44" x14ac:dyDescent="0.4">
      <c r="A152" s="3" t="s">
        <v>283</v>
      </c>
      <c r="B152">
        <v>184103.4</v>
      </c>
      <c r="C152">
        <v>84204.3</v>
      </c>
      <c r="D152">
        <v>69342.7</v>
      </c>
      <c r="E152" t="s">
        <v>139</v>
      </c>
      <c r="F152" t="s">
        <v>139</v>
      </c>
      <c r="G152">
        <v>14861.6</v>
      </c>
      <c r="H152" t="s">
        <v>139</v>
      </c>
      <c r="I152" t="s">
        <v>139</v>
      </c>
      <c r="J152">
        <v>99899.1</v>
      </c>
      <c r="K152">
        <v>35213</v>
      </c>
      <c r="L152">
        <v>24924.2</v>
      </c>
      <c r="M152" t="s">
        <v>139</v>
      </c>
      <c r="N152" t="s">
        <v>139</v>
      </c>
      <c r="O152" t="s">
        <v>139</v>
      </c>
      <c r="P152" t="s">
        <v>139</v>
      </c>
      <c r="Q152" t="s">
        <v>139</v>
      </c>
      <c r="R152" t="s">
        <v>139</v>
      </c>
      <c r="S152" t="s">
        <v>139</v>
      </c>
      <c r="T152" t="s">
        <v>139</v>
      </c>
      <c r="U152">
        <v>20728.2</v>
      </c>
      <c r="V152" s="6" t="s">
        <v>139</v>
      </c>
      <c r="W152" t="s">
        <v>139</v>
      </c>
      <c r="X152" t="s">
        <v>139</v>
      </c>
      <c r="Y152" t="s">
        <v>139</v>
      </c>
      <c r="Z152" t="s">
        <v>139</v>
      </c>
      <c r="AA152" t="s">
        <v>139</v>
      </c>
      <c r="AB152" t="s">
        <v>139</v>
      </c>
      <c r="AC152" t="s">
        <v>139</v>
      </c>
      <c r="AD152" t="s">
        <v>139</v>
      </c>
      <c r="AE152" t="s">
        <v>139</v>
      </c>
      <c r="AF152" t="s">
        <v>139</v>
      </c>
      <c r="AG152" t="s">
        <v>139</v>
      </c>
      <c r="AH152" s="9" t="s">
        <v>139</v>
      </c>
      <c r="AI152" t="s">
        <v>139</v>
      </c>
      <c r="AJ152" t="s">
        <v>139</v>
      </c>
      <c r="AK152" t="s">
        <v>139</v>
      </c>
      <c r="AL152" t="s">
        <v>139</v>
      </c>
      <c r="AM152" t="s">
        <v>139</v>
      </c>
      <c r="AN152" t="s">
        <v>139</v>
      </c>
      <c r="AO152" s="9" t="s">
        <v>139</v>
      </c>
      <c r="AP152" t="s">
        <v>139</v>
      </c>
      <c r="AQ152" t="s">
        <v>139</v>
      </c>
      <c r="AR152" t="s">
        <v>139</v>
      </c>
    </row>
    <row r="153" spans="1:44" x14ac:dyDescent="0.4">
      <c r="A153" s="3" t="s">
        <v>284</v>
      </c>
      <c r="B153">
        <v>183698.8</v>
      </c>
      <c r="C153">
        <v>83528</v>
      </c>
      <c r="D153">
        <v>68680</v>
      </c>
      <c r="E153" t="s">
        <v>139</v>
      </c>
      <c r="F153" t="s">
        <v>139</v>
      </c>
      <c r="G153">
        <v>14848</v>
      </c>
      <c r="H153" t="s">
        <v>139</v>
      </c>
      <c r="I153" t="s">
        <v>139</v>
      </c>
      <c r="J153">
        <v>100170.8</v>
      </c>
      <c r="K153">
        <v>35220.1</v>
      </c>
      <c r="L153">
        <v>25227</v>
      </c>
      <c r="M153" t="s">
        <v>139</v>
      </c>
      <c r="N153" t="s">
        <v>139</v>
      </c>
      <c r="O153" t="s">
        <v>139</v>
      </c>
      <c r="P153" t="s">
        <v>139</v>
      </c>
      <c r="Q153" t="s">
        <v>139</v>
      </c>
      <c r="R153" t="s">
        <v>139</v>
      </c>
      <c r="S153" t="s">
        <v>139</v>
      </c>
      <c r="T153" t="s">
        <v>139</v>
      </c>
      <c r="U153">
        <v>20960.3</v>
      </c>
      <c r="V153" s="6" t="s">
        <v>139</v>
      </c>
      <c r="W153" t="s">
        <v>139</v>
      </c>
      <c r="X153" t="s">
        <v>139</v>
      </c>
      <c r="Y153" t="s">
        <v>139</v>
      </c>
      <c r="Z153" t="s">
        <v>139</v>
      </c>
      <c r="AA153" t="s">
        <v>139</v>
      </c>
      <c r="AB153" t="s">
        <v>139</v>
      </c>
      <c r="AC153" t="s">
        <v>139</v>
      </c>
      <c r="AD153" t="s">
        <v>139</v>
      </c>
      <c r="AE153" t="s">
        <v>139</v>
      </c>
      <c r="AF153" t="s">
        <v>139</v>
      </c>
      <c r="AG153" t="s">
        <v>139</v>
      </c>
      <c r="AH153" s="9" t="s">
        <v>139</v>
      </c>
      <c r="AI153" t="s">
        <v>139</v>
      </c>
      <c r="AJ153" t="s">
        <v>139</v>
      </c>
      <c r="AK153" t="s">
        <v>139</v>
      </c>
      <c r="AL153" t="s">
        <v>139</v>
      </c>
      <c r="AM153" t="s">
        <v>139</v>
      </c>
      <c r="AN153" t="s">
        <v>139</v>
      </c>
      <c r="AO153" s="9" t="s">
        <v>139</v>
      </c>
      <c r="AP153" t="s">
        <v>139</v>
      </c>
      <c r="AQ153" t="s">
        <v>139</v>
      </c>
      <c r="AR153" t="s">
        <v>139</v>
      </c>
    </row>
    <row r="154" spans="1:44" x14ac:dyDescent="0.4">
      <c r="A154" s="3" t="s">
        <v>285</v>
      </c>
      <c r="B154">
        <v>182234.8</v>
      </c>
      <c r="C154">
        <v>81640.5</v>
      </c>
      <c r="D154">
        <v>66632.899999999994</v>
      </c>
      <c r="E154" t="s">
        <v>139</v>
      </c>
      <c r="F154" t="s">
        <v>139</v>
      </c>
      <c r="G154">
        <v>15007.6</v>
      </c>
      <c r="H154" t="s">
        <v>139</v>
      </c>
      <c r="I154" t="s">
        <v>139</v>
      </c>
      <c r="J154">
        <v>100594.3</v>
      </c>
      <c r="K154">
        <v>35130.400000000001</v>
      </c>
      <c r="L154">
        <v>25421.8</v>
      </c>
      <c r="M154" t="s">
        <v>139</v>
      </c>
      <c r="N154" t="s">
        <v>139</v>
      </c>
      <c r="O154" t="s">
        <v>139</v>
      </c>
      <c r="P154" t="s">
        <v>139</v>
      </c>
      <c r="Q154" t="s">
        <v>139</v>
      </c>
      <c r="R154" t="s">
        <v>139</v>
      </c>
      <c r="S154" t="s">
        <v>139</v>
      </c>
      <c r="T154" t="s">
        <v>139</v>
      </c>
      <c r="U154">
        <v>21209</v>
      </c>
      <c r="V154" s="6" t="s">
        <v>139</v>
      </c>
      <c r="W154" t="s">
        <v>139</v>
      </c>
      <c r="X154" t="s">
        <v>139</v>
      </c>
      <c r="Y154" t="s">
        <v>139</v>
      </c>
      <c r="Z154" t="s">
        <v>139</v>
      </c>
      <c r="AA154" t="s">
        <v>139</v>
      </c>
      <c r="AB154" t="s">
        <v>139</v>
      </c>
      <c r="AC154" t="s">
        <v>139</v>
      </c>
      <c r="AD154" t="s">
        <v>139</v>
      </c>
      <c r="AE154" t="s">
        <v>139</v>
      </c>
      <c r="AF154" t="s">
        <v>139</v>
      </c>
      <c r="AG154" t="s">
        <v>139</v>
      </c>
      <c r="AH154" s="9" t="s">
        <v>139</v>
      </c>
      <c r="AI154" t="s">
        <v>139</v>
      </c>
      <c r="AJ154" t="s">
        <v>139</v>
      </c>
      <c r="AK154" t="s">
        <v>139</v>
      </c>
      <c r="AL154" t="s">
        <v>139</v>
      </c>
      <c r="AM154" t="s">
        <v>139</v>
      </c>
      <c r="AN154" t="s">
        <v>139</v>
      </c>
      <c r="AO154" s="9" t="s">
        <v>139</v>
      </c>
      <c r="AP154" t="s">
        <v>139</v>
      </c>
      <c r="AQ154" t="s">
        <v>139</v>
      </c>
      <c r="AR154" t="s">
        <v>139</v>
      </c>
    </row>
    <row r="155" spans="1:44" x14ac:dyDescent="0.4">
      <c r="A155" s="3" t="s">
        <v>286</v>
      </c>
      <c r="B155">
        <v>183857.6</v>
      </c>
      <c r="C155">
        <v>81809.899999999994</v>
      </c>
      <c r="D155">
        <v>66547.100000000006</v>
      </c>
      <c r="E155" t="s">
        <v>139</v>
      </c>
      <c r="F155" t="s">
        <v>139</v>
      </c>
      <c r="G155">
        <v>15262.8</v>
      </c>
      <c r="H155" t="s">
        <v>139</v>
      </c>
      <c r="I155" t="s">
        <v>139</v>
      </c>
      <c r="J155">
        <v>102047.7</v>
      </c>
      <c r="K155">
        <v>35558.1</v>
      </c>
      <c r="L155">
        <v>25726.1</v>
      </c>
      <c r="M155" t="s">
        <v>139</v>
      </c>
      <c r="N155" t="s">
        <v>139</v>
      </c>
      <c r="O155" t="s">
        <v>139</v>
      </c>
      <c r="P155" t="s">
        <v>139</v>
      </c>
      <c r="Q155" t="s">
        <v>139</v>
      </c>
      <c r="R155" t="s">
        <v>139</v>
      </c>
      <c r="S155" t="s">
        <v>139</v>
      </c>
      <c r="T155" t="s">
        <v>139</v>
      </c>
      <c r="U155">
        <v>21489.3</v>
      </c>
      <c r="V155" s="6" t="s">
        <v>139</v>
      </c>
      <c r="W155" t="s">
        <v>139</v>
      </c>
      <c r="X155" t="s">
        <v>139</v>
      </c>
      <c r="Y155" t="s">
        <v>139</v>
      </c>
      <c r="Z155" t="s">
        <v>139</v>
      </c>
      <c r="AA155" t="s">
        <v>139</v>
      </c>
      <c r="AB155" t="s">
        <v>139</v>
      </c>
      <c r="AC155" t="s">
        <v>139</v>
      </c>
      <c r="AD155" t="s">
        <v>139</v>
      </c>
      <c r="AE155" t="s">
        <v>139</v>
      </c>
      <c r="AF155" t="s">
        <v>139</v>
      </c>
      <c r="AG155" t="s">
        <v>139</v>
      </c>
      <c r="AH155" s="9" t="s">
        <v>139</v>
      </c>
      <c r="AI155" t="s">
        <v>139</v>
      </c>
      <c r="AJ155" t="s">
        <v>139</v>
      </c>
      <c r="AK155" t="s">
        <v>139</v>
      </c>
      <c r="AL155" t="s">
        <v>139</v>
      </c>
      <c r="AM155" t="s">
        <v>139</v>
      </c>
      <c r="AN155" t="s">
        <v>139</v>
      </c>
      <c r="AO155" s="9" t="s">
        <v>139</v>
      </c>
      <c r="AP155" t="s">
        <v>139</v>
      </c>
      <c r="AQ155" t="s">
        <v>139</v>
      </c>
      <c r="AR155" t="s">
        <v>139</v>
      </c>
    </row>
    <row r="156" spans="1:44" x14ac:dyDescent="0.4">
      <c r="A156" s="3" t="s">
        <v>287</v>
      </c>
      <c r="B156">
        <v>184251.7</v>
      </c>
      <c r="C156">
        <v>80731.5</v>
      </c>
      <c r="D156">
        <v>65609.899999999994</v>
      </c>
      <c r="E156" t="s">
        <v>139</v>
      </c>
      <c r="F156" t="s">
        <v>139</v>
      </c>
      <c r="G156">
        <v>15121.6</v>
      </c>
      <c r="H156" t="s">
        <v>139</v>
      </c>
      <c r="I156" t="s">
        <v>139</v>
      </c>
      <c r="J156">
        <v>103520.2</v>
      </c>
      <c r="K156">
        <v>36306.400000000001</v>
      </c>
      <c r="L156">
        <v>26018.7</v>
      </c>
      <c r="M156" t="s">
        <v>139</v>
      </c>
      <c r="N156" t="s">
        <v>139</v>
      </c>
      <c r="O156" t="s">
        <v>139</v>
      </c>
      <c r="P156" t="s">
        <v>139</v>
      </c>
      <c r="Q156" t="s">
        <v>139</v>
      </c>
      <c r="R156" t="s">
        <v>139</v>
      </c>
      <c r="S156" t="s">
        <v>139</v>
      </c>
      <c r="T156" t="s">
        <v>139</v>
      </c>
      <c r="U156">
        <v>21718.799999999999</v>
      </c>
      <c r="V156" s="6" t="s">
        <v>139</v>
      </c>
      <c r="W156" t="s">
        <v>139</v>
      </c>
      <c r="X156" t="s">
        <v>139</v>
      </c>
      <c r="Y156" t="s">
        <v>139</v>
      </c>
      <c r="Z156" t="s">
        <v>139</v>
      </c>
      <c r="AA156" t="s">
        <v>139</v>
      </c>
      <c r="AB156" t="s">
        <v>139</v>
      </c>
      <c r="AC156" t="s">
        <v>139</v>
      </c>
      <c r="AD156" t="s">
        <v>139</v>
      </c>
      <c r="AE156" t="s">
        <v>139</v>
      </c>
      <c r="AF156" t="s">
        <v>139</v>
      </c>
      <c r="AG156" t="s">
        <v>139</v>
      </c>
      <c r="AH156" s="9" t="s">
        <v>139</v>
      </c>
      <c r="AI156" t="s">
        <v>139</v>
      </c>
      <c r="AJ156" t="s">
        <v>139</v>
      </c>
      <c r="AK156" t="s">
        <v>139</v>
      </c>
      <c r="AL156" t="s">
        <v>139</v>
      </c>
      <c r="AM156" t="s">
        <v>139</v>
      </c>
      <c r="AN156" t="s">
        <v>139</v>
      </c>
      <c r="AO156" s="9" t="s">
        <v>139</v>
      </c>
      <c r="AP156" t="s">
        <v>139</v>
      </c>
      <c r="AQ156" t="s">
        <v>139</v>
      </c>
      <c r="AR156" t="s">
        <v>139</v>
      </c>
    </row>
    <row r="157" spans="1:44" x14ac:dyDescent="0.4">
      <c r="A157" s="3" t="s">
        <v>288</v>
      </c>
      <c r="B157">
        <v>184024.7</v>
      </c>
      <c r="C157">
        <v>78697.2</v>
      </c>
      <c r="D157">
        <v>63596.5</v>
      </c>
      <c r="E157" t="s">
        <v>139</v>
      </c>
      <c r="F157" t="s">
        <v>139</v>
      </c>
      <c r="G157">
        <v>15100.7</v>
      </c>
      <c r="H157" t="s">
        <v>139</v>
      </c>
      <c r="I157" t="s">
        <v>139</v>
      </c>
      <c r="J157">
        <v>105327.5</v>
      </c>
      <c r="K157">
        <v>37140.400000000001</v>
      </c>
      <c r="L157">
        <v>26266.799999999999</v>
      </c>
      <c r="M157" t="s">
        <v>139</v>
      </c>
      <c r="N157" t="s">
        <v>139</v>
      </c>
      <c r="O157" t="s">
        <v>139</v>
      </c>
      <c r="P157" t="s">
        <v>139</v>
      </c>
      <c r="Q157" t="s">
        <v>139</v>
      </c>
      <c r="R157" t="s">
        <v>139</v>
      </c>
      <c r="S157" t="s">
        <v>139</v>
      </c>
      <c r="T157" t="s">
        <v>139</v>
      </c>
      <c r="U157">
        <v>21985.9</v>
      </c>
      <c r="V157" s="6" t="s">
        <v>139</v>
      </c>
      <c r="W157" t="s">
        <v>139</v>
      </c>
      <c r="X157" t="s">
        <v>139</v>
      </c>
      <c r="Y157" t="s">
        <v>139</v>
      </c>
      <c r="Z157" t="s">
        <v>139</v>
      </c>
      <c r="AA157" t="s">
        <v>139</v>
      </c>
      <c r="AB157" t="s">
        <v>139</v>
      </c>
      <c r="AC157" t="s">
        <v>139</v>
      </c>
      <c r="AD157" t="s">
        <v>139</v>
      </c>
      <c r="AE157" t="s">
        <v>139</v>
      </c>
      <c r="AF157" t="s">
        <v>139</v>
      </c>
      <c r="AG157" t="s">
        <v>139</v>
      </c>
      <c r="AH157" s="9" t="s">
        <v>139</v>
      </c>
      <c r="AI157" t="s">
        <v>139</v>
      </c>
      <c r="AJ157" t="s">
        <v>139</v>
      </c>
      <c r="AK157" t="s">
        <v>139</v>
      </c>
      <c r="AL157" t="s">
        <v>139</v>
      </c>
      <c r="AM157" t="s">
        <v>139</v>
      </c>
      <c r="AN157" t="s">
        <v>139</v>
      </c>
      <c r="AO157" s="9" t="s">
        <v>139</v>
      </c>
      <c r="AP157" t="s">
        <v>139</v>
      </c>
      <c r="AQ157" t="s">
        <v>139</v>
      </c>
      <c r="AR157" t="s">
        <v>139</v>
      </c>
    </row>
    <row r="158" spans="1:44" x14ac:dyDescent="0.4">
      <c r="A158" s="3" t="s">
        <v>289</v>
      </c>
      <c r="B158">
        <v>186547</v>
      </c>
      <c r="C158">
        <v>78998.399999999994</v>
      </c>
      <c r="D158">
        <v>63889.8</v>
      </c>
      <c r="E158" t="s">
        <v>139</v>
      </c>
      <c r="F158" t="s">
        <v>139</v>
      </c>
      <c r="G158">
        <v>15108.6</v>
      </c>
      <c r="H158" t="s">
        <v>139</v>
      </c>
      <c r="I158" t="s">
        <v>139</v>
      </c>
      <c r="J158">
        <v>107548.5</v>
      </c>
      <c r="K158">
        <v>37664.5</v>
      </c>
      <c r="L158">
        <v>26469.7</v>
      </c>
      <c r="M158" t="s">
        <v>139</v>
      </c>
      <c r="N158" t="s">
        <v>139</v>
      </c>
      <c r="O158" t="s">
        <v>139</v>
      </c>
      <c r="P158" t="s">
        <v>139</v>
      </c>
      <c r="Q158" t="s">
        <v>139</v>
      </c>
      <c r="R158" t="s">
        <v>139</v>
      </c>
      <c r="S158" t="s">
        <v>139</v>
      </c>
      <c r="T158" t="s">
        <v>139</v>
      </c>
      <c r="U158">
        <v>22425.599999999999</v>
      </c>
      <c r="V158" s="6" t="s">
        <v>139</v>
      </c>
      <c r="W158" t="s">
        <v>139</v>
      </c>
      <c r="X158" t="s">
        <v>139</v>
      </c>
      <c r="Y158" t="s">
        <v>139</v>
      </c>
      <c r="Z158" t="s">
        <v>139</v>
      </c>
      <c r="AA158" t="s">
        <v>139</v>
      </c>
      <c r="AB158" t="s">
        <v>139</v>
      </c>
      <c r="AC158" t="s">
        <v>139</v>
      </c>
      <c r="AD158" t="s">
        <v>139</v>
      </c>
      <c r="AE158" t="s">
        <v>139</v>
      </c>
      <c r="AF158" t="s">
        <v>139</v>
      </c>
      <c r="AG158" t="s">
        <v>139</v>
      </c>
      <c r="AH158" s="9" t="s">
        <v>139</v>
      </c>
      <c r="AI158" t="s">
        <v>139</v>
      </c>
      <c r="AJ158" t="s">
        <v>139</v>
      </c>
      <c r="AK158" t="s">
        <v>139</v>
      </c>
      <c r="AL158" t="s">
        <v>139</v>
      </c>
      <c r="AM158" t="s">
        <v>139</v>
      </c>
      <c r="AN158" t="s">
        <v>139</v>
      </c>
      <c r="AO158" s="9" t="s">
        <v>139</v>
      </c>
      <c r="AP158" t="s">
        <v>139</v>
      </c>
      <c r="AQ158" t="s">
        <v>139</v>
      </c>
      <c r="AR158" t="s">
        <v>139</v>
      </c>
    </row>
    <row r="159" spans="1:44" x14ac:dyDescent="0.4">
      <c r="A159" s="3" t="s">
        <v>290</v>
      </c>
      <c r="B159">
        <v>186140</v>
      </c>
      <c r="C159">
        <v>77304.5</v>
      </c>
      <c r="D159">
        <v>62243.4</v>
      </c>
      <c r="E159" t="s">
        <v>139</v>
      </c>
      <c r="F159" t="s">
        <v>139</v>
      </c>
      <c r="G159">
        <v>15061.2</v>
      </c>
      <c r="H159" t="s">
        <v>139</v>
      </c>
      <c r="I159" t="s">
        <v>139</v>
      </c>
      <c r="J159">
        <v>108835.4</v>
      </c>
      <c r="K159">
        <v>38089</v>
      </c>
      <c r="L159">
        <v>26634.9</v>
      </c>
      <c r="M159" t="s">
        <v>139</v>
      </c>
      <c r="N159" t="s">
        <v>139</v>
      </c>
      <c r="O159" t="s">
        <v>139</v>
      </c>
      <c r="P159" t="s">
        <v>139</v>
      </c>
      <c r="Q159" t="s">
        <v>139</v>
      </c>
      <c r="R159" t="s">
        <v>139</v>
      </c>
      <c r="S159" t="s">
        <v>139</v>
      </c>
      <c r="T159" t="s">
        <v>139</v>
      </c>
      <c r="U159">
        <v>22818.7</v>
      </c>
      <c r="V159" s="6" t="s">
        <v>139</v>
      </c>
      <c r="W159" t="s">
        <v>139</v>
      </c>
      <c r="X159" t="s">
        <v>139</v>
      </c>
      <c r="Y159" t="s">
        <v>139</v>
      </c>
      <c r="Z159" t="s">
        <v>139</v>
      </c>
      <c r="AA159" t="s">
        <v>139</v>
      </c>
      <c r="AB159" t="s">
        <v>139</v>
      </c>
      <c r="AC159" t="s">
        <v>139</v>
      </c>
      <c r="AD159" t="s">
        <v>139</v>
      </c>
      <c r="AE159" t="s">
        <v>139</v>
      </c>
      <c r="AF159" t="s">
        <v>139</v>
      </c>
      <c r="AG159" t="s">
        <v>139</v>
      </c>
      <c r="AH159" s="9" t="s">
        <v>139</v>
      </c>
      <c r="AI159" t="s">
        <v>139</v>
      </c>
      <c r="AJ159" t="s">
        <v>139</v>
      </c>
      <c r="AK159" t="s">
        <v>139</v>
      </c>
      <c r="AL159" t="s">
        <v>139</v>
      </c>
      <c r="AM159" t="s">
        <v>139</v>
      </c>
      <c r="AN159" t="s">
        <v>139</v>
      </c>
      <c r="AO159" s="9" t="s">
        <v>139</v>
      </c>
      <c r="AP159" t="s">
        <v>139</v>
      </c>
      <c r="AQ159" t="s">
        <v>139</v>
      </c>
      <c r="AR159" t="s">
        <v>139</v>
      </c>
    </row>
    <row r="160" spans="1:44" x14ac:dyDescent="0.4">
      <c r="A160" s="3" t="s">
        <v>291</v>
      </c>
      <c r="B160">
        <v>186552.9</v>
      </c>
      <c r="C160">
        <v>76892.600000000006</v>
      </c>
      <c r="D160">
        <v>61722.3</v>
      </c>
      <c r="E160" t="s">
        <v>139</v>
      </c>
      <c r="F160" t="s">
        <v>139</v>
      </c>
      <c r="G160">
        <v>15170.3</v>
      </c>
      <c r="H160" t="s">
        <v>139</v>
      </c>
      <c r="I160" t="s">
        <v>139</v>
      </c>
      <c r="J160">
        <v>109660.2</v>
      </c>
      <c r="K160">
        <v>38260.5</v>
      </c>
      <c r="L160">
        <v>26784.799999999999</v>
      </c>
      <c r="M160" t="s">
        <v>139</v>
      </c>
      <c r="N160" t="s">
        <v>139</v>
      </c>
      <c r="O160" t="s">
        <v>139</v>
      </c>
      <c r="P160" t="s">
        <v>139</v>
      </c>
      <c r="Q160" t="s">
        <v>139</v>
      </c>
      <c r="R160" t="s">
        <v>139</v>
      </c>
      <c r="S160" t="s">
        <v>139</v>
      </c>
      <c r="T160" t="s">
        <v>139</v>
      </c>
      <c r="U160">
        <v>23203.5</v>
      </c>
      <c r="V160" s="6" t="s">
        <v>139</v>
      </c>
      <c r="W160" t="s">
        <v>139</v>
      </c>
      <c r="X160" t="s">
        <v>139</v>
      </c>
      <c r="Y160" t="s">
        <v>139</v>
      </c>
      <c r="Z160" t="s">
        <v>139</v>
      </c>
      <c r="AA160" t="s">
        <v>139</v>
      </c>
      <c r="AB160" t="s">
        <v>139</v>
      </c>
      <c r="AC160" t="s">
        <v>139</v>
      </c>
      <c r="AD160" t="s">
        <v>139</v>
      </c>
      <c r="AE160" t="s">
        <v>139</v>
      </c>
      <c r="AF160" t="s">
        <v>139</v>
      </c>
      <c r="AG160" t="s">
        <v>139</v>
      </c>
      <c r="AH160" s="9" t="s">
        <v>139</v>
      </c>
      <c r="AI160" t="s">
        <v>139</v>
      </c>
      <c r="AJ160" t="s">
        <v>139</v>
      </c>
      <c r="AK160" t="s">
        <v>139</v>
      </c>
      <c r="AL160" t="s">
        <v>139</v>
      </c>
      <c r="AM160" t="s">
        <v>139</v>
      </c>
      <c r="AN160" t="s">
        <v>139</v>
      </c>
      <c r="AO160" s="9" t="s">
        <v>139</v>
      </c>
      <c r="AP160" t="s">
        <v>139</v>
      </c>
      <c r="AQ160" t="s">
        <v>139</v>
      </c>
      <c r="AR160" t="s">
        <v>139</v>
      </c>
    </row>
    <row r="161" spans="1:44" x14ac:dyDescent="0.4">
      <c r="A161" s="3" t="s">
        <v>292</v>
      </c>
      <c r="B161">
        <v>186356.6</v>
      </c>
      <c r="C161">
        <v>76223.5</v>
      </c>
      <c r="D161">
        <v>61066.1</v>
      </c>
      <c r="E161" t="s">
        <v>139</v>
      </c>
      <c r="F161" t="s">
        <v>139</v>
      </c>
      <c r="G161">
        <v>15157.4</v>
      </c>
      <c r="H161" t="s">
        <v>139</v>
      </c>
      <c r="I161" t="s">
        <v>139</v>
      </c>
      <c r="J161">
        <v>110133.2</v>
      </c>
      <c r="K161">
        <v>38411.300000000003</v>
      </c>
      <c r="L161">
        <v>26973.5</v>
      </c>
      <c r="M161" t="s">
        <v>139</v>
      </c>
      <c r="N161" t="s">
        <v>139</v>
      </c>
      <c r="O161" t="s">
        <v>139</v>
      </c>
      <c r="P161" t="s">
        <v>139</v>
      </c>
      <c r="Q161" t="s">
        <v>139</v>
      </c>
      <c r="R161" t="s">
        <v>139</v>
      </c>
      <c r="S161" t="s">
        <v>139</v>
      </c>
      <c r="T161" t="s">
        <v>139</v>
      </c>
      <c r="U161">
        <v>23584.7</v>
      </c>
      <c r="V161" s="6" t="s">
        <v>139</v>
      </c>
      <c r="W161" t="s">
        <v>139</v>
      </c>
      <c r="X161" t="s">
        <v>139</v>
      </c>
      <c r="Y161" t="s">
        <v>139</v>
      </c>
      <c r="Z161" t="s">
        <v>139</v>
      </c>
      <c r="AA161" t="s">
        <v>139</v>
      </c>
      <c r="AB161" t="s">
        <v>139</v>
      </c>
      <c r="AC161" t="s">
        <v>139</v>
      </c>
      <c r="AD161" t="s">
        <v>139</v>
      </c>
      <c r="AE161" t="s">
        <v>139</v>
      </c>
      <c r="AF161" t="s">
        <v>139</v>
      </c>
      <c r="AG161" t="s">
        <v>139</v>
      </c>
      <c r="AH161" s="9" t="s">
        <v>139</v>
      </c>
      <c r="AI161" t="s">
        <v>139</v>
      </c>
      <c r="AJ161" t="s">
        <v>139</v>
      </c>
      <c r="AK161" t="s">
        <v>139</v>
      </c>
      <c r="AL161" t="s">
        <v>139</v>
      </c>
      <c r="AM161" t="s">
        <v>139</v>
      </c>
      <c r="AN161" t="s">
        <v>139</v>
      </c>
      <c r="AO161" s="9" t="s">
        <v>139</v>
      </c>
      <c r="AP161" t="s">
        <v>139</v>
      </c>
      <c r="AQ161" t="s">
        <v>139</v>
      </c>
      <c r="AR161" t="s">
        <v>139</v>
      </c>
    </row>
    <row r="162" spans="1:44" x14ac:dyDescent="0.4">
      <c r="A162" s="3" t="s">
        <v>293</v>
      </c>
      <c r="B162">
        <v>186564.4</v>
      </c>
      <c r="C162">
        <v>75879.3</v>
      </c>
      <c r="D162">
        <v>60897.8</v>
      </c>
      <c r="E162" t="s">
        <v>139</v>
      </c>
      <c r="F162" t="s">
        <v>139</v>
      </c>
      <c r="G162">
        <v>14981.5</v>
      </c>
      <c r="H162" t="s">
        <v>139</v>
      </c>
      <c r="I162" t="s">
        <v>139</v>
      </c>
      <c r="J162">
        <v>110685.2</v>
      </c>
      <c r="K162">
        <v>38697.800000000003</v>
      </c>
      <c r="L162">
        <v>27134.3</v>
      </c>
      <c r="M162" t="s">
        <v>139</v>
      </c>
      <c r="N162" t="s">
        <v>139</v>
      </c>
      <c r="O162" t="s">
        <v>139</v>
      </c>
      <c r="P162" t="s">
        <v>139</v>
      </c>
      <c r="Q162" t="s">
        <v>139</v>
      </c>
      <c r="R162" t="s">
        <v>139</v>
      </c>
      <c r="S162" t="s">
        <v>139</v>
      </c>
      <c r="T162" t="s">
        <v>139</v>
      </c>
      <c r="U162">
        <v>23725.200000000001</v>
      </c>
      <c r="V162" s="6" t="s">
        <v>139</v>
      </c>
      <c r="W162" t="s">
        <v>139</v>
      </c>
      <c r="X162" t="s">
        <v>139</v>
      </c>
      <c r="Y162" t="s">
        <v>139</v>
      </c>
      <c r="Z162" t="s">
        <v>139</v>
      </c>
      <c r="AA162" t="s">
        <v>139</v>
      </c>
      <c r="AB162" t="s">
        <v>139</v>
      </c>
      <c r="AC162" t="s">
        <v>139</v>
      </c>
      <c r="AD162" t="s">
        <v>139</v>
      </c>
      <c r="AE162" t="s">
        <v>139</v>
      </c>
      <c r="AF162" t="s">
        <v>139</v>
      </c>
      <c r="AG162" t="s">
        <v>139</v>
      </c>
      <c r="AH162" s="9" t="s">
        <v>139</v>
      </c>
      <c r="AI162" t="s">
        <v>139</v>
      </c>
      <c r="AJ162" t="s">
        <v>139</v>
      </c>
      <c r="AK162" t="s">
        <v>139</v>
      </c>
      <c r="AL162" t="s">
        <v>139</v>
      </c>
      <c r="AM162" t="s">
        <v>139</v>
      </c>
      <c r="AN162" t="s">
        <v>139</v>
      </c>
      <c r="AO162" s="9" t="s">
        <v>139</v>
      </c>
      <c r="AP162" t="s">
        <v>139</v>
      </c>
      <c r="AQ162" t="s">
        <v>139</v>
      </c>
      <c r="AR162" t="s">
        <v>139</v>
      </c>
    </row>
    <row r="163" spans="1:44" x14ac:dyDescent="0.4">
      <c r="A163" s="3" t="s">
        <v>294</v>
      </c>
      <c r="B163">
        <v>189231.8</v>
      </c>
      <c r="C163">
        <v>76171.100000000006</v>
      </c>
      <c r="D163">
        <v>61164.2</v>
      </c>
      <c r="E163" t="s">
        <v>139</v>
      </c>
      <c r="F163" t="s">
        <v>139</v>
      </c>
      <c r="G163">
        <v>15006.8</v>
      </c>
      <c r="H163" t="s">
        <v>139</v>
      </c>
      <c r="I163" t="s">
        <v>139</v>
      </c>
      <c r="J163">
        <v>113060.8</v>
      </c>
      <c r="K163">
        <v>39293.199999999997</v>
      </c>
      <c r="L163">
        <v>27505.9</v>
      </c>
      <c r="M163" t="s">
        <v>139</v>
      </c>
      <c r="N163" t="s">
        <v>139</v>
      </c>
      <c r="O163" t="s">
        <v>139</v>
      </c>
      <c r="P163" t="s">
        <v>139</v>
      </c>
      <c r="Q163" t="s">
        <v>139</v>
      </c>
      <c r="R163" t="s">
        <v>139</v>
      </c>
      <c r="S163" t="s">
        <v>139</v>
      </c>
      <c r="T163" t="s">
        <v>139</v>
      </c>
      <c r="U163">
        <v>24066.6</v>
      </c>
      <c r="V163" s="6" t="s">
        <v>139</v>
      </c>
      <c r="W163" t="s">
        <v>139</v>
      </c>
      <c r="X163" t="s">
        <v>139</v>
      </c>
      <c r="Y163" t="s">
        <v>139</v>
      </c>
      <c r="Z163" t="s">
        <v>139</v>
      </c>
      <c r="AA163" t="s">
        <v>139</v>
      </c>
      <c r="AB163" t="s">
        <v>139</v>
      </c>
      <c r="AC163" t="s">
        <v>139</v>
      </c>
      <c r="AD163" t="s">
        <v>139</v>
      </c>
      <c r="AE163" t="s">
        <v>139</v>
      </c>
      <c r="AF163" t="s">
        <v>139</v>
      </c>
      <c r="AG163" t="s">
        <v>139</v>
      </c>
      <c r="AH163" s="9" t="s">
        <v>139</v>
      </c>
      <c r="AI163" t="s">
        <v>139</v>
      </c>
      <c r="AJ163" t="s">
        <v>139</v>
      </c>
      <c r="AK163" t="s">
        <v>139</v>
      </c>
      <c r="AL163" t="s">
        <v>139</v>
      </c>
      <c r="AM163" t="s">
        <v>139</v>
      </c>
      <c r="AN163" t="s">
        <v>139</v>
      </c>
      <c r="AO163" s="9" t="s">
        <v>139</v>
      </c>
      <c r="AP163" t="s">
        <v>139</v>
      </c>
      <c r="AQ163" t="s">
        <v>139</v>
      </c>
      <c r="AR163" t="s">
        <v>139</v>
      </c>
    </row>
    <row r="164" spans="1:44" x14ac:dyDescent="0.4">
      <c r="A164" s="3" t="s">
        <v>295</v>
      </c>
      <c r="B164">
        <v>188780.79999999999</v>
      </c>
      <c r="C164">
        <v>75451.5</v>
      </c>
      <c r="D164">
        <v>60478.1</v>
      </c>
      <c r="E164" t="s">
        <v>139</v>
      </c>
      <c r="F164" t="s">
        <v>139</v>
      </c>
      <c r="G164">
        <v>14973.4</v>
      </c>
      <c r="H164" t="s">
        <v>139</v>
      </c>
      <c r="I164" t="s">
        <v>139</v>
      </c>
      <c r="J164">
        <v>113329.3</v>
      </c>
      <c r="K164">
        <v>39629.1</v>
      </c>
      <c r="L164">
        <v>27623</v>
      </c>
      <c r="M164" t="s">
        <v>139</v>
      </c>
      <c r="N164" t="s">
        <v>139</v>
      </c>
      <c r="O164" t="s">
        <v>139</v>
      </c>
      <c r="P164" t="s">
        <v>139</v>
      </c>
      <c r="Q164" t="s">
        <v>139</v>
      </c>
      <c r="R164" t="s">
        <v>139</v>
      </c>
      <c r="S164" t="s">
        <v>139</v>
      </c>
      <c r="T164" t="s">
        <v>139</v>
      </c>
      <c r="U164">
        <v>24274.799999999999</v>
      </c>
      <c r="V164" s="6" t="s">
        <v>139</v>
      </c>
      <c r="W164" t="s">
        <v>139</v>
      </c>
      <c r="X164" t="s">
        <v>139</v>
      </c>
      <c r="Y164" t="s">
        <v>139</v>
      </c>
      <c r="Z164" t="s">
        <v>139</v>
      </c>
      <c r="AA164" t="s">
        <v>139</v>
      </c>
      <c r="AB164" t="s">
        <v>139</v>
      </c>
      <c r="AC164" t="s">
        <v>139</v>
      </c>
      <c r="AD164" t="s">
        <v>139</v>
      </c>
      <c r="AE164" t="s">
        <v>139</v>
      </c>
      <c r="AF164" t="s">
        <v>139</v>
      </c>
      <c r="AG164" t="s">
        <v>139</v>
      </c>
      <c r="AH164" s="9" t="s">
        <v>139</v>
      </c>
      <c r="AI164" t="s">
        <v>139</v>
      </c>
      <c r="AJ164" t="s">
        <v>139</v>
      </c>
      <c r="AK164" t="s">
        <v>139</v>
      </c>
      <c r="AL164" t="s">
        <v>139</v>
      </c>
      <c r="AM164" t="s">
        <v>139</v>
      </c>
      <c r="AN164" t="s">
        <v>139</v>
      </c>
      <c r="AO164" s="9" t="s">
        <v>139</v>
      </c>
      <c r="AP164" t="s">
        <v>139</v>
      </c>
      <c r="AQ164" t="s">
        <v>139</v>
      </c>
      <c r="AR164" t="s">
        <v>139</v>
      </c>
    </row>
    <row r="165" spans="1:44" x14ac:dyDescent="0.4">
      <c r="A165" s="3" t="s">
        <v>296</v>
      </c>
      <c r="B165">
        <v>186427.2</v>
      </c>
      <c r="C165">
        <v>73336.3</v>
      </c>
      <c r="D165">
        <v>58494.9</v>
      </c>
      <c r="E165" t="s">
        <v>139</v>
      </c>
      <c r="F165" t="s">
        <v>139</v>
      </c>
      <c r="G165">
        <v>14841.4</v>
      </c>
      <c r="H165" t="s">
        <v>139</v>
      </c>
      <c r="I165" t="s">
        <v>139</v>
      </c>
      <c r="J165">
        <v>113090.8</v>
      </c>
      <c r="K165">
        <v>39787.199999999997</v>
      </c>
      <c r="L165">
        <v>27696</v>
      </c>
      <c r="M165" t="s">
        <v>139</v>
      </c>
      <c r="N165" t="s">
        <v>139</v>
      </c>
      <c r="O165" t="s">
        <v>139</v>
      </c>
      <c r="P165" t="s">
        <v>139</v>
      </c>
      <c r="Q165" t="s">
        <v>139</v>
      </c>
      <c r="R165" t="s">
        <v>139</v>
      </c>
      <c r="S165" t="s">
        <v>139</v>
      </c>
      <c r="T165" t="s">
        <v>139</v>
      </c>
      <c r="U165">
        <v>24439.200000000001</v>
      </c>
      <c r="V165" s="6" t="s">
        <v>139</v>
      </c>
      <c r="W165" t="s">
        <v>139</v>
      </c>
      <c r="X165" t="s">
        <v>139</v>
      </c>
      <c r="Y165" t="s">
        <v>139</v>
      </c>
      <c r="Z165" t="s">
        <v>139</v>
      </c>
      <c r="AA165" t="s">
        <v>139</v>
      </c>
      <c r="AB165" t="s">
        <v>139</v>
      </c>
      <c r="AC165" t="s">
        <v>139</v>
      </c>
      <c r="AD165" t="s">
        <v>139</v>
      </c>
      <c r="AE165" t="s">
        <v>139</v>
      </c>
      <c r="AF165" t="s">
        <v>139</v>
      </c>
      <c r="AG165" t="s">
        <v>139</v>
      </c>
      <c r="AH165" s="9" t="s">
        <v>139</v>
      </c>
      <c r="AI165" t="s">
        <v>139</v>
      </c>
      <c r="AJ165" t="s">
        <v>139</v>
      </c>
      <c r="AK165" t="s">
        <v>139</v>
      </c>
      <c r="AL165" t="s">
        <v>139</v>
      </c>
      <c r="AM165" t="s">
        <v>139</v>
      </c>
      <c r="AN165" t="s">
        <v>139</v>
      </c>
      <c r="AO165" s="9" t="s">
        <v>139</v>
      </c>
      <c r="AP165" t="s">
        <v>139</v>
      </c>
      <c r="AQ165" t="s">
        <v>139</v>
      </c>
      <c r="AR165" t="s">
        <v>139</v>
      </c>
    </row>
    <row r="166" spans="1:44" x14ac:dyDescent="0.4">
      <c r="A166" s="3" t="s">
        <v>297</v>
      </c>
      <c r="B166">
        <v>185225.7</v>
      </c>
      <c r="C166">
        <v>71529.600000000006</v>
      </c>
      <c r="D166">
        <v>56684.800000000003</v>
      </c>
      <c r="E166" t="s">
        <v>139</v>
      </c>
      <c r="F166" t="s">
        <v>139</v>
      </c>
      <c r="G166">
        <v>14844.8</v>
      </c>
      <c r="H166" t="s">
        <v>139</v>
      </c>
      <c r="I166" t="s">
        <v>139</v>
      </c>
      <c r="J166">
        <v>113696</v>
      </c>
      <c r="K166">
        <v>40018</v>
      </c>
      <c r="L166">
        <v>27786.2</v>
      </c>
      <c r="M166" t="s">
        <v>139</v>
      </c>
      <c r="N166" t="s">
        <v>139</v>
      </c>
      <c r="O166" t="s">
        <v>139</v>
      </c>
      <c r="P166" t="s">
        <v>139</v>
      </c>
      <c r="Q166" t="s">
        <v>139</v>
      </c>
      <c r="R166" t="s">
        <v>139</v>
      </c>
      <c r="S166" t="s">
        <v>139</v>
      </c>
      <c r="T166" t="s">
        <v>139</v>
      </c>
      <c r="U166">
        <v>24640.3</v>
      </c>
      <c r="V166" s="6" t="s">
        <v>139</v>
      </c>
      <c r="W166" t="s">
        <v>139</v>
      </c>
      <c r="X166" t="s">
        <v>139</v>
      </c>
      <c r="Y166" t="s">
        <v>139</v>
      </c>
      <c r="Z166" t="s">
        <v>139</v>
      </c>
      <c r="AA166" t="s">
        <v>139</v>
      </c>
      <c r="AB166" t="s">
        <v>139</v>
      </c>
      <c r="AC166" t="s">
        <v>139</v>
      </c>
      <c r="AD166" t="s">
        <v>139</v>
      </c>
      <c r="AE166" t="s">
        <v>139</v>
      </c>
      <c r="AF166" t="s">
        <v>139</v>
      </c>
      <c r="AG166" t="s">
        <v>139</v>
      </c>
      <c r="AH166" s="9" t="s">
        <v>139</v>
      </c>
      <c r="AI166" t="s">
        <v>139</v>
      </c>
      <c r="AJ166" t="s">
        <v>139</v>
      </c>
      <c r="AK166" t="s">
        <v>139</v>
      </c>
      <c r="AL166" t="s">
        <v>139</v>
      </c>
      <c r="AM166" t="s">
        <v>139</v>
      </c>
      <c r="AN166" t="s">
        <v>139</v>
      </c>
      <c r="AO166" s="9" t="s">
        <v>139</v>
      </c>
      <c r="AP166" t="s">
        <v>139</v>
      </c>
      <c r="AQ166" t="s">
        <v>139</v>
      </c>
      <c r="AR166" t="s">
        <v>139</v>
      </c>
    </row>
    <row r="167" spans="1:44" x14ac:dyDescent="0.4">
      <c r="A167" s="3" t="s">
        <v>298</v>
      </c>
      <c r="B167">
        <v>186135</v>
      </c>
      <c r="C167">
        <v>71471.8</v>
      </c>
      <c r="D167">
        <v>56645.4</v>
      </c>
      <c r="E167" t="s">
        <v>139</v>
      </c>
      <c r="F167" t="s">
        <v>139</v>
      </c>
      <c r="G167">
        <v>14826.4</v>
      </c>
      <c r="H167" t="s">
        <v>139</v>
      </c>
      <c r="I167" t="s">
        <v>139</v>
      </c>
      <c r="J167">
        <v>114663.2</v>
      </c>
      <c r="K167">
        <v>40515.199999999997</v>
      </c>
      <c r="L167">
        <v>27831.9</v>
      </c>
      <c r="M167" t="s">
        <v>139</v>
      </c>
      <c r="N167" t="s">
        <v>139</v>
      </c>
      <c r="O167" t="s">
        <v>139</v>
      </c>
      <c r="P167" t="s">
        <v>139</v>
      </c>
      <c r="Q167" t="s">
        <v>139</v>
      </c>
      <c r="R167" t="s">
        <v>139</v>
      </c>
      <c r="S167" t="s">
        <v>139</v>
      </c>
      <c r="T167" t="s">
        <v>139</v>
      </c>
      <c r="U167">
        <v>24824.1</v>
      </c>
      <c r="V167" s="6" t="s">
        <v>139</v>
      </c>
      <c r="W167" t="s">
        <v>139</v>
      </c>
      <c r="X167" t="s">
        <v>139</v>
      </c>
      <c r="Y167" t="s">
        <v>139</v>
      </c>
      <c r="Z167" t="s">
        <v>139</v>
      </c>
      <c r="AA167" t="s">
        <v>139</v>
      </c>
      <c r="AB167" t="s">
        <v>139</v>
      </c>
      <c r="AC167" t="s">
        <v>139</v>
      </c>
      <c r="AD167" t="s">
        <v>139</v>
      </c>
      <c r="AE167" t="s">
        <v>139</v>
      </c>
      <c r="AF167" t="s">
        <v>139</v>
      </c>
      <c r="AG167" t="s">
        <v>139</v>
      </c>
      <c r="AH167" s="9" t="s">
        <v>139</v>
      </c>
      <c r="AI167" t="s">
        <v>139</v>
      </c>
      <c r="AJ167" t="s">
        <v>139</v>
      </c>
      <c r="AK167" t="s">
        <v>139</v>
      </c>
      <c r="AL167" t="s">
        <v>139</v>
      </c>
      <c r="AM167" t="s">
        <v>139</v>
      </c>
      <c r="AN167" t="s">
        <v>139</v>
      </c>
      <c r="AO167" s="9" t="s">
        <v>139</v>
      </c>
      <c r="AP167" t="s">
        <v>139</v>
      </c>
      <c r="AQ167" t="s">
        <v>139</v>
      </c>
      <c r="AR167" t="s">
        <v>139</v>
      </c>
    </row>
    <row r="168" spans="1:44" x14ac:dyDescent="0.4">
      <c r="A168" s="3" t="s">
        <v>299</v>
      </c>
      <c r="B168">
        <v>187008.5</v>
      </c>
      <c r="C168">
        <v>71685.8</v>
      </c>
      <c r="D168">
        <v>57004</v>
      </c>
      <c r="E168" t="s">
        <v>139</v>
      </c>
      <c r="F168" t="s">
        <v>139</v>
      </c>
      <c r="G168">
        <v>14681.7</v>
      </c>
      <c r="H168" t="s">
        <v>139</v>
      </c>
      <c r="I168" t="s">
        <v>139</v>
      </c>
      <c r="J168">
        <v>115322.7</v>
      </c>
      <c r="K168">
        <v>40892.6</v>
      </c>
      <c r="L168">
        <v>27823.5</v>
      </c>
      <c r="M168" t="s">
        <v>139</v>
      </c>
      <c r="N168" t="s">
        <v>139</v>
      </c>
      <c r="O168" t="s">
        <v>139</v>
      </c>
      <c r="P168" t="s">
        <v>139</v>
      </c>
      <c r="Q168" t="s">
        <v>139</v>
      </c>
      <c r="R168" t="s">
        <v>139</v>
      </c>
      <c r="S168" t="s">
        <v>139</v>
      </c>
      <c r="T168" t="s">
        <v>139</v>
      </c>
      <c r="U168">
        <v>24972.5</v>
      </c>
      <c r="V168" s="6" t="s">
        <v>139</v>
      </c>
      <c r="W168" t="s">
        <v>139</v>
      </c>
      <c r="X168" t="s">
        <v>139</v>
      </c>
      <c r="Y168" t="s">
        <v>139</v>
      </c>
      <c r="Z168" t="s">
        <v>139</v>
      </c>
      <c r="AA168" t="s">
        <v>139</v>
      </c>
      <c r="AB168" t="s">
        <v>139</v>
      </c>
      <c r="AC168" t="s">
        <v>139</v>
      </c>
      <c r="AD168" t="s">
        <v>139</v>
      </c>
      <c r="AE168" t="s">
        <v>139</v>
      </c>
      <c r="AF168" t="s">
        <v>139</v>
      </c>
      <c r="AG168" t="s">
        <v>139</v>
      </c>
      <c r="AH168" s="9" t="s">
        <v>139</v>
      </c>
      <c r="AI168" t="s">
        <v>139</v>
      </c>
      <c r="AJ168" t="s">
        <v>139</v>
      </c>
      <c r="AK168" t="s">
        <v>139</v>
      </c>
      <c r="AL168" t="s">
        <v>139</v>
      </c>
      <c r="AM168" t="s">
        <v>139</v>
      </c>
      <c r="AN168" t="s">
        <v>139</v>
      </c>
      <c r="AO168" s="9" t="s">
        <v>139</v>
      </c>
      <c r="AP168" t="s">
        <v>139</v>
      </c>
      <c r="AQ168" t="s">
        <v>139</v>
      </c>
      <c r="AR168" t="s">
        <v>139</v>
      </c>
    </row>
    <row r="169" spans="1:44" x14ac:dyDescent="0.4">
      <c r="A169" s="3" t="s">
        <v>300</v>
      </c>
      <c r="B169">
        <v>187274.1</v>
      </c>
      <c r="C169">
        <v>71186.399999999994</v>
      </c>
      <c r="D169">
        <v>56443</v>
      </c>
      <c r="E169" t="s">
        <v>139</v>
      </c>
      <c r="F169" t="s">
        <v>139</v>
      </c>
      <c r="G169">
        <v>14743.4</v>
      </c>
      <c r="H169" t="s">
        <v>139</v>
      </c>
      <c r="I169" t="s">
        <v>139</v>
      </c>
      <c r="J169">
        <v>116087.8</v>
      </c>
      <c r="K169">
        <v>41356.400000000001</v>
      </c>
      <c r="L169">
        <v>27793.3</v>
      </c>
      <c r="M169" t="s">
        <v>139</v>
      </c>
      <c r="N169" t="s">
        <v>139</v>
      </c>
      <c r="O169" t="s">
        <v>139</v>
      </c>
      <c r="P169" t="s">
        <v>139</v>
      </c>
      <c r="Q169" t="s">
        <v>139</v>
      </c>
      <c r="R169" t="s">
        <v>139</v>
      </c>
      <c r="S169" t="s">
        <v>139</v>
      </c>
      <c r="T169" t="s">
        <v>139</v>
      </c>
      <c r="U169">
        <v>25126.400000000001</v>
      </c>
      <c r="V169" s="6" t="s">
        <v>139</v>
      </c>
      <c r="W169" t="s">
        <v>139</v>
      </c>
      <c r="X169" t="s">
        <v>139</v>
      </c>
      <c r="Y169" t="s">
        <v>139</v>
      </c>
      <c r="Z169" t="s">
        <v>139</v>
      </c>
      <c r="AA169" t="s">
        <v>139</v>
      </c>
      <c r="AB169" t="s">
        <v>139</v>
      </c>
      <c r="AC169" t="s">
        <v>139</v>
      </c>
      <c r="AD169" t="s">
        <v>139</v>
      </c>
      <c r="AE169" t="s">
        <v>139</v>
      </c>
      <c r="AF169" t="s">
        <v>139</v>
      </c>
      <c r="AG169" t="s">
        <v>139</v>
      </c>
      <c r="AH169" s="9" t="s">
        <v>139</v>
      </c>
      <c r="AI169" t="s">
        <v>139</v>
      </c>
      <c r="AJ169" t="s">
        <v>139</v>
      </c>
      <c r="AK169" t="s">
        <v>139</v>
      </c>
      <c r="AL169" t="s">
        <v>139</v>
      </c>
      <c r="AM169" t="s">
        <v>139</v>
      </c>
      <c r="AN169" t="s">
        <v>139</v>
      </c>
      <c r="AO169" s="9" t="s">
        <v>139</v>
      </c>
      <c r="AP169" t="s">
        <v>139</v>
      </c>
      <c r="AQ169" t="s">
        <v>139</v>
      </c>
      <c r="AR169" t="s">
        <v>139</v>
      </c>
    </row>
    <row r="170" spans="1:44" x14ac:dyDescent="0.4">
      <c r="A170" s="3" t="s">
        <v>301</v>
      </c>
      <c r="B170">
        <v>189579.6</v>
      </c>
      <c r="C170">
        <v>73002</v>
      </c>
      <c r="D170">
        <v>58244</v>
      </c>
      <c r="E170" t="s">
        <v>139</v>
      </c>
      <c r="F170" t="s">
        <v>139</v>
      </c>
      <c r="G170">
        <v>14758</v>
      </c>
      <c r="H170" t="s">
        <v>139</v>
      </c>
      <c r="I170" t="s">
        <v>139</v>
      </c>
      <c r="J170">
        <v>116577.60000000001</v>
      </c>
      <c r="K170">
        <v>41395.800000000003</v>
      </c>
      <c r="L170">
        <v>27803.200000000001</v>
      </c>
      <c r="M170" t="s">
        <v>139</v>
      </c>
      <c r="N170" t="s">
        <v>139</v>
      </c>
      <c r="O170" t="s">
        <v>139</v>
      </c>
      <c r="P170" t="s">
        <v>139</v>
      </c>
      <c r="Q170" t="s">
        <v>139</v>
      </c>
      <c r="R170" t="s">
        <v>139</v>
      </c>
      <c r="S170" t="s">
        <v>139</v>
      </c>
      <c r="T170" t="s">
        <v>139</v>
      </c>
      <c r="U170">
        <v>25379.7</v>
      </c>
      <c r="V170" s="6" t="s">
        <v>139</v>
      </c>
      <c r="W170" t="s">
        <v>139</v>
      </c>
      <c r="X170" t="s">
        <v>139</v>
      </c>
      <c r="Y170" t="s">
        <v>139</v>
      </c>
      <c r="Z170" t="s">
        <v>139</v>
      </c>
      <c r="AA170" t="s">
        <v>139</v>
      </c>
      <c r="AB170" t="s">
        <v>139</v>
      </c>
      <c r="AC170" t="s">
        <v>139</v>
      </c>
      <c r="AD170" t="s">
        <v>139</v>
      </c>
      <c r="AE170" t="s">
        <v>139</v>
      </c>
      <c r="AF170" t="s">
        <v>139</v>
      </c>
      <c r="AG170" t="s">
        <v>139</v>
      </c>
      <c r="AH170" s="9" t="s">
        <v>139</v>
      </c>
      <c r="AI170" t="s">
        <v>139</v>
      </c>
      <c r="AJ170" t="s">
        <v>139</v>
      </c>
      <c r="AK170" t="s">
        <v>139</v>
      </c>
      <c r="AL170" t="s">
        <v>139</v>
      </c>
      <c r="AM170" t="s">
        <v>139</v>
      </c>
      <c r="AN170" t="s">
        <v>139</v>
      </c>
      <c r="AO170" s="9" t="s">
        <v>139</v>
      </c>
      <c r="AP170" t="s">
        <v>139</v>
      </c>
      <c r="AQ170" t="s">
        <v>139</v>
      </c>
      <c r="AR170" t="s">
        <v>139</v>
      </c>
    </row>
    <row r="171" spans="1:44" x14ac:dyDescent="0.4">
      <c r="A171" s="3" t="s">
        <v>302</v>
      </c>
      <c r="B171">
        <v>189765</v>
      </c>
      <c r="C171">
        <v>73080.3</v>
      </c>
      <c r="D171">
        <v>58266.9</v>
      </c>
      <c r="E171" t="s">
        <v>139</v>
      </c>
      <c r="F171" t="s">
        <v>139</v>
      </c>
      <c r="G171">
        <v>14813.4</v>
      </c>
      <c r="H171" t="s">
        <v>139</v>
      </c>
      <c r="I171" t="s">
        <v>139</v>
      </c>
      <c r="J171">
        <v>116684.7</v>
      </c>
      <c r="K171">
        <v>41324.9</v>
      </c>
      <c r="L171">
        <v>27846.799999999999</v>
      </c>
      <c r="M171" t="s">
        <v>139</v>
      </c>
      <c r="N171" t="s">
        <v>139</v>
      </c>
      <c r="O171" t="s">
        <v>139</v>
      </c>
      <c r="P171" t="s">
        <v>139</v>
      </c>
      <c r="Q171" t="s">
        <v>139</v>
      </c>
      <c r="R171" t="s">
        <v>139</v>
      </c>
      <c r="S171" t="s">
        <v>139</v>
      </c>
      <c r="T171" t="s">
        <v>139</v>
      </c>
      <c r="U171">
        <v>25617.1</v>
      </c>
      <c r="V171" s="6" t="s">
        <v>139</v>
      </c>
      <c r="W171" t="s">
        <v>139</v>
      </c>
      <c r="X171" t="s">
        <v>139</v>
      </c>
      <c r="Y171" t="s">
        <v>139</v>
      </c>
      <c r="Z171" t="s">
        <v>139</v>
      </c>
      <c r="AA171" t="s">
        <v>139</v>
      </c>
      <c r="AB171" t="s">
        <v>139</v>
      </c>
      <c r="AC171" t="s">
        <v>139</v>
      </c>
      <c r="AD171" t="s">
        <v>139</v>
      </c>
      <c r="AE171" t="s">
        <v>139</v>
      </c>
      <c r="AF171" t="s">
        <v>139</v>
      </c>
      <c r="AG171" t="s">
        <v>139</v>
      </c>
      <c r="AH171" s="9" t="s">
        <v>139</v>
      </c>
      <c r="AI171" t="s">
        <v>139</v>
      </c>
      <c r="AJ171" t="s">
        <v>139</v>
      </c>
      <c r="AK171" t="s">
        <v>139</v>
      </c>
      <c r="AL171" t="s">
        <v>139</v>
      </c>
      <c r="AM171" t="s">
        <v>139</v>
      </c>
      <c r="AN171" t="s">
        <v>139</v>
      </c>
      <c r="AO171" s="9" t="s">
        <v>139</v>
      </c>
      <c r="AP171" t="s">
        <v>139</v>
      </c>
      <c r="AQ171" t="s">
        <v>139</v>
      </c>
      <c r="AR171" t="s">
        <v>139</v>
      </c>
    </row>
    <row r="172" spans="1:44" x14ac:dyDescent="0.4">
      <c r="A172" s="3" t="s">
        <v>303</v>
      </c>
      <c r="B172">
        <v>191150.9</v>
      </c>
      <c r="C172">
        <v>74006.2</v>
      </c>
      <c r="D172">
        <v>59188.9</v>
      </c>
      <c r="E172" t="s">
        <v>139</v>
      </c>
      <c r="F172" t="s">
        <v>139</v>
      </c>
      <c r="G172">
        <v>14817.3</v>
      </c>
      <c r="H172" t="s">
        <v>139</v>
      </c>
      <c r="I172" t="s">
        <v>139</v>
      </c>
      <c r="J172">
        <v>117144.8</v>
      </c>
      <c r="K172">
        <v>41400.6</v>
      </c>
      <c r="L172">
        <v>27904.1</v>
      </c>
      <c r="M172" t="s">
        <v>139</v>
      </c>
      <c r="N172" t="s">
        <v>139</v>
      </c>
      <c r="O172" t="s">
        <v>139</v>
      </c>
      <c r="P172" t="s">
        <v>139</v>
      </c>
      <c r="Q172" t="s">
        <v>139</v>
      </c>
      <c r="R172" t="s">
        <v>139</v>
      </c>
      <c r="S172" t="s">
        <v>139</v>
      </c>
      <c r="T172" t="s">
        <v>139</v>
      </c>
      <c r="U172">
        <v>25814.1</v>
      </c>
      <c r="V172" s="6" t="s">
        <v>139</v>
      </c>
      <c r="W172" t="s">
        <v>139</v>
      </c>
      <c r="X172" t="s">
        <v>139</v>
      </c>
      <c r="Y172" t="s">
        <v>139</v>
      </c>
      <c r="Z172" t="s">
        <v>139</v>
      </c>
      <c r="AA172" t="s">
        <v>139</v>
      </c>
      <c r="AB172" t="s">
        <v>139</v>
      </c>
      <c r="AC172" t="s">
        <v>139</v>
      </c>
      <c r="AD172" t="s">
        <v>139</v>
      </c>
      <c r="AE172" t="s">
        <v>139</v>
      </c>
      <c r="AF172" t="s">
        <v>139</v>
      </c>
      <c r="AG172" t="s">
        <v>139</v>
      </c>
      <c r="AH172" s="9" t="s">
        <v>139</v>
      </c>
      <c r="AI172" t="s">
        <v>139</v>
      </c>
      <c r="AJ172" t="s">
        <v>139</v>
      </c>
      <c r="AK172" t="s">
        <v>139</v>
      </c>
      <c r="AL172" t="s">
        <v>139</v>
      </c>
      <c r="AM172" t="s">
        <v>139</v>
      </c>
      <c r="AN172" t="s">
        <v>139</v>
      </c>
      <c r="AO172" s="9" t="s">
        <v>139</v>
      </c>
      <c r="AP172" t="s">
        <v>139</v>
      </c>
      <c r="AQ172" t="s">
        <v>139</v>
      </c>
      <c r="AR172" t="s">
        <v>139</v>
      </c>
    </row>
    <row r="173" spans="1:44" x14ac:dyDescent="0.4">
      <c r="A173" s="3" t="s">
        <v>304</v>
      </c>
      <c r="B173">
        <v>193111</v>
      </c>
      <c r="C173">
        <v>75877.5</v>
      </c>
      <c r="D173">
        <v>60949.9</v>
      </c>
      <c r="E173" t="s">
        <v>139</v>
      </c>
      <c r="F173" t="s">
        <v>139</v>
      </c>
      <c r="G173">
        <v>14927.6</v>
      </c>
      <c r="H173" t="s">
        <v>139</v>
      </c>
      <c r="I173" t="s">
        <v>139</v>
      </c>
      <c r="J173">
        <v>117233.5</v>
      </c>
      <c r="K173">
        <v>41524.699999999997</v>
      </c>
      <c r="L173">
        <v>27986.9</v>
      </c>
      <c r="M173" t="s">
        <v>139</v>
      </c>
      <c r="N173" t="s">
        <v>139</v>
      </c>
      <c r="O173" t="s">
        <v>139</v>
      </c>
      <c r="P173" t="s">
        <v>139</v>
      </c>
      <c r="Q173" t="s">
        <v>139</v>
      </c>
      <c r="R173" t="s">
        <v>139</v>
      </c>
      <c r="S173" t="s">
        <v>139</v>
      </c>
      <c r="T173" t="s">
        <v>139</v>
      </c>
      <c r="U173">
        <v>25965.4</v>
      </c>
      <c r="V173" s="6" t="s">
        <v>139</v>
      </c>
      <c r="W173" t="s">
        <v>139</v>
      </c>
      <c r="X173" t="s">
        <v>139</v>
      </c>
      <c r="Y173" t="s">
        <v>139</v>
      </c>
      <c r="Z173" t="s">
        <v>139</v>
      </c>
      <c r="AA173" t="s">
        <v>139</v>
      </c>
      <c r="AB173" t="s">
        <v>139</v>
      </c>
      <c r="AC173" t="s">
        <v>139</v>
      </c>
      <c r="AD173" t="s">
        <v>139</v>
      </c>
      <c r="AE173" t="s">
        <v>139</v>
      </c>
      <c r="AF173" t="s">
        <v>139</v>
      </c>
      <c r="AG173" t="s">
        <v>139</v>
      </c>
      <c r="AH173" s="9" t="s">
        <v>139</v>
      </c>
      <c r="AI173" t="s">
        <v>139</v>
      </c>
      <c r="AJ173" t="s">
        <v>139</v>
      </c>
      <c r="AK173" t="s">
        <v>139</v>
      </c>
      <c r="AL173" t="s">
        <v>139</v>
      </c>
      <c r="AM173" t="s">
        <v>139</v>
      </c>
      <c r="AN173" t="s">
        <v>139</v>
      </c>
      <c r="AO173" s="9" t="s">
        <v>139</v>
      </c>
      <c r="AP173" t="s">
        <v>139</v>
      </c>
      <c r="AQ173" t="s">
        <v>139</v>
      </c>
      <c r="AR173" t="s">
        <v>139</v>
      </c>
    </row>
    <row r="174" spans="1:44" x14ac:dyDescent="0.4">
      <c r="A174" s="3" t="s">
        <v>305</v>
      </c>
      <c r="B174">
        <v>194154.7</v>
      </c>
      <c r="C174">
        <v>77085.8</v>
      </c>
      <c r="D174">
        <v>62151</v>
      </c>
      <c r="E174" t="s">
        <v>139</v>
      </c>
      <c r="F174" t="s">
        <v>139</v>
      </c>
      <c r="G174">
        <v>14934.8</v>
      </c>
      <c r="H174" t="s">
        <v>139</v>
      </c>
      <c r="I174" t="s">
        <v>139</v>
      </c>
      <c r="J174">
        <v>117068.9</v>
      </c>
      <c r="K174">
        <v>41682.699999999997</v>
      </c>
      <c r="L174">
        <v>27988.5</v>
      </c>
      <c r="M174" t="s">
        <v>139</v>
      </c>
      <c r="N174" t="s">
        <v>139</v>
      </c>
      <c r="O174" t="s">
        <v>139</v>
      </c>
      <c r="P174" t="s">
        <v>139</v>
      </c>
      <c r="Q174" t="s">
        <v>139</v>
      </c>
      <c r="R174" t="s">
        <v>139</v>
      </c>
      <c r="S174" t="s">
        <v>139</v>
      </c>
      <c r="T174" t="s">
        <v>139</v>
      </c>
      <c r="U174">
        <v>26082.799999999999</v>
      </c>
      <c r="V174" s="6" t="s">
        <v>139</v>
      </c>
      <c r="W174" t="s">
        <v>139</v>
      </c>
      <c r="X174" t="s">
        <v>139</v>
      </c>
      <c r="Y174" t="s">
        <v>139</v>
      </c>
      <c r="Z174" t="s">
        <v>139</v>
      </c>
      <c r="AA174" t="s">
        <v>139</v>
      </c>
      <c r="AB174" t="s">
        <v>139</v>
      </c>
      <c r="AC174" t="s">
        <v>139</v>
      </c>
      <c r="AD174" t="s">
        <v>139</v>
      </c>
      <c r="AE174" t="s">
        <v>139</v>
      </c>
      <c r="AF174" t="s">
        <v>139</v>
      </c>
      <c r="AG174" t="s">
        <v>139</v>
      </c>
      <c r="AH174" s="9" t="s">
        <v>139</v>
      </c>
      <c r="AI174" t="s">
        <v>139</v>
      </c>
      <c r="AJ174" t="s">
        <v>139</v>
      </c>
      <c r="AK174" t="s">
        <v>139</v>
      </c>
      <c r="AL174" t="s">
        <v>139</v>
      </c>
      <c r="AM174" t="s">
        <v>139</v>
      </c>
      <c r="AN174" t="s">
        <v>139</v>
      </c>
      <c r="AO174" s="9" t="s">
        <v>139</v>
      </c>
      <c r="AP174" t="s">
        <v>139</v>
      </c>
      <c r="AQ174" t="s">
        <v>139</v>
      </c>
      <c r="AR174" t="s">
        <v>139</v>
      </c>
    </row>
    <row r="175" spans="1:44" x14ac:dyDescent="0.4">
      <c r="A175" s="3" t="s">
        <v>306</v>
      </c>
      <c r="B175">
        <v>197107.9</v>
      </c>
      <c r="C175">
        <v>78255.399999999994</v>
      </c>
      <c r="D175">
        <v>63057.1</v>
      </c>
      <c r="E175" t="s">
        <v>139</v>
      </c>
      <c r="F175" t="s">
        <v>139</v>
      </c>
      <c r="G175">
        <v>15198.2</v>
      </c>
      <c r="H175" t="s">
        <v>139</v>
      </c>
      <c r="I175" t="s">
        <v>139</v>
      </c>
      <c r="J175">
        <v>118852.5</v>
      </c>
      <c r="K175">
        <v>42105.1</v>
      </c>
      <c r="L175">
        <v>28121.200000000001</v>
      </c>
      <c r="M175" t="s">
        <v>139</v>
      </c>
      <c r="N175" t="s">
        <v>139</v>
      </c>
      <c r="O175" t="s">
        <v>139</v>
      </c>
      <c r="P175" t="s">
        <v>139</v>
      </c>
      <c r="Q175" t="s">
        <v>139</v>
      </c>
      <c r="R175" t="s">
        <v>139</v>
      </c>
      <c r="S175" t="s">
        <v>139</v>
      </c>
      <c r="T175" t="s">
        <v>139</v>
      </c>
      <c r="U175">
        <v>26276.2</v>
      </c>
      <c r="V175" s="6" t="s">
        <v>139</v>
      </c>
      <c r="W175" t="s">
        <v>139</v>
      </c>
      <c r="X175" t="s">
        <v>139</v>
      </c>
      <c r="Y175" t="s">
        <v>139</v>
      </c>
      <c r="Z175" t="s">
        <v>139</v>
      </c>
      <c r="AA175" t="s">
        <v>139</v>
      </c>
      <c r="AB175" t="s">
        <v>139</v>
      </c>
      <c r="AC175" t="s">
        <v>139</v>
      </c>
      <c r="AD175" t="s">
        <v>139</v>
      </c>
      <c r="AE175" t="s">
        <v>139</v>
      </c>
      <c r="AF175" t="s">
        <v>139</v>
      </c>
      <c r="AG175" t="s">
        <v>139</v>
      </c>
      <c r="AH175" s="9" t="s">
        <v>139</v>
      </c>
      <c r="AI175" t="s">
        <v>139</v>
      </c>
      <c r="AJ175" t="s">
        <v>139</v>
      </c>
      <c r="AK175" t="s">
        <v>139</v>
      </c>
      <c r="AL175" t="s">
        <v>139</v>
      </c>
      <c r="AM175" t="s">
        <v>139</v>
      </c>
      <c r="AN175" t="s">
        <v>139</v>
      </c>
      <c r="AO175" s="9" t="s">
        <v>139</v>
      </c>
      <c r="AP175" t="s">
        <v>139</v>
      </c>
      <c r="AQ175" t="s">
        <v>139</v>
      </c>
      <c r="AR175" t="s">
        <v>139</v>
      </c>
    </row>
    <row r="176" spans="1:44" x14ac:dyDescent="0.4">
      <c r="A176" s="3" t="s">
        <v>307</v>
      </c>
      <c r="B176">
        <v>199014.5</v>
      </c>
      <c r="C176">
        <v>79360.399999999994</v>
      </c>
      <c r="D176">
        <v>63954.1</v>
      </c>
      <c r="E176" t="s">
        <v>139</v>
      </c>
      <c r="F176" t="s">
        <v>139</v>
      </c>
      <c r="G176">
        <v>15406.3</v>
      </c>
      <c r="H176" t="s">
        <v>139</v>
      </c>
      <c r="I176" t="s">
        <v>139</v>
      </c>
      <c r="J176">
        <v>119654.1</v>
      </c>
      <c r="K176">
        <v>42035.8</v>
      </c>
      <c r="L176">
        <v>28188.2</v>
      </c>
      <c r="M176" t="s">
        <v>139</v>
      </c>
      <c r="N176" t="s">
        <v>139</v>
      </c>
      <c r="O176" t="s">
        <v>139</v>
      </c>
      <c r="P176" t="s">
        <v>139</v>
      </c>
      <c r="Q176" t="s">
        <v>139</v>
      </c>
      <c r="R176" t="s">
        <v>139</v>
      </c>
      <c r="S176" t="s">
        <v>139</v>
      </c>
      <c r="T176" t="s">
        <v>139</v>
      </c>
      <c r="U176">
        <v>26289.8</v>
      </c>
      <c r="V176" s="6" t="s">
        <v>139</v>
      </c>
      <c r="W176" t="s">
        <v>139</v>
      </c>
      <c r="X176" t="s">
        <v>139</v>
      </c>
      <c r="Y176" t="s">
        <v>139</v>
      </c>
      <c r="Z176" t="s">
        <v>139</v>
      </c>
      <c r="AA176" t="s">
        <v>139</v>
      </c>
      <c r="AB176" t="s">
        <v>139</v>
      </c>
      <c r="AC176" t="s">
        <v>139</v>
      </c>
      <c r="AD176" t="s">
        <v>139</v>
      </c>
      <c r="AE176" t="s">
        <v>139</v>
      </c>
      <c r="AF176" t="s">
        <v>139</v>
      </c>
      <c r="AG176" t="s">
        <v>139</v>
      </c>
      <c r="AH176" s="9" t="s">
        <v>139</v>
      </c>
      <c r="AI176" t="s">
        <v>139</v>
      </c>
      <c r="AJ176" t="s">
        <v>139</v>
      </c>
      <c r="AK176" t="s">
        <v>139</v>
      </c>
      <c r="AL176" t="s">
        <v>139</v>
      </c>
      <c r="AM176" t="s">
        <v>139</v>
      </c>
      <c r="AN176" t="s">
        <v>139</v>
      </c>
      <c r="AO176" s="9" t="s">
        <v>139</v>
      </c>
      <c r="AP176" t="s">
        <v>139</v>
      </c>
      <c r="AQ176" t="s">
        <v>139</v>
      </c>
      <c r="AR176" t="s">
        <v>139</v>
      </c>
    </row>
    <row r="177" spans="1:44" x14ac:dyDescent="0.4">
      <c r="A177" s="3" t="s">
        <v>308</v>
      </c>
      <c r="B177">
        <v>200499.20000000001</v>
      </c>
      <c r="C177">
        <v>79611.5</v>
      </c>
      <c r="D177">
        <v>63963.6</v>
      </c>
      <c r="E177" t="s">
        <v>139</v>
      </c>
      <c r="F177" t="s">
        <v>139</v>
      </c>
      <c r="G177">
        <v>15647.9</v>
      </c>
      <c r="H177" t="s">
        <v>139</v>
      </c>
      <c r="I177" t="s">
        <v>139</v>
      </c>
      <c r="J177">
        <v>120887.7</v>
      </c>
      <c r="K177">
        <v>41950.3</v>
      </c>
      <c r="L177">
        <v>28244.5</v>
      </c>
      <c r="M177" t="s">
        <v>139</v>
      </c>
      <c r="N177" t="s">
        <v>139</v>
      </c>
      <c r="O177" t="s">
        <v>139</v>
      </c>
      <c r="P177" t="s">
        <v>139</v>
      </c>
      <c r="Q177" t="s">
        <v>139</v>
      </c>
      <c r="R177" t="s">
        <v>139</v>
      </c>
      <c r="S177" t="s">
        <v>139</v>
      </c>
      <c r="T177" t="s">
        <v>139</v>
      </c>
      <c r="U177">
        <v>26912</v>
      </c>
      <c r="V177" s="6" t="s">
        <v>139</v>
      </c>
      <c r="W177" t="s">
        <v>139</v>
      </c>
      <c r="X177" t="s">
        <v>139</v>
      </c>
      <c r="Y177" t="s">
        <v>139</v>
      </c>
      <c r="Z177" t="s">
        <v>139</v>
      </c>
      <c r="AA177" t="s">
        <v>139</v>
      </c>
      <c r="AB177" t="s">
        <v>139</v>
      </c>
      <c r="AC177" t="s">
        <v>139</v>
      </c>
      <c r="AD177" t="s">
        <v>139</v>
      </c>
      <c r="AE177" t="s">
        <v>139</v>
      </c>
      <c r="AF177" t="s">
        <v>139</v>
      </c>
      <c r="AG177" t="s">
        <v>139</v>
      </c>
      <c r="AH177" s="9" t="s">
        <v>139</v>
      </c>
      <c r="AI177" t="s">
        <v>139</v>
      </c>
      <c r="AJ177" t="s">
        <v>139</v>
      </c>
      <c r="AK177" t="s">
        <v>139</v>
      </c>
      <c r="AL177" t="s">
        <v>139</v>
      </c>
      <c r="AM177" t="s">
        <v>139</v>
      </c>
      <c r="AN177" t="s">
        <v>139</v>
      </c>
      <c r="AO177" s="9" t="s">
        <v>139</v>
      </c>
      <c r="AP177" t="s">
        <v>139</v>
      </c>
      <c r="AQ177" t="s">
        <v>139</v>
      </c>
      <c r="AR177" t="s">
        <v>139</v>
      </c>
    </row>
    <row r="178" spans="1:44" x14ac:dyDescent="0.4">
      <c r="A178" s="3" t="s">
        <v>309</v>
      </c>
      <c r="B178">
        <v>199997.7</v>
      </c>
      <c r="C178">
        <v>79004.800000000003</v>
      </c>
      <c r="D178">
        <v>63073.5</v>
      </c>
      <c r="E178" t="s">
        <v>139</v>
      </c>
      <c r="F178" t="s">
        <v>139</v>
      </c>
      <c r="G178">
        <v>15931.4</v>
      </c>
      <c r="H178" t="s">
        <v>139</v>
      </c>
      <c r="I178" t="s">
        <v>139</v>
      </c>
      <c r="J178">
        <v>120992.9</v>
      </c>
      <c r="K178">
        <v>42051.8</v>
      </c>
      <c r="L178">
        <v>28362.7</v>
      </c>
      <c r="M178" t="s">
        <v>139</v>
      </c>
      <c r="N178" t="s">
        <v>139</v>
      </c>
      <c r="O178" t="s">
        <v>139</v>
      </c>
      <c r="P178" t="s">
        <v>139</v>
      </c>
      <c r="Q178" t="s">
        <v>139</v>
      </c>
      <c r="R178" t="s">
        <v>139</v>
      </c>
      <c r="S178" t="s">
        <v>139</v>
      </c>
      <c r="T178" t="s">
        <v>139</v>
      </c>
      <c r="U178">
        <v>27373.200000000001</v>
      </c>
      <c r="V178" s="6" t="s">
        <v>139</v>
      </c>
      <c r="W178" t="s">
        <v>139</v>
      </c>
      <c r="X178" t="s">
        <v>139</v>
      </c>
      <c r="Y178" t="s">
        <v>139</v>
      </c>
      <c r="Z178" t="s">
        <v>139</v>
      </c>
      <c r="AA178" t="s">
        <v>139</v>
      </c>
      <c r="AB178" t="s">
        <v>139</v>
      </c>
      <c r="AC178" t="s">
        <v>139</v>
      </c>
      <c r="AD178" t="s">
        <v>139</v>
      </c>
      <c r="AE178" t="s">
        <v>139</v>
      </c>
      <c r="AF178" t="s">
        <v>139</v>
      </c>
      <c r="AG178" t="s">
        <v>139</v>
      </c>
      <c r="AH178" s="9" t="s">
        <v>139</v>
      </c>
      <c r="AI178" t="s">
        <v>139</v>
      </c>
      <c r="AJ178" t="s">
        <v>139</v>
      </c>
      <c r="AK178" t="s">
        <v>139</v>
      </c>
      <c r="AL178" t="s">
        <v>139</v>
      </c>
      <c r="AM178" t="s">
        <v>139</v>
      </c>
      <c r="AN178" t="s">
        <v>139</v>
      </c>
      <c r="AO178" s="9" t="s">
        <v>139</v>
      </c>
      <c r="AP178" t="s">
        <v>139</v>
      </c>
      <c r="AQ178" t="s">
        <v>139</v>
      </c>
      <c r="AR178" t="s">
        <v>139</v>
      </c>
    </row>
    <row r="179" spans="1:44" x14ac:dyDescent="0.4">
      <c r="A179" s="3" t="s">
        <v>310</v>
      </c>
      <c r="B179">
        <v>200126.9</v>
      </c>
      <c r="C179">
        <v>78984.3</v>
      </c>
      <c r="D179">
        <v>62822.400000000001</v>
      </c>
      <c r="E179" t="s">
        <v>139</v>
      </c>
      <c r="F179" t="s">
        <v>139</v>
      </c>
      <c r="G179">
        <v>16161.9</v>
      </c>
      <c r="H179" t="s">
        <v>139</v>
      </c>
      <c r="I179" t="s">
        <v>139</v>
      </c>
      <c r="J179">
        <v>121142.5</v>
      </c>
      <c r="K179">
        <v>42212.7</v>
      </c>
      <c r="L179">
        <v>28389.9</v>
      </c>
      <c r="M179" t="s">
        <v>139</v>
      </c>
      <c r="N179" t="s">
        <v>139</v>
      </c>
      <c r="O179" t="s">
        <v>139</v>
      </c>
      <c r="P179" t="s">
        <v>139</v>
      </c>
      <c r="Q179" t="s">
        <v>139</v>
      </c>
      <c r="R179" t="s">
        <v>139</v>
      </c>
      <c r="S179" t="s">
        <v>139</v>
      </c>
      <c r="T179" t="s">
        <v>139</v>
      </c>
      <c r="U179">
        <v>27132.1</v>
      </c>
      <c r="V179" s="6" t="s">
        <v>139</v>
      </c>
      <c r="W179" t="s">
        <v>139</v>
      </c>
      <c r="X179" t="s">
        <v>139</v>
      </c>
      <c r="Y179" t="s">
        <v>139</v>
      </c>
      <c r="Z179" t="s">
        <v>139</v>
      </c>
      <c r="AA179" t="s">
        <v>139</v>
      </c>
      <c r="AB179" t="s">
        <v>139</v>
      </c>
      <c r="AC179" t="s">
        <v>139</v>
      </c>
      <c r="AD179" t="s">
        <v>139</v>
      </c>
      <c r="AE179" t="s">
        <v>139</v>
      </c>
      <c r="AF179" t="s">
        <v>139</v>
      </c>
      <c r="AG179" t="s">
        <v>139</v>
      </c>
      <c r="AH179" s="9" t="s">
        <v>139</v>
      </c>
      <c r="AI179" t="s">
        <v>139</v>
      </c>
      <c r="AJ179" t="s">
        <v>139</v>
      </c>
      <c r="AK179" t="s">
        <v>139</v>
      </c>
      <c r="AL179" t="s">
        <v>139</v>
      </c>
      <c r="AM179" t="s">
        <v>139</v>
      </c>
      <c r="AN179" t="s">
        <v>139</v>
      </c>
      <c r="AO179" s="9" t="s">
        <v>139</v>
      </c>
      <c r="AP179" t="s">
        <v>139</v>
      </c>
      <c r="AQ179" t="s">
        <v>139</v>
      </c>
      <c r="AR179" t="s">
        <v>139</v>
      </c>
    </row>
    <row r="180" spans="1:44" x14ac:dyDescent="0.4">
      <c r="A180" s="3" t="s">
        <v>311</v>
      </c>
      <c r="B180">
        <v>201510.6</v>
      </c>
      <c r="C180">
        <v>79559</v>
      </c>
      <c r="D180">
        <v>63367.4</v>
      </c>
      <c r="E180" t="s">
        <v>139</v>
      </c>
      <c r="F180" t="s">
        <v>139</v>
      </c>
      <c r="G180">
        <v>16191.6</v>
      </c>
      <c r="H180" t="s">
        <v>139</v>
      </c>
      <c r="I180" t="s">
        <v>139</v>
      </c>
      <c r="J180">
        <v>121951.7</v>
      </c>
      <c r="K180">
        <v>42134.2</v>
      </c>
      <c r="L180">
        <v>28454.6</v>
      </c>
      <c r="M180" t="s">
        <v>139</v>
      </c>
      <c r="N180" t="s">
        <v>139</v>
      </c>
      <c r="O180" t="s">
        <v>139</v>
      </c>
      <c r="P180" t="s">
        <v>139</v>
      </c>
      <c r="Q180" t="s">
        <v>139</v>
      </c>
      <c r="R180" t="s">
        <v>139</v>
      </c>
      <c r="S180" t="s">
        <v>139</v>
      </c>
      <c r="T180" t="s">
        <v>139</v>
      </c>
      <c r="U180">
        <v>26957.599999999999</v>
      </c>
      <c r="V180" s="6" t="s">
        <v>139</v>
      </c>
      <c r="W180" t="s">
        <v>139</v>
      </c>
      <c r="X180" t="s">
        <v>139</v>
      </c>
      <c r="Y180" t="s">
        <v>139</v>
      </c>
      <c r="Z180" t="s">
        <v>139</v>
      </c>
      <c r="AA180" t="s">
        <v>139</v>
      </c>
      <c r="AB180" t="s">
        <v>139</v>
      </c>
      <c r="AC180" t="s">
        <v>139</v>
      </c>
      <c r="AD180" t="s">
        <v>139</v>
      </c>
      <c r="AE180" t="s">
        <v>139</v>
      </c>
      <c r="AF180" t="s">
        <v>139</v>
      </c>
      <c r="AG180" t="s">
        <v>139</v>
      </c>
      <c r="AH180" s="9" t="s">
        <v>139</v>
      </c>
      <c r="AI180" t="s">
        <v>139</v>
      </c>
      <c r="AJ180" t="s">
        <v>139</v>
      </c>
      <c r="AK180" t="s">
        <v>139</v>
      </c>
      <c r="AL180" t="s">
        <v>139</v>
      </c>
      <c r="AM180" t="s">
        <v>139</v>
      </c>
      <c r="AN180" t="s">
        <v>139</v>
      </c>
      <c r="AO180" s="9" t="s">
        <v>139</v>
      </c>
      <c r="AP180" t="s">
        <v>139</v>
      </c>
      <c r="AQ180" t="s">
        <v>139</v>
      </c>
      <c r="AR180" t="s">
        <v>139</v>
      </c>
    </row>
    <row r="181" spans="1:44" x14ac:dyDescent="0.4">
      <c r="A181" s="3" t="s">
        <v>312</v>
      </c>
      <c r="B181">
        <v>203391.5</v>
      </c>
      <c r="C181">
        <v>81274</v>
      </c>
      <c r="D181">
        <v>64967.9</v>
      </c>
      <c r="E181" t="s">
        <v>139</v>
      </c>
      <c r="F181" t="s">
        <v>139</v>
      </c>
      <c r="G181">
        <v>16306.1</v>
      </c>
      <c r="H181" t="s">
        <v>139</v>
      </c>
      <c r="I181" t="s">
        <v>139</v>
      </c>
      <c r="J181">
        <v>122117.5</v>
      </c>
      <c r="K181">
        <v>42451.9</v>
      </c>
      <c r="L181">
        <v>28698.799999999999</v>
      </c>
      <c r="M181" t="s">
        <v>139</v>
      </c>
      <c r="N181" t="s">
        <v>139</v>
      </c>
      <c r="O181" t="s">
        <v>139</v>
      </c>
      <c r="P181" t="s">
        <v>139</v>
      </c>
      <c r="Q181" t="s">
        <v>139</v>
      </c>
      <c r="R181" t="s">
        <v>139</v>
      </c>
      <c r="S181" t="s">
        <v>139</v>
      </c>
      <c r="T181" t="s">
        <v>139</v>
      </c>
      <c r="U181">
        <v>27050.9</v>
      </c>
      <c r="V181" s="6" t="s">
        <v>139</v>
      </c>
      <c r="W181" t="s">
        <v>139</v>
      </c>
      <c r="X181" t="s">
        <v>139</v>
      </c>
      <c r="Y181" t="s">
        <v>139</v>
      </c>
      <c r="Z181" t="s">
        <v>139</v>
      </c>
      <c r="AA181" t="s">
        <v>139</v>
      </c>
      <c r="AB181" t="s">
        <v>139</v>
      </c>
      <c r="AC181" t="s">
        <v>139</v>
      </c>
      <c r="AD181" t="s">
        <v>139</v>
      </c>
      <c r="AE181" t="s">
        <v>139</v>
      </c>
      <c r="AF181" t="s">
        <v>139</v>
      </c>
      <c r="AG181" t="s">
        <v>139</v>
      </c>
      <c r="AH181" s="9" t="s">
        <v>139</v>
      </c>
      <c r="AI181" t="s">
        <v>139</v>
      </c>
      <c r="AJ181" t="s">
        <v>139</v>
      </c>
      <c r="AK181" t="s">
        <v>139</v>
      </c>
      <c r="AL181" t="s">
        <v>139</v>
      </c>
      <c r="AM181" t="s">
        <v>139</v>
      </c>
      <c r="AN181" t="s">
        <v>139</v>
      </c>
      <c r="AO181" s="9" t="s">
        <v>139</v>
      </c>
      <c r="AP181" t="s">
        <v>139</v>
      </c>
      <c r="AQ181" t="s">
        <v>139</v>
      </c>
      <c r="AR181" t="s">
        <v>139</v>
      </c>
    </row>
    <row r="182" spans="1:44" x14ac:dyDescent="0.4">
      <c r="A182" s="3" t="s">
        <v>313</v>
      </c>
      <c r="B182">
        <v>204534.39999999999</v>
      </c>
      <c r="C182">
        <v>81945.100000000006</v>
      </c>
      <c r="D182">
        <v>65494</v>
      </c>
      <c r="E182" t="s">
        <v>139</v>
      </c>
      <c r="F182" t="s">
        <v>139</v>
      </c>
      <c r="G182">
        <v>16451.099999999999</v>
      </c>
      <c r="H182" t="s">
        <v>139</v>
      </c>
      <c r="I182" t="s">
        <v>139</v>
      </c>
      <c r="J182">
        <v>122589.3</v>
      </c>
      <c r="K182">
        <v>42581.3</v>
      </c>
      <c r="L182">
        <v>28861.1</v>
      </c>
      <c r="M182" t="s">
        <v>139</v>
      </c>
      <c r="N182" t="s">
        <v>139</v>
      </c>
      <c r="O182" t="s">
        <v>139</v>
      </c>
      <c r="P182" t="s">
        <v>139</v>
      </c>
      <c r="Q182" t="s">
        <v>139</v>
      </c>
      <c r="R182" t="s">
        <v>139</v>
      </c>
      <c r="S182" t="s">
        <v>139</v>
      </c>
      <c r="T182" t="s">
        <v>139</v>
      </c>
      <c r="U182">
        <v>27150.5</v>
      </c>
      <c r="V182" s="6" t="s">
        <v>139</v>
      </c>
      <c r="W182" t="s">
        <v>139</v>
      </c>
      <c r="X182" t="s">
        <v>139</v>
      </c>
      <c r="Y182" t="s">
        <v>139</v>
      </c>
      <c r="Z182" t="s">
        <v>139</v>
      </c>
      <c r="AA182" t="s">
        <v>139</v>
      </c>
      <c r="AB182" t="s">
        <v>139</v>
      </c>
      <c r="AC182" t="s">
        <v>139</v>
      </c>
      <c r="AD182" t="s">
        <v>139</v>
      </c>
      <c r="AE182" t="s">
        <v>139</v>
      </c>
      <c r="AF182" t="s">
        <v>139</v>
      </c>
      <c r="AG182" t="s">
        <v>139</v>
      </c>
      <c r="AH182" s="9" t="s">
        <v>139</v>
      </c>
      <c r="AI182" t="s">
        <v>139</v>
      </c>
      <c r="AJ182" t="s">
        <v>139</v>
      </c>
      <c r="AK182" t="s">
        <v>139</v>
      </c>
      <c r="AL182" t="s">
        <v>139</v>
      </c>
      <c r="AM182" t="s">
        <v>139</v>
      </c>
      <c r="AN182" t="s">
        <v>139</v>
      </c>
      <c r="AO182" s="9" t="s">
        <v>139</v>
      </c>
      <c r="AP182" t="s">
        <v>139</v>
      </c>
      <c r="AQ182" t="s">
        <v>139</v>
      </c>
      <c r="AR182" t="s">
        <v>139</v>
      </c>
    </row>
    <row r="183" spans="1:44" x14ac:dyDescent="0.4">
      <c r="A183" s="3" t="s">
        <v>314</v>
      </c>
      <c r="B183">
        <v>205807.8</v>
      </c>
      <c r="C183">
        <v>83235.8</v>
      </c>
      <c r="D183">
        <v>66645.5</v>
      </c>
      <c r="E183" t="s">
        <v>139</v>
      </c>
      <c r="F183" t="s">
        <v>139</v>
      </c>
      <c r="G183">
        <v>16590.3</v>
      </c>
      <c r="H183" t="s">
        <v>139</v>
      </c>
      <c r="I183" t="s">
        <v>139</v>
      </c>
      <c r="J183">
        <v>122572</v>
      </c>
      <c r="K183">
        <v>42656.7</v>
      </c>
      <c r="L183">
        <v>28974.9</v>
      </c>
      <c r="M183" t="s">
        <v>139</v>
      </c>
      <c r="N183" t="s">
        <v>139</v>
      </c>
      <c r="O183" t="s">
        <v>139</v>
      </c>
      <c r="P183" t="s">
        <v>139</v>
      </c>
      <c r="Q183" t="s">
        <v>139</v>
      </c>
      <c r="R183" t="s">
        <v>139</v>
      </c>
      <c r="S183" t="s">
        <v>139</v>
      </c>
      <c r="T183" t="s">
        <v>139</v>
      </c>
      <c r="U183">
        <v>27236.799999999999</v>
      </c>
      <c r="V183" s="6" t="s">
        <v>139</v>
      </c>
      <c r="W183" t="s">
        <v>139</v>
      </c>
      <c r="X183" t="s">
        <v>139</v>
      </c>
      <c r="Y183" t="s">
        <v>139</v>
      </c>
      <c r="Z183" t="s">
        <v>139</v>
      </c>
      <c r="AA183" t="s">
        <v>139</v>
      </c>
      <c r="AB183" t="s">
        <v>139</v>
      </c>
      <c r="AC183" t="s">
        <v>139</v>
      </c>
      <c r="AD183" t="s">
        <v>139</v>
      </c>
      <c r="AE183" t="s">
        <v>139</v>
      </c>
      <c r="AF183" t="s">
        <v>139</v>
      </c>
      <c r="AG183" t="s">
        <v>139</v>
      </c>
      <c r="AH183" s="9" t="s">
        <v>139</v>
      </c>
      <c r="AI183" t="s">
        <v>139</v>
      </c>
      <c r="AJ183" t="s">
        <v>139</v>
      </c>
      <c r="AK183" t="s">
        <v>139</v>
      </c>
      <c r="AL183" t="s">
        <v>139</v>
      </c>
      <c r="AM183" t="s">
        <v>139</v>
      </c>
      <c r="AN183" t="s">
        <v>139</v>
      </c>
      <c r="AO183" s="9" t="s">
        <v>139</v>
      </c>
      <c r="AP183" t="s">
        <v>139</v>
      </c>
      <c r="AQ183" t="s">
        <v>139</v>
      </c>
      <c r="AR183" t="s">
        <v>139</v>
      </c>
    </row>
    <row r="184" spans="1:44" x14ac:dyDescent="0.4">
      <c r="A184" s="3" t="s">
        <v>315</v>
      </c>
      <c r="B184">
        <v>208382</v>
      </c>
      <c r="C184">
        <v>84713.3</v>
      </c>
      <c r="D184">
        <v>67694.3</v>
      </c>
      <c r="E184" t="s">
        <v>139</v>
      </c>
      <c r="F184" t="s">
        <v>139</v>
      </c>
      <c r="G184">
        <v>17019</v>
      </c>
      <c r="H184" t="s">
        <v>139</v>
      </c>
      <c r="I184" t="s">
        <v>139</v>
      </c>
      <c r="J184">
        <v>123668.7</v>
      </c>
      <c r="K184">
        <v>42770.7</v>
      </c>
      <c r="L184">
        <v>29070.6</v>
      </c>
      <c r="M184" t="s">
        <v>139</v>
      </c>
      <c r="N184" t="s">
        <v>139</v>
      </c>
      <c r="O184" t="s">
        <v>139</v>
      </c>
      <c r="P184" t="s">
        <v>139</v>
      </c>
      <c r="Q184" t="s">
        <v>139</v>
      </c>
      <c r="R184" t="s">
        <v>139</v>
      </c>
      <c r="S184" t="s">
        <v>139</v>
      </c>
      <c r="T184" t="s">
        <v>139</v>
      </c>
      <c r="U184">
        <v>27202.400000000001</v>
      </c>
      <c r="V184" s="6" t="s">
        <v>139</v>
      </c>
      <c r="W184" t="s">
        <v>139</v>
      </c>
      <c r="X184" t="s">
        <v>139</v>
      </c>
      <c r="Y184" t="s">
        <v>139</v>
      </c>
      <c r="Z184" t="s">
        <v>139</v>
      </c>
      <c r="AA184" t="s">
        <v>139</v>
      </c>
      <c r="AB184" t="s">
        <v>139</v>
      </c>
      <c r="AC184" t="s">
        <v>139</v>
      </c>
      <c r="AD184" t="s">
        <v>139</v>
      </c>
      <c r="AE184" t="s">
        <v>139</v>
      </c>
      <c r="AF184" t="s">
        <v>139</v>
      </c>
      <c r="AG184" t="s">
        <v>139</v>
      </c>
      <c r="AH184" s="9" t="s">
        <v>139</v>
      </c>
      <c r="AI184" t="s">
        <v>139</v>
      </c>
      <c r="AJ184" t="s">
        <v>139</v>
      </c>
      <c r="AK184" t="s">
        <v>139</v>
      </c>
      <c r="AL184" t="s">
        <v>139</v>
      </c>
      <c r="AM184" t="s">
        <v>139</v>
      </c>
      <c r="AN184" t="s">
        <v>139</v>
      </c>
      <c r="AO184" s="9" t="s">
        <v>139</v>
      </c>
      <c r="AP184" t="s">
        <v>139</v>
      </c>
      <c r="AQ184" t="s">
        <v>139</v>
      </c>
      <c r="AR184" t="s">
        <v>139</v>
      </c>
    </row>
    <row r="185" spans="1:44" x14ac:dyDescent="0.4">
      <c r="A185" s="3" t="s">
        <v>316</v>
      </c>
      <c r="B185">
        <v>210876.3</v>
      </c>
      <c r="C185">
        <v>86402.6</v>
      </c>
      <c r="D185">
        <v>69282.899999999994</v>
      </c>
      <c r="E185" t="s">
        <v>139</v>
      </c>
      <c r="F185" t="s">
        <v>139</v>
      </c>
      <c r="G185">
        <v>17119.599999999999</v>
      </c>
      <c r="H185" t="s">
        <v>139</v>
      </c>
      <c r="I185" t="s">
        <v>139</v>
      </c>
      <c r="J185">
        <v>124473.7</v>
      </c>
      <c r="K185">
        <v>42977.8</v>
      </c>
      <c r="L185">
        <v>29148.400000000001</v>
      </c>
      <c r="M185" t="s">
        <v>139</v>
      </c>
      <c r="N185" t="s">
        <v>139</v>
      </c>
      <c r="O185" t="s">
        <v>139</v>
      </c>
      <c r="P185" t="s">
        <v>139</v>
      </c>
      <c r="Q185" t="s">
        <v>139</v>
      </c>
      <c r="R185" t="s">
        <v>139</v>
      </c>
      <c r="S185" t="s">
        <v>139</v>
      </c>
      <c r="T185" t="s">
        <v>139</v>
      </c>
      <c r="U185">
        <v>27309.9</v>
      </c>
      <c r="V185" s="6" t="s">
        <v>139</v>
      </c>
      <c r="W185" t="s">
        <v>139</v>
      </c>
      <c r="X185" t="s">
        <v>139</v>
      </c>
      <c r="Y185" t="s">
        <v>139</v>
      </c>
      <c r="Z185" t="s">
        <v>139</v>
      </c>
      <c r="AA185" t="s">
        <v>139</v>
      </c>
      <c r="AB185" t="s">
        <v>139</v>
      </c>
      <c r="AC185" t="s">
        <v>139</v>
      </c>
      <c r="AD185" t="s">
        <v>139</v>
      </c>
      <c r="AE185" t="s">
        <v>139</v>
      </c>
      <c r="AF185" t="s">
        <v>139</v>
      </c>
      <c r="AG185" t="s">
        <v>139</v>
      </c>
      <c r="AH185" s="9" t="s">
        <v>139</v>
      </c>
      <c r="AI185" t="s">
        <v>139</v>
      </c>
      <c r="AJ185" t="s">
        <v>139</v>
      </c>
      <c r="AK185" t="s">
        <v>139</v>
      </c>
      <c r="AL185" t="s">
        <v>139</v>
      </c>
      <c r="AM185" t="s">
        <v>139</v>
      </c>
      <c r="AN185" t="s">
        <v>139</v>
      </c>
      <c r="AO185" s="9" t="s">
        <v>139</v>
      </c>
      <c r="AP185" t="s">
        <v>139</v>
      </c>
      <c r="AQ185" t="s">
        <v>139</v>
      </c>
      <c r="AR185" t="s">
        <v>139</v>
      </c>
    </row>
    <row r="186" spans="1:44" x14ac:dyDescent="0.4">
      <c r="A186" s="3" t="s">
        <v>317</v>
      </c>
      <c r="B186">
        <v>211745.5</v>
      </c>
      <c r="C186">
        <v>86348.6</v>
      </c>
      <c r="D186">
        <v>69259.3</v>
      </c>
      <c r="E186" t="s">
        <v>139</v>
      </c>
      <c r="F186" t="s">
        <v>139</v>
      </c>
      <c r="G186">
        <v>17089.3</v>
      </c>
      <c r="H186" t="s">
        <v>139</v>
      </c>
      <c r="I186" t="s">
        <v>139</v>
      </c>
      <c r="J186">
        <v>125396.9</v>
      </c>
      <c r="K186">
        <v>43133.7</v>
      </c>
      <c r="L186">
        <v>29273.3</v>
      </c>
      <c r="M186" t="s">
        <v>139</v>
      </c>
      <c r="N186" t="s">
        <v>139</v>
      </c>
      <c r="O186" t="s">
        <v>139</v>
      </c>
      <c r="P186" t="s">
        <v>139</v>
      </c>
      <c r="Q186" t="s">
        <v>139</v>
      </c>
      <c r="R186" t="s">
        <v>139</v>
      </c>
      <c r="S186" t="s">
        <v>139</v>
      </c>
      <c r="T186" t="s">
        <v>139</v>
      </c>
      <c r="U186">
        <v>27449.4</v>
      </c>
      <c r="V186" s="6" t="s">
        <v>139</v>
      </c>
      <c r="W186" t="s">
        <v>139</v>
      </c>
      <c r="X186" t="s">
        <v>139</v>
      </c>
      <c r="Y186" t="s">
        <v>139</v>
      </c>
      <c r="Z186" t="s">
        <v>139</v>
      </c>
      <c r="AA186" t="s">
        <v>139</v>
      </c>
      <c r="AB186" t="s">
        <v>139</v>
      </c>
      <c r="AC186" t="s">
        <v>139</v>
      </c>
      <c r="AD186" t="s">
        <v>139</v>
      </c>
      <c r="AE186" t="s">
        <v>139</v>
      </c>
      <c r="AF186" t="s">
        <v>139</v>
      </c>
      <c r="AG186" t="s">
        <v>139</v>
      </c>
      <c r="AH186" s="9" t="s">
        <v>139</v>
      </c>
      <c r="AI186" t="s">
        <v>139</v>
      </c>
      <c r="AJ186" t="s">
        <v>139</v>
      </c>
      <c r="AK186" t="s">
        <v>139</v>
      </c>
      <c r="AL186" t="s">
        <v>139</v>
      </c>
      <c r="AM186" t="s">
        <v>139</v>
      </c>
      <c r="AN186" t="s">
        <v>139</v>
      </c>
      <c r="AO186" s="9" t="s">
        <v>139</v>
      </c>
      <c r="AP186" t="s">
        <v>139</v>
      </c>
      <c r="AQ186" t="s">
        <v>139</v>
      </c>
      <c r="AR186" t="s">
        <v>139</v>
      </c>
    </row>
    <row r="187" spans="1:44" x14ac:dyDescent="0.4">
      <c r="A187" s="3" t="s">
        <v>318</v>
      </c>
      <c r="B187">
        <v>213262</v>
      </c>
      <c r="C187">
        <v>86839.4</v>
      </c>
      <c r="D187">
        <v>69427.8</v>
      </c>
      <c r="E187" t="s">
        <v>139</v>
      </c>
      <c r="F187" t="s">
        <v>139</v>
      </c>
      <c r="G187">
        <v>17411.5</v>
      </c>
      <c r="H187" t="s">
        <v>139</v>
      </c>
      <c r="I187" t="s">
        <v>139</v>
      </c>
      <c r="J187">
        <v>126422.6</v>
      </c>
      <c r="K187">
        <v>43799.7</v>
      </c>
      <c r="L187">
        <v>29548</v>
      </c>
      <c r="M187" t="s">
        <v>139</v>
      </c>
      <c r="N187" t="s">
        <v>139</v>
      </c>
      <c r="O187" t="s">
        <v>139</v>
      </c>
      <c r="P187" t="s">
        <v>139</v>
      </c>
      <c r="Q187" t="s">
        <v>139</v>
      </c>
      <c r="R187" t="s">
        <v>139</v>
      </c>
      <c r="S187" t="s">
        <v>139</v>
      </c>
      <c r="T187" t="s">
        <v>139</v>
      </c>
      <c r="U187">
        <v>27611.9</v>
      </c>
      <c r="V187" s="6" t="s">
        <v>139</v>
      </c>
      <c r="W187" t="s">
        <v>139</v>
      </c>
      <c r="X187" t="s">
        <v>139</v>
      </c>
      <c r="Y187" t="s">
        <v>139</v>
      </c>
      <c r="Z187" t="s">
        <v>139</v>
      </c>
      <c r="AA187" t="s">
        <v>139</v>
      </c>
      <c r="AB187" t="s">
        <v>139</v>
      </c>
      <c r="AC187" t="s">
        <v>139</v>
      </c>
      <c r="AD187" t="s">
        <v>139</v>
      </c>
      <c r="AE187" t="s">
        <v>139</v>
      </c>
      <c r="AF187" t="s">
        <v>139</v>
      </c>
      <c r="AG187" t="s">
        <v>139</v>
      </c>
      <c r="AH187" s="9" t="s">
        <v>139</v>
      </c>
      <c r="AI187" t="s">
        <v>139</v>
      </c>
      <c r="AJ187" t="s">
        <v>139</v>
      </c>
      <c r="AK187" t="s">
        <v>139</v>
      </c>
      <c r="AL187" t="s">
        <v>139</v>
      </c>
      <c r="AM187" t="s">
        <v>139</v>
      </c>
      <c r="AN187" t="s">
        <v>139</v>
      </c>
      <c r="AO187" s="9" t="s">
        <v>139</v>
      </c>
      <c r="AP187" t="s">
        <v>139</v>
      </c>
      <c r="AQ187" t="s">
        <v>139</v>
      </c>
      <c r="AR187" t="s">
        <v>139</v>
      </c>
    </row>
    <row r="188" spans="1:44" x14ac:dyDescent="0.4">
      <c r="A188" s="3" t="s">
        <v>319</v>
      </c>
      <c r="B188">
        <v>214498.4</v>
      </c>
      <c r="C188">
        <v>87454.1</v>
      </c>
      <c r="D188">
        <v>69875.899999999994</v>
      </c>
      <c r="E188" t="s">
        <v>139</v>
      </c>
      <c r="F188" t="s">
        <v>139</v>
      </c>
      <c r="G188">
        <v>17578.2</v>
      </c>
      <c r="H188" t="s">
        <v>139</v>
      </c>
      <c r="I188" t="s">
        <v>139</v>
      </c>
      <c r="J188">
        <v>127044.2</v>
      </c>
      <c r="K188">
        <v>43985.3</v>
      </c>
      <c r="L188">
        <v>29786.9</v>
      </c>
      <c r="M188" t="s">
        <v>139</v>
      </c>
      <c r="N188" t="s">
        <v>139</v>
      </c>
      <c r="O188" t="s">
        <v>139</v>
      </c>
      <c r="P188" t="s">
        <v>139</v>
      </c>
      <c r="Q188" t="s">
        <v>139</v>
      </c>
      <c r="R188" t="s">
        <v>139</v>
      </c>
      <c r="S188" t="s">
        <v>139</v>
      </c>
      <c r="T188" t="s">
        <v>139</v>
      </c>
      <c r="U188">
        <v>27861.7</v>
      </c>
      <c r="V188" s="6" t="s">
        <v>139</v>
      </c>
      <c r="W188" t="s">
        <v>139</v>
      </c>
      <c r="X188" t="s">
        <v>139</v>
      </c>
      <c r="Y188" t="s">
        <v>139</v>
      </c>
      <c r="Z188" t="s">
        <v>139</v>
      </c>
      <c r="AA188" t="s">
        <v>139</v>
      </c>
      <c r="AB188" t="s">
        <v>139</v>
      </c>
      <c r="AC188" t="s">
        <v>139</v>
      </c>
      <c r="AD188" t="s">
        <v>139</v>
      </c>
      <c r="AE188" t="s">
        <v>139</v>
      </c>
      <c r="AF188" t="s">
        <v>139</v>
      </c>
      <c r="AG188" t="s">
        <v>139</v>
      </c>
      <c r="AH188" s="9" t="s">
        <v>139</v>
      </c>
      <c r="AI188" t="s">
        <v>139</v>
      </c>
      <c r="AJ188" t="s">
        <v>139</v>
      </c>
      <c r="AK188" t="s">
        <v>139</v>
      </c>
      <c r="AL188" t="s">
        <v>139</v>
      </c>
      <c r="AM188" t="s">
        <v>139</v>
      </c>
      <c r="AN188" t="s">
        <v>139</v>
      </c>
      <c r="AO188" s="9" t="s">
        <v>139</v>
      </c>
      <c r="AP188" t="s">
        <v>139</v>
      </c>
      <c r="AQ188" t="s">
        <v>139</v>
      </c>
      <c r="AR188" t="s">
        <v>139</v>
      </c>
    </row>
    <row r="189" spans="1:44" x14ac:dyDescent="0.4">
      <c r="A189" s="3" t="s">
        <v>320</v>
      </c>
      <c r="B189">
        <v>214739.6</v>
      </c>
      <c r="C189">
        <v>87129.8</v>
      </c>
      <c r="D189">
        <v>69381.2</v>
      </c>
      <c r="E189" t="s">
        <v>139</v>
      </c>
      <c r="F189" t="s">
        <v>139</v>
      </c>
      <c r="G189">
        <v>17748.5</v>
      </c>
      <c r="H189" t="s">
        <v>139</v>
      </c>
      <c r="I189" t="s">
        <v>139</v>
      </c>
      <c r="J189">
        <v>127609.8</v>
      </c>
      <c r="K189">
        <v>43868.800000000003</v>
      </c>
      <c r="L189">
        <v>29988.2</v>
      </c>
      <c r="M189" t="s">
        <v>139</v>
      </c>
      <c r="N189" t="s">
        <v>139</v>
      </c>
      <c r="O189" t="s">
        <v>139</v>
      </c>
      <c r="P189" t="s">
        <v>139</v>
      </c>
      <c r="Q189" t="s">
        <v>139</v>
      </c>
      <c r="R189" t="s">
        <v>139</v>
      </c>
      <c r="S189" t="s">
        <v>139</v>
      </c>
      <c r="T189" t="s">
        <v>139</v>
      </c>
      <c r="U189">
        <v>28046.1</v>
      </c>
      <c r="V189" s="6" t="s">
        <v>139</v>
      </c>
      <c r="W189" t="s">
        <v>139</v>
      </c>
      <c r="X189" t="s">
        <v>139</v>
      </c>
      <c r="Y189" t="s">
        <v>139</v>
      </c>
      <c r="Z189" t="s">
        <v>139</v>
      </c>
      <c r="AA189" t="s">
        <v>139</v>
      </c>
      <c r="AB189" t="s">
        <v>139</v>
      </c>
      <c r="AC189" t="s">
        <v>139</v>
      </c>
      <c r="AD189" t="s">
        <v>139</v>
      </c>
      <c r="AE189" t="s">
        <v>139</v>
      </c>
      <c r="AF189" t="s">
        <v>139</v>
      </c>
      <c r="AG189" t="s">
        <v>139</v>
      </c>
      <c r="AH189" s="9" t="s">
        <v>139</v>
      </c>
      <c r="AI189" t="s">
        <v>139</v>
      </c>
      <c r="AJ189" t="s">
        <v>139</v>
      </c>
      <c r="AK189" t="s">
        <v>139</v>
      </c>
      <c r="AL189" t="s">
        <v>139</v>
      </c>
      <c r="AM189" t="s">
        <v>139</v>
      </c>
      <c r="AN189" t="s">
        <v>139</v>
      </c>
      <c r="AO189" s="9" t="s">
        <v>139</v>
      </c>
      <c r="AP189" t="s">
        <v>139</v>
      </c>
      <c r="AQ189" t="s">
        <v>139</v>
      </c>
      <c r="AR189" t="s">
        <v>139</v>
      </c>
    </row>
    <row r="190" spans="1:44" x14ac:dyDescent="0.4">
      <c r="A190" s="3" t="s">
        <v>321</v>
      </c>
      <c r="B190">
        <v>215273</v>
      </c>
      <c r="C190">
        <v>86422.7</v>
      </c>
      <c r="D190">
        <v>68147.100000000006</v>
      </c>
      <c r="E190" t="s">
        <v>139</v>
      </c>
      <c r="F190" t="s">
        <v>139</v>
      </c>
      <c r="G190">
        <v>18275.599999999999</v>
      </c>
      <c r="H190" t="s">
        <v>139</v>
      </c>
      <c r="I190" t="s">
        <v>139</v>
      </c>
      <c r="J190">
        <v>128850.3</v>
      </c>
      <c r="K190">
        <v>44101.2</v>
      </c>
      <c r="L190">
        <v>30219.5</v>
      </c>
      <c r="M190" t="s">
        <v>139</v>
      </c>
      <c r="N190" t="s">
        <v>139</v>
      </c>
      <c r="O190" t="s">
        <v>139</v>
      </c>
      <c r="P190" t="s">
        <v>139</v>
      </c>
      <c r="Q190" t="s">
        <v>139</v>
      </c>
      <c r="R190" t="s">
        <v>139</v>
      </c>
      <c r="S190" t="s">
        <v>139</v>
      </c>
      <c r="T190" t="s">
        <v>139</v>
      </c>
      <c r="U190">
        <v>28308.5</v>
      </c>
      <c r="V190" s="6" t="s">
        <v>139</v>
      </c>
      <c r="W190" t="s">
        <v>139</v>
      </c>
      <c r="X190" t="s">
        <v>139</v>
      </c>
      <c r="Y190" t="s">
        <v>139</v>
      </c>
      <c r="Z190" t="s">
        <v>139</v>
      </c>
      <c r="AA190" t="s">
        <v>139</v>
      </c>
      <c r="AB190" t="s">
        <v>139</v>
      </c>
      <c r="AC190" t="s">
        <v>139</v>
      </c>
      <c r="AD190" t="s">
        <v>139</v>
      </c>
      <c r="AE190" t="s">
        <v>139</v>
      </c>
      <c r="AF190" t="s">
        <v>139</v>
      </c>
      <c r="AG190" t="s">
        <v>139</v>
      </c>
      <c r="AH190" s="9" t="s">
        <v>139</v>
      </c>
      <c r="AI190" t="s">
        <v>139</v>
      </c>
      <c r="AJ190" t="s">
        <v>139</v>
      </c>
      <c r="AK190" t="s">
        <v>139</v>
      </c>
      <c r="AL190" t="s">
        <v>139</v>
      </c>
      <c r="AM190" t="s">
        <v>139</v>
      </c>
      <c r="AN190" t="s">
        <v>139</v>
      </c>
      <c r="AO190" s="9" t="s">
        <v>139</v>
      </c>
      <c r="AP190" t="s">
        <v>139</v>
      </c>
      <c r="AQ190" t="s">
        <v>139</v>
      </c>
      <c r="AR190" t="s">
        <v>139</v>
      </c>
    </row>
    <row r="191" spans="1:44" x14ac:dyDescent="0.4">
      <c r="A191" s="3" t="s">
        <v>322</v>
      </c>
      <c r="B191">
        <v>217338.1</v>
      </c>
      <c r="C191">
        <v>86674.5</v>
      </c>
      <c r="D191">
        <v>67729.100000000006</v>
      </c>
      <c r="E191" t="s">
        <v>139</v>
      </c>
      <c r="F191" t="s">
        <v>139</v>
      </c>
      <c r="G191">
        <v>18945.400000000001</v>
      </c>
      <c r="H191" t="s">
        <v>139</v>
      </c>
      <c r="I191" t="s">
        <v>139</v>
      </c>
      <c r="J191">
        <v>130663.6</v>
      </c>
      <c r="K191">
        <v>44539.8</v>
      </c>
      <c r="L191">
        <v>30516.7</v>
      </c>
      <c r="M191" t="s">
        <v>139</v>
      </c>
      <c r="N191" t="s">
        <v>139</v>
      </c>
      <c r="O191" t="s">
        <v>139</v>
      </c>
      <c r="P191" t="s">
        <v>139</v>
      </c>
      <c r="Q191" t="s">
        <v>139</v>
      </c>
      <c r="R191" t="s">
        <v>139</v>
      </c>
      <c r="S191" t="s">
        <v>139</v>
      </c>
      <c r="T191" t="s">
        <v>139</v>
      </c>
      <c r="U191">
        <v>28496.2</v>
      </c>
      <c r="V191" s="6" t="s">
        <v>139</v>
      </c>
      <c r="W191" t="s">
        <v>139</v>
      </c>
      <c r="X191" t="s">
        <v>139</v>
      </c>
      <c r="Y191" t="s">
        <v>139</v>
      </c>
      <c r="Z191" t="s">
        <v>139</v>
      </c>
      <c r="AA191" t="s">
        <v>139</v>
      </c>
      <c r="AB191" t="s">
        <v>139</v>
      </c>
      <c r="AC191" t="s">
        <v>139</v>
      </c>
      <c r="AD191" t="s">
        <v>139</v>
      </c>
      <c r="AE191" t="s">
        <v>139</v>
      </c>
      <c r="AF191" t="s">
        <v>139</v>
      </c>
      <c r="AG191" t="s">
        <v>139</v>
      </c>
      <c r="AH191" s="9" t="s">
        <v>139</v>
      </c>
      <c r="AI191" t="s">
        <v>139</v>
      </c>
      <c r="AJ191" t="s">
        <v>139</v>
      </c>
      <c r="AK191" t="s">
        <v>139</v>
      </c>
      <c r="AL191" t="s">
        <v>139</v>
      </c>
      <c r="AM191" t="s">
        <v>139</v>
      </c>
      <c r="AN191" t="s">
        <v>139</v>
      </c>
      <c r="AO191" s="9" t="s">
        <v>139</v>
      </c>
      <c r="AP191" t="s">
        <v>139</v>
      </c>
      <c r="AQ191" t="s">
        <v>139</v>
      </c>
      <c r="AR191" t="s">
        <v>139</v>
      </c>
    </row>
    <row r="192" spans="1:44" x14ac:dyDescent="0.4">
      <c r="A192" s="3" t="s">
        <v>323</v>
      </c>
      <c r="B192">
        <v>218317.7</v>
      </c>
      <c r="C192">
        <v>86657.8</v>
      </c>
      <c r="D192">
        <v>67615.7</v>
      </c>
      <c r="E192" t="s">
        <v>139</v>
      </c>
      <c r="F192" t="s">
        <v>139</v>
      </c>
      <c r="G192">
        <v>19042.099999999999</v>
      </c>
      <c r="H192" t="s">
        <v>139</v>
      </c>
      <c r="I192" t="s">
        <v>139</v>
      </c>
      <c r="J192">
        <v>131659.9</v>
      </c>
      <c r="K192">
        <v>44841.3</v>
      </c>
      <c r="L192">
        <v>30850.3</v>
      </c>
      <c r="M192" t="s">
        <v>139</v>
      </c>
      <c r="N192" t="s">
        <v>139</v>
      </c>
      <c r="O192" t="s">
        <v>139</v>
      </c>
      <c r="P192" t="s">
        <v>139</v>
      </c>
      <c r="Q192" t="s">
        <v>139</v>
      </c>
      <c r="R192" t="s">
        <v>139</v>
      </c>
      <c r="S192" t="s">
        <v>139</v>
      </c>
      <c r="T192" t="s">
        <v>139</v>
      </c>
      <c r="U192">
        <v>28696.6</v>
      </c>
      <c r="V192" s="6" t="s">
        <v>139</v>
      </c>
      <c r="W192" t="s">
        <v>139</v>
      </c>
      <c r="X192" t="s">
        <v>139</v>
      </c>
      <c r="Y192" t="s">
        <v>139</v>
      </c>
      <c r="Z192" t="s">
        <v>139</v>
      </c>
      <c r="AA192" t="s">
        <v>139</v>
      </c>
      <c r="AB192" t="s">
        <v>139</v>
      </c>
      <c r="AC192" t="s">
        <v>139</v>
      </c>
      <c r="AD192" t="s">
        <v>139</v>
      </c>
      <c r="AE192" t="s">
        <v>139</v>
      </c>
      <c r="AF192" t="s">
        <v>139</v>
      </c>
      <c r="AG192" t="s">
        <v>139</v>
      </c>
      <c r="AH192" s="9" t="s">
        <v>139</v>
      </c>
      <c r="AI192" t="s">
        <v>139</v>
      </c>
      <c r="AJ192" t="s">
        <v>139</v>
      </c>
      <c r="AK192" t="s">
        <v>139</v>
      </c>
      <c r="AL192" t="s">
        <v>139</v>
      </c>
      <c r="AM192" t="s">
        <v>139</v>
      </c>
      <c r="AN192" t="s">
        <v>139</v>
      </c>
      <c r="AO192" s="9" t="s">
        <v>139</v>
      </c>
      <c r="AP192" t="s">
        <v>139</v>
      </c>
      <c r="AQ192" t="s">
        <v>139</v>
      </c>
      <c r="AR192" t="s">
        <v>139</v>
      </c>
    </row>
    <row r="193" spans="1:44" x14ac:dyDescent="0.4">
      <c r="A193" s="3" t="s">
        <v>324</v>
      </c>
      <c r="B193">
        <v>220337.7</v>
      </c>
      <c r="C193">
        <v>87413.3</v>
      </c>
      <c r="D193">
        <v>67856.800000000003</v>
      </c>
      <c r="E193" t="s">
        <v>139</v>
      </c>
      <c r="F193" t="s">
        <v>139</v>
      </c>
      <c r="G193">
        <v>19556.5</v>
      </c>
      <c r="H193" t="s">
        <v>139</v>
      </c>
      <c r="I193" t="s">
        <v>139</v>
      </c>
      <c r="J193">
        <v>132924.4</v>
      </c>
      <c r="K193">
        <v>45541.9</v>
      </c>
      <c r="L193">
        <v>31279</v>
      </c>
      <c r="M193" t="s">
        <v>139</v>
      </c>
      <c r="N193" t="s">
        <v>139</v>
      </c>
      <c r="O193" t="s">
        <v>139</v>
      </c>
      <c r="P193" t="s">
        <v>139</v>
      </c>
      <c r="Q193" t="s">
        <v>139</v>
      </c>
      <c r="R193" t="s">
        <v>139</v>
      </c>
      <c r="S193" t="s">
        <v>139</v>
      </c>
      <c r="T193" t="s">
        <v>139</v>
      </c>
      <c r="U193">
        <v>29026.400000000001</v>
      </c>
      <c r="V193" s="6" t="s">
        <v>139</v>
      </c>
      <c r="W193" t="s">
        <v>139</v>
      </c>
      <c r="X193" t="s">
        <v>139</v>
      </c>
      <c r="Y193" t="s">
        <v>139</v>
      </c>
      <c r="Z193" t="s">
        <v>139</v>
      </c>
      <c r="AA193" t="s">
        <v>139</v>
      </c>
      <c r="AB193" t="s">
        <v>139</v>
      </c>
      <c r="AC193" t="s">
        <v>139</v>
      </c>
      <c r="AD193" t="s">
        <v>139</v>
      </c>
      <c r="AE193" t="s">
        <v>139</v>
      </c>
      <c r="AF193" t="s">
        <v>139</v>
      </c>
      <c r="AG193" t="s">
        <v>139</v>
      </c>
      <c r="AH193" s="9" t="s">
        <v>139</v>
      </c>
      <c r="AI193" t="s">
        <v>139</v>
      </c>
      <c r="AJ193" t="s">
        <v>139</v>
      </c>
      <c r="AK193" t="s">
        <v>139</v>
      </c>
      <c r="AL193" t="s">
        <v>139</v>
      </c>
      <c r="AM193" t="s">
        <v>139</v>
      </c>
      <c r="AN193" t="s">
        <v>139</v>
      </c>
      <c r="AO193" s="9" t="s">
        <v>139</v>
      </c>
      <c r="AP193" t="s">
        <v>139</v>
      </c>
      <c r="AQ193" t="s">
        <v>139</v>
      </c>
      <c r="AR193" t="s">
        <v>139</v>
      </c>
    </row>
    <row r="194" spans="1:44" x14ac:dyDescent="0.4">
      <c r="A194" s="3" t="s">
        <v>325</v>
      </c>
      <c r="B194">
        <v>221414.9</v>
      </c>
      <c r="C194">
        <v>87787.3</v>
      </c>
      <c r="D194">
        <v>67842.399999999994</v>
      </c>
      <c r="E194" t="s">
        <v>139</v>
      </c>
      <c r="F194" t="s">
        <v>139</v>
      </c>
      <c r="G194">
        <v>19944.900000000001</v>
      </c>
      <c r="H194" t="s">
        <v>139</v>
      </c>
      <c r="I194" t="s">
        <v>139</v>
      </c>
      <c r="J194">
        <v>133627.6</v>
      </c>
      <c r="K194">
        <v>45726.8</v>
      </c>
      <c r="L194">
        <v>31615.4</v>
      </c>
      <c r="M194" t="s">
        <v>139</v>
      </c>
      <c r="N194" t="s">
        <v>139</v>
      </c>
      <c r="O194" t="s">
        <v>139</v>
      </c>
      <c r="P194" t="s">
        <v>139</v>
      </c>
      <c r="Q194" t="s">
        <v>139</v>
      </c>
      <c r="R194" t="s">
        <v>139</v>
      </c>
      <c r="S194" t="s">
        <v>139</v>
      </c>
      <c r="T194" t="s">
        <v>139</v>
      </c>
      <c r="U194">
        <v>29297.9</v>
      </c>
      <c r="V194" s="6" t="s">
        <v>139</v>
      </c>
      <c r="W194" t="s">
        <v>139</v>
      </c>
      <c r="X194" t="s">
        <v>139</v>
      </c>
      <c r="Y194" t="s">
        <v>139</v>
      </c>
      <c r="Z194" t="s">
        <v>139</v>
      </c>
      <c r="AA194" t="s">
        <v>139</v>
      </c>
      <c r="AB194" t="s">
        <v>139</v>
      </c>
      <c r="AC194" t="s">
        <v>139</v>
      </c>
      <c r="AD194" t="s">
        <v>139</v>
      </c>
      <c r="AE194" t="s">
        <v>139</v>
      </c>
      <c r="AF194" t="s">
        <v>139</v>
      </c>
      <c r="AG194" t="s">
        <v>139</v>
      </c>
      <c r="AH194" s="9" t="s">
        <v>139</v>
      </c>
      <c r="AI194" t="s">
        <v>139</v>
      </c>
      <c r="AJ194" t="s">
        <v>139</v>
      </c>
      <c r="AK194" t="s">
        <v>139</v>
      </c>
      <c r="AL194" t="s">
        <v>139</v>
      </c>
      <c r="AM194" t="s">
        <v>139</v>
      </c>
      <c r="AN194" t="s">
        <v>139</v>
      </c>
      <c r="AO194" s="9" t="s">
        <v>139</v>
      </c>
      <c r="AP194" t="s">
        <v>139</v>
      </c>
      <c r="AQ194" t="s">
        <v>139</v>
      </c>
      <c r="AR194" t="s">
        <v>139</v>
      </c>
    </row>
    <row r="195" spans="1:44" x14ac:dyDescent="0.4">
      <c r="A195" s="3" t="s">
        <v>326</v>
      </c>
      <c r="B195">
        <v>222515.3</v>
      </c>
      <c r="C195">
        <v>87882.8</v>
      </c>
      <c r="D195">
        <v>67743.899999999994</v>
      </c>
      <c r="E195" t="s">
        <v>139</v>
      </c>
      <c r="F195" t="s">
        <v>139</v>
      </c>
      <c r="G195">
        <v>20138.8</v>
      </c>
      <c r="H195" t="s">
        <v>139</v>
      </c>
      <c r="I195" t="s">
        <v>139</v>
      </c>
      <c r="J195">
        <v>134632.5</v>
      </c>
      <c r="K195">
        <v>45923.4</v>
      </c>
      <c r="L195">
        <v>31903.4</v>
      </c>
      <c r="M195" t="s">
        <v>139</v>
      </c>
      <c r="N195" t="s">
        <v>139</v>
      </c>
      <c r="O195" t="s">
        <v>139</v>
      </c>
      <c r="P195" t="s">
        <v>139</v>
      </c>
      <c r="Q195" t="s">
        <v>139</v>
      </c>
      <c r="R195" t="s">
        <v>139</v>
      </c>
      <c r="S195" t="s">
        <v>139</v>
      </c>
      <c r="T195" t="s">
        <v>139</v>
      </c>
      <c r="U195">
        <v>29534</v>
      </c>
      <c r="V195" s="6" t="s">
        <v>139</v>
      </c>
      <c r="W195" t="s">
        <v>139</v>
      </c>
      <c r="X195" t="s">
        <v>139</v>
      </c>
      <c r="Y195" t="s">
        <v>139</v>
      </c>
      <c r="Z195" t="s">
        <v>139</v>
      </c>
      <c r="AA195" t="s">
        <v>139</v>
      </c>
      <c r="AB195" t="s">
        <v>139</v>
      </c>
      <c r="AC195" t="s">
        <v>139</v>
      </c>
      <c r="AD195" t="s">
        <v>139</v>
      </c>
      <c r="AE195" t="s">
        <v>139</v>
      </c>
      <c r="AF195" t="s">
        <v>139</v>
      </c>
      <c r="AG195" t="s">
        <v>139</v>
      </c>
      <c r="AH195" s="9" t="s">
        <v>139</v>
      </c>
      <c r="AI195" t="s">
        <v>139</v>
      </c>
      <c r="AJ195" t="s">
        <v>139</v>
      </c>
      <c r="AK195" t="s">
        <v>139</v>
      </c>
      <c r="AL195" t="s">
        <v>139</v>
      </c>
      <c r="AM195" t="s">
        <v>139</v>
      </c>
      <c r="AN195" t="s">
        <v>139</v>
      </c>
      <c r="AO195" s="9" t="s">
        <v>139</v>
      </c>
      <c r="AP195" t="s">
        <v>139</v>
      </c>
      <c r="AQ195" t="s">
        <v>139</v>
      </c>
      <c r="AR195" t="s">
        <v>139</v>
      </c>
    </row>
    <row r="196" spans="1:44" x14ac:dyDescent="0.4">
      <c r="A196" s="3" t="s">
        <v>327</v>
      </c>
      <c r="B196">
        <v>224891</v>
      </c>
      <c r="C196">
        <v>88208</v>
      </c>
      <c r="D196">
        <v>67824.899999999994</v>
      </c>
      <c r="E196" t="s">
        <v>139</v>
      </c>
      <c r="F196" t="s">
        <v>139</v>
      </c>
      <c r="G196">
        <v>20383.099999999999</v>
      </c>
      <c r="H196" t="s">
        <v>139</v>
      </c>
      <c r="I196" t="s">
        <v>139</v>
      </c>
      <c r="J196">
        <v>136683</v>
      </c>
      <c r="K196">
        <v>46373.599999999999</v>
      </c>
      <c r="L196">
        <v>32248.1</v>
      </c>
      <c r="M196" t="s">
        <v>139</v>
      </c>
      <c r="N196" t="s">
        <v>139</v>
      </c>
      <c r="O196" t="s">
        <v>139</v>
      </c>
      <c r="P196" t="s">
        <v>139</v>
      </c>
      <c r="Q196" t="s">
        <v>139</v>
      </c>
      <c r="R196" t="s">
        <v>139</v>
      </c>
      <c r="S196" t="s">
        <v>139</v>
      </c>
      <c r="T196" t="s">
        <v>139</v>
      </c>
      <c r="U196">
        <v>29697</v>
      </c>
      <c r="V196" s="6" t="s">
        <v>139</v>
      </c>
      <c r="W196" t="s">
        <v>139</v>
      </c>
      <c r="X196" t="s">
        <v>139</v>
      </c>
      <c r="Y196" t="s">
        <v>139</v>
      </c>
      <c r="Z196" t="s">
        <v>139</v>
      </c>
      <c r="AA196" t="s">
        <v>139</v>
      </c>
      <c r="AB196" t="s">
        <v>139</v>
      </c>
      <c r="AC196" t="s">
        <v>139</v>
      </c>
      <c r="AD196" t="s">
        <v>139</v>
      </c>
      <c r="AE196" t="s">
        <v>139</v>
      </c>
      <c r="AF196" t="s">
        <v>139</v>
      </c>
      <c r="AG196" t="s">
        <v>139</v>
      </c>
      <c r="AH196" s="9" t="s">
        <v>139</v>
      </c>
      <c r="AI196" t="s">
        <v>139</v>
      </c>
      <c r="AJ196" t="s">
        <v>139</v>
      </c>
      <c r="AK196" t="s">
        <v>139</v>
      </c>
      <c r="AL196" t="s">
        <v>139</v>
      </c>
      <c r="AM196" t="s">
        <v>139</v>
      </c>
      <c r="AN196" t="s">
        <v>139</v>
      </c>
      <c r="AO196" s="9" t="s">
        <v>139</v>
      </c>
      <c r="AP196" t="s">
        <v>139</v>
      </c>
      <c r="AQ196" t="s">
        <v>139</v>
      </c>
      <c r="AR196" t="s">
        <v>139</v>
      </c>
    </row>
    <row r="197" spans="1:44" x14ac:dyDescent="0.4">
      <c r="A197" s="3" t="s">
        <v>328</v>
      </c>
      <c r="B197">
        <v>227471.1</v>
      </c>
      <c r="C197">
        <v>89763.6</v>
      </c>
      <c r="D197">
        <v>69272.5</v>
      </c>
      <c r="E197" t="s">
        <v>139</v>
      </c>
      <c r="F197" t="s">
        <v>139</v>
      </c>
      <c r="G197">
        <v>20491.099999999999</v>
      </c>
      <c r="H197" t="s">
        <v>139</v>
      </c>
      <c r="I197" t="s">
        <v>139</v>
      </c>
      <c r="J197">
        <v>137707.5</v>
      </c>
      <c r="K197">
        <v>46848.7</v>
      </c>
      <c r="L197">
        <v>32607.5</v>
      </c>
      <c r="M197" t="s">
        <v>139</v>
      </c>
      <c r="N197" t="s">
        <v>139</v>
      </c>
      <c r="O197" t="s">
        <v>139</v>
      </c>
      <c r="P197" t="s">
        <v>139</v>
      </c>
      <c r="Q197" t="s">
        <v>139</v>
      </c>
      <c r="R197" t="s">
        <v>139</v>
      </c>
      <c r="S197" t="s">
        <v>139</v>
      </c>
      <c r="T197" t="s">
        <v>139</v>
      </c>
      <c r="U197">
        <v>29906.7</v>
      </c>
      <c r="V197" s="6" t="s">
        <v>139</v>
      </c>
      <c r="W197" t="s">
        <v>139</v>
      </c>
      <c r="X197" t="s">
        <v>139</v>
      </c>
      <c r="Y197" t="s">
        <v>139</v>
      </c>
      <c r="Z197" t="s">
        <v>139</v>
      </c>
      <c r="AA197" t="s">
        <v>139</v>
      </c>
      <c r="AB197" t="s">
        <v>139</v>
      </c>
      <c r="AC197" t="s">
        <v>139</v>
      </c>
      <c r="AD197" t="s">
        <v>139</v>
      </c>
      <c r="AE197" t="s">
        <v>139</v>
      </c>
      <c r="AF197" t="s">
        <v>139</v>
      </c>
      <c r="AG197" t="s">
        <v>139</v>
      </c>
      <c r="AH197" s="9" t="s">
        <v>139</v>
      </c>
      <c r="AI197" t="s">
        <v>139</v>
      </c>
      <c r="AJ197" t="s">
        <v>139</v>
      </c>
      <c r="AK197" t="s">
        <v>139</v>
      </c>
      <c r="AL197" t="s">
        <v>139</v>
      </c>
      <c r="AM197" t="s">
        <v>139</v>
      </c>
      <c r="AN197" t="s">
        <v>139</v>
      </c>
      <c r="AO197" s="9" t="s">
        <v>139</v>
      </c>
      <c r="AP197" t="s">
        <v>139</v>
      </c>
      <c r="AQ197" t="s">
        <v>139</v>
      </c>
      <c r="AR197" t="s">
        <v>139</v>
      </c>
    </row>
    <row r="198" spans="1:44" x14ac:dyDescent="0.4">
      <c r="A198" s="3" t="s">
        <v>329</v>
      </c>
      <c r="B198">
        <v>228724.7</v>
      </c>
      <c r="C198">
        <v>89745.7</v>
      </c>
      <c r="D198">
        <v>69104.399999999994</v>
      </c>
      <c r="E198" t="s">
        <v>139</v>
      </c>
      <c r="F198" t="s">
        <v>139</v>
      </c>
      <c r="G198">
        <v>20641.3</v>
      </c>
      <c r="H198" t="s">
        <v>139</v>
      </c>
      <c r="I198" t="s">
        <v>139</v>
      </c>
      <c r="J198">
        <v>138979</v>
      </c>
      <c r="K198">
        <v>47199.8</v>
      </c>
      <c r="L198">
        <v>32972.800000000003</v>
      </c>
      <c r="M198" t="s">
        <v>139</v>
      </c>
      <c r="N198" t="s">
        <v>139</v>
      </c>
      <c r="O198" t="s">
        <v>139</v>
      </c>
      <c r="P198" t="s">
        <v>139</v>
      </c>
      <c r="Q198" t="s">
        <v>139</v>
      </c>
      <c r="R198" t="s">
        <v>139</v>
      </c>
      <c r="S198" t="s">
        <v>139</v>
      </c>
      <c r="T198" t="s">
        <v>139</v>
      </c>
      <c r="U198">
        <v>30111.599999999999</v>
      </c>
      <c r="V198" s="6" t="s">
        <v>139</v>
      </c>
      <c r="W198" t="s">
        <v>139</v>
      </c>
      <c r="X198" t="s">
        <v>139</v>
      </c>
      <c r="Y198" t="s">
        <v>139</v>
      </c>
      <c r="Z198" t="s">
        <v>139</v>
      </c>
      <c r="AA198" t="s">
        <v>139</v>
      </c>
      <c r="AB198" t="s">
        <v>139</v>
      </c>
      <c r="AC198" t="s">
        <v>139</v>
      </c>
      <c r="AD198" t="s">
        <v>139</v>
      </c>
      <c r="AE198" t="s">
        <v>139</v>
      </c>
      <c r="AF198" t="s">
        <v>139</v>
      </c>
      <c r="AG198" t="s">
        <v>139</v>
      </c>
      <c r="AH198" s="9" t="s">
        <v>139</v>
      </c>
      <c r="AI198" t="s">
        <v>139</v>
      </c>
      <c r="AJ198" t="s">
        <v>139</v>
      </c>
      <c r="AK198" t="s">
        <v>139</v>
      </c>
      <c r="AL198" t="s">
        <v>139</v>
      </c>
      <c r="AM198" t="s">
        <v>139</v>
      </c>
      <c r="AN198" t="s">
        <v>139</v>
      </c>
      <c r="AO198" s="9" t="s">
        <v>139</v>
      </c>
      <c r="AP198" t="s">
        <v>139</v>
      </c>
      <c r="AQ198" t="s">
        <v>139</v>
      </c>
      <c r="AR198" t="s">
        <v>139</v>
      </c>
    </row>
    <row r="199" spans="1:44" x14ac:dyDescent="0.4">
      <c r="A199" s="3" t="s">
        <v>330</v>
      </c>
      <c r="B199">
        <v>231950.7</v>
      </c>
      <c r="C199">
        <v>90821</v>
      </c>
      <c r="D199">
        <v>69885.600000000006</v>
      </c>
      <c r="E199" t="s">
        <v>139</v>
      </c>
      <c r="F199" t="s">
        <v>139</v>
      </c>
      <c r="G199">
        <v>20935.400000000001</v>
      </c>
      <c r="H199" t="s">
        <v>139</v>
      </c>
      <c r="I199" t="s">
        <v>139</v>
      </c>
      <c r="J199">
        <v>141129.60000000001</v>
      </c>
      <c r="K199">
        <v>47437.599999999999</v>
      </c>
      <c r="L199">
        <v>33292</v>
      </c>
      <c r="M199" t="s">
        <v>139</v>
      </c>
      <c r="N199" t="s">
        <v>139</v>
      </c>
      <c r="O199" t="s">
        <v>139</v>
      </c>
      <c r="P199" t="s">
        <v>139</v>
      </c>
      <c r="Q199" t="s">
        <v>139</v>
      </c>
      <c r="R199" t="s">
        <v>139</v>
      </c>
      <c r="S199" t="s">
        <v>139</v>
      </c>
      <c r="T199" t="s">
        <v>139</v>
      </c>
      <c r="U199">
        <v>30233.3</v>
      </c>
      <c r="V199" s="6" t="s">
        <v>139</v>
      </c>
      <c r="W199" t="s">
        <v>139</v>
      </c>
      <c r="X199" t="s">
        <v>139</v>
      </c>
      <c r="Y199" t="s">
        <v>139</v>
      </c>
      <c r="Z199" t="s">
        <v>139</v>
      </c>
      <c r="AA199" t="s">
        <v>139</v>
      </c>
      <c r="AB199" t="s">
        <v>139</v>
      </c>
      <c r="AC199" t="s">
        <v>139</v>
      </c>
      <c r="AD199" t="s">
        <v>139</v>
      </c>
      <c r="AE199" t="s">
        <v>139</v>
      </c>
      <c r="AF199" t="s">
        <v>139</v>
      </c>
      <c r="AG199" t="s">
        <v>139</v>
      </c>
      <c r="AH199" s="9" t="s">
        <v>139</v>
      </c>
      <c r="AI199" t="s">
        <v>139</v>
      </c>
      <c r="AJ199" t="s">
        <v>139</v>
      </c>
      <c r="AK199" t="s">
        <v>139</v>
      </c>
      <c r="AL199" t="s">
        <v>139</v>
      </c>
      <c r="AM199" t="s">
        <v>139</v>
      </c>
      <c r="AN199" t="s">
        <v>139</v>
      </c>
      <c r="AO199" s="9" t="s">
        <v>139</v>
      </c>
      <c r="AP199" t="s">
        <v>139</v>
      </c>
      <c r="AQ199" t="s">
        <v>139</v>
      </c>
      <c r="AR199" t="s">
        <v>139</v>
      </c>
    </row>
    <row r="200" spans="1:44" x14ac:dyDescent="0.4">
      <c r="A200" s="3" t="s">
        <v>331</v>
      </c>
      <c r="B200">
        <v>233094.2</v>
      </c>
      <c r="C200">
        <v>91447.5</v>
      </c>
      <c r="D200">
        <v>70381.399999999994</v>
      </c>
      <c r="E200" t="s">
        <v>139</v>
      </c>
      <c r="F200" t="s">
        <v>139</v>
      </c>
      <c r="G200">
        <v>21066.1</v>
      </c>
      <c r="H200" t="s">
        <v>139</v>
      </c>
      <c r="I200" t="s">
        <v>139</v>
      </c>
      <c r="J200">
        <v>141646.70000000001</v>
      </c>
      <c r="K200">
        <v>47662.3</v>
      </c>
      <c r="L200">
        <v>33682.5</v>
      </c>
      <c r="M200" t="s">
        <v>139</v>
      </c>
      <c r="N200" t="s">
        <v>139</v>
      </c>
      <c r="O200" t="s">
        <v>139</v>
      </c>
      <c r="P200" t="s">
        <v>139</v>
      </c>
      <c r="Q200" t="s">
        <v>139</v>
      </c>
      <c r="R200" t="s">
        <v>139</v>
      </c>
      <c r="S200" t="s">
        <v>139</v>
      </c>
      <c r="T200" t="s">
        <v>139</v>
      </c>
      <c r="U200">
        <v>30545.599999999999</v>
      </c>
      <c r="V200" s="6" t="s">
        <v>139</v>
      </c>
      <c r="W200" t="s">
        <v>139</v>
      </c>
      <c r="X200" t="s">
        <v>139</v>
      </c>
      <c r="Y200" t="s">
        <v>139</v>
      </c>
      <c r="Z200" t="s">
        <v>139</v>
      </c>
      <c r="AA200" t="s">
        <v>139</v>
      </c>
      <c r="AB200" t="s">
        <v>139</v>
      </c>
      <c r="AC200" t="s">
        <v>139</v>
      </c>
      <c r="AD200" t="s">
        <v>139</v>
      </c>
      <c r="AE200" t="s">
        <v>139</v>
      </c>
      <c r="AF200" t="s">
        <v>139</v>
      </c>
      <c r="AG200" t="s">
        <v>139</v>
      </c>
      <c r="AH200" s="9" t="s">
        <v>139</v>
      </c>
      <c r="AI200" t="s">
        <v>139</v>
      </c>
      <c r="AJ200" t="s">
        <v>139</v>
      </c>
      <c r="AK200" t="s">
        <v>139</v>
      </c>
      <c r="AL200" t="s">
        <v>139</v>
      </c>
      <c r="AM200" t="s">
        <v>139</v>
      </c>
      <c r="AN200" t="s">
        <v>139</v>
      </c>
      <c r="AO200" s="9" t="s">
        <v>139</v>
      </c>
      <c r="AP200" t="s">
        <v>139</v>
      </c>
      <c r="AQ200" t="s">
        <v>139</v>
      </c>
      <c r="AR200" t="s">
        <v>139</v>
      </c>
    </row>
    <row r="201" spans="1:44" x14ac:dyDescent="0.4">
      <c r="A201" s="3" t="s">
        <v>332</v>
      </c>
      <c r="B201">
        <v>233447.5</v>
      </c>
      <c r="C201">
        <v>90878.2</v>
      </c>
      <c r="D201">
        <v>69591.7</v>
      </c>
      <c r="E201" t="s">
        <v>139</v>
      </c>
      <c r="F201" t="s">
        <v>139</v>
      </c>
      <c r="G201">
        <v>21286.5</v>
      </c>
      <c r="H201" t="s">
        <v>139</v>
      </c>
      <c r="I201" t="s">
        <v>139</v>
      </c>
      <c r="J201">
        <v>142569.4</v>
      </c>
      <c r="K201">
        <v>47829.4</v>
      </c>
      <c r="L201">
        <v>34068.199999999997</v>
      </c>
      <c r="M201" t="s">
        <v>139</v>
      </c>
      <c r="N201" t="s">
        <v>139</v>
      </c>
      <c r="O201" t="s">
        <v>139</v>
      </c>
      <c r="P201" t="s">
        <v>139</v>
      </c>
      <c r="Q201" t="s">
        <v>139</v>
      </c>
      <c r="R201" t="s">
        <v>139</v>
      </c>
      <c r="S201" t="s">
        <v>139</v>
      </c>
      <c r="T201" t="s">
        <v>139</v>
      </c>
      <c r="U201">
        <v>30905.4</v>
      </c>
      <c r="V201" s="6" t="s">
        <v>139</v>
      </c>
      <c r="W201" t="s">
        <v>139</v>
      </c>
      <c r="X201" t="s">
        <v>139</v>
      </c>
      <c r="Y201" t="s">
        <v>139</v>
      </c>
      <c r="Z201" t="s">
        <v>139</v>
      </c>
      <c r="AA201" t="s">
        <v>139</v>
      </c>
      <c r="AB201" t="s">
        <v>139</v>
      </c>
      <c r="AC201" t="s">
        <v>139</v>
      </c>
      <c r="AD201" t="s">
        <v>139</v>
      </c>
      <c r="AE201" t="s">
        <v>139</v>
      </c>
      <c r="AF201" t="s">
        <v>139</v>
      </c>
      <c r="AG201" t="s">
        <v>139</v>
      </c>
      <c r="AH201" s="9" t="s">
        <v>139</v>
      </c>
      <c r="AI201" t="s">
        <v>139</v>
      </c>
      <c r="AJ201" t="s">
        <v>139</v>
      </c>
      <c r="AK201" t="s">
        <v>139</v>
      </c>
      <c r="AL201" t="s">
        <v>139</v>
      </c>
      <c r="AM201" t="s">
        <v>139</v>
      </c>
      <c r="AN201" t="s">
        <v>139</v>
      </c>
      <c r="AO201" s="9" t="s">
        <v>139</v>
      </c>
      <c r="AP201" t="s">
        <v>139</v>
      </c>
      <c r="AQ201" t="s">
        <v>139</v>
      </c>
      <c r="AR201" t="s">
        <v>139</v>
      </c>
    </row>
    <row r="202" spans="1:44" x14ac:dyDescent="0.4">
      <c r="A202" s="3" t="s">
        <v>333</v>
      </c>
      <c r="B202">
        <v>234393.4</v>
      </c>
      <c r="C202">
        <v>90394.6</v>
      </c>
      <c r="D202">
        <v>68553.100000000006</v>
      </c>
      <c r="E202" t="s">
        <v>139</v>
      </c>
      <c r="F202" t="s">
        <v>139</v>
      </c>
      <c r="G202">
        <v>21841.5</v>
      </c>
      <c r="H202" t="s">
        <v>139</v>
      </c>
      <c r="I202" t="s">
        <v>139</v>
      </c>
      <c r="J202">
        <v>143998.79999999999</v>
      </c>
      <c r="K202">
        <v>47973.9</v>
      </c>
      <c r="L202">
        <v>34353.199999999997</v>
      </c>
      <c r="M202" t="s">
        <v>139</v>
      </c>
      <c r="N202" t="s">
        <v>139</v>
      </c>
      <c r="O202" t="s">
        <v>139</v>
      </c>
      <c r="P202" t="s">
        <v>139</v>
      </c>
      <c r="Q202" t="s">
        <v>139</v>
      </c>
      <c r="R202" t="s">
        <v>139</v>
      </c>
      <c r="S202" t="s">
        <v>139</v>
      </c>
      <c r="T202" t="s">
        <v>139</v>
      </c>
      <c r="U202">
        <v>31241.4</v>
      </c>
      <c r="V202" s="6" t="s">
        <v>139</v>
      </c>
      <c r="W202" t="s">
        <v>139</v>
      </c>
      <c r="X202" t="s">
        <v>139</v>
      </c>
      <c r="Y202" t="s">
        <v>139</v>
      </c>
      <c r="Z202" t="s">
        <v>139</v>
      </c>
      <c r="AA202" t="s">
        <v>139</v>
      </c>
      <c r="AB202" t="s">
        <v>139</v>
      </c>
      <c r="AC202" t="s">
        <v>139</v>
      </c>
      <c r="AD202" t="s">
        <v>139</v>
      </c>
      <c r="AE202" t="s">
        <v>139</v>
      </c>
      <c r="AF202" t="s">
        <v>139</v>
      </c>
      <c r="AG202" t="s">
        <v>139</v>
      </c>
      <c r="AH202" s="9" t="s">
        <v>139</v>
      </c>
      <c r="AI202" t="s">
        <v>139</v>
      </c>
      <c r="AJ202" t="s">
        <v>139</v>
      </c>
      <c r="AK202" t="s">
        <v>139</v>
      </c>
      <c r="AL202" t="s">
        <v>139</v>
      </c>
      <c r="AM202" t="s">
        <v>139</v>
      </c>
      <c r="AN202" t="s">
        <v>139</v>
      </c>
      <c r="AO202" s="9" t="s">
        <v>139</v>
      </c>
      <c r="AP202" t="s">
        <v>139</v>
      </c>
      <c r="AQ202" t="s">
        <v>139</v>
      </c>
      <c r="AR202" t="s">
        <v>139</v>
      </c>
    </row>
    <row r="203" spans="1:44" x14ac:dyDescent="0.4">
      <c r="A203" s="3" t="s">
        <v>334</v>
      </c>
      <c r="B203">
        <v>235436.6</v>
      </c>
      <c r="C203">
        <v>90202.5</v>
      </c>
      <c r="D203">
        <v>67884.2</v>
      </c>
      <c r="E203" t="s">
        <v>139</v>
      </c>
      <c r="F203" t="s">
        <v>139</v>
      </c>
      <c r="G203">
        <v>22318.3</v>
      </c>
      <c r="H203" t="s">
        <v>139</v>
      </c>
      <c r="I203" t="s">
        <v>139</v>
      </c>
      <c r="J203">
        <v>145234.20000000001</v>
      </c>
      <c r="K203">
        <v>48391.7</v>
      </c>
      <c r="L203">
        <v>34709</v>
      </c>
      <c r="M203" t="s">
        <v>139</v>
      </c>
      <c r="N203" t="s">
        <v>139</v>
      </c>
      <c r="O203" t="s">
        <v>139</v>
      </c>
      <c r="P203" t="s">
        <v>139</v>
      </c>
      <c r="Q203" t="s">
        <v>139</v>
      </c>
      <c r="R203" t="s">
        <v>139</v>
      </c>
      <c r="S203" t="s">
        <v>139</v>
      </c>
      <c r="T203" t="s">
        <v>139</v>
      </c>
      <c r="U203">
        <v>31537.1</v>
      </c>
      <c r="V203" s="6" t="s">
        <v>139</v>
      </c>
      <c r="W203" t="s">
        <v>139</v>
      </c>
      <c r="X203" t="s">
        <v>139</v>
      </c>
      <c r="Y203" t="s">
        <v>139</v>
      </c>
      <c r="Z203" t="s">
        <v>139</v>
      </c>
      <c r="AA203" t="s">
        <v>139</v>
      </c>
      <c r="AB203" t="s">
        <v>139</v>
      </c>
      <c r="AC203" t="s">
        <v>139</v>
      </c>
      <c r="AD203" t="s">
        <v>139</v>
      </c>
      <c r="AE203" t="s">
        <v>139</v>
      </c>
      <c r="AF203" t="s">
        <v>139</v>
      </c>
      <c r="AG203" t="s">
        <v>139</v>
      </c>
      <c r="AH203" s="9" t="s">
        <v>139</v>
      </c>
      <c r="AI203" t="s">
        <v>139</v>
      </c>
      <c r="AJ203" t="s">
        <v>139</v>
      </c>
      <c r="AK203" t="s">
        <v>139</v>
      </c>
      <c r="AL203" t="s">
        <v>139</v>
      </c>
      <c r="AM203" t="s">
        <v>139</v>
      </c>
      <c r="AN203" t="s">
        <v>139</v>
      </c>
      <c r="AO203" s="9" t="s">
        <v>139</v>
      </c>
      <c r="AP203" t="s">
        <v>139</v>
      </c>
      <c r="AQ203" t="s">
        <v>139</v>
      </c>
      <c r="AR203" t="s">
        <v>139</v>
      </c>
    </row>
    <row r="204" spans="1:44" x14ac:dyDescent="0.4">
      <c r="A204" s="3" t="s">
        <v>335</v>
      </c>
      <c r="B204">
        <v>237189</v>
      </c>
      <c r="C204">
        <v>89962.5</v>
      </c>
      <c r="D204">
        <v>67325.899999999994</v>
      </c>
      <c r="E204" t="s">
        <v>139</v>
      </c>
      <c r="F204" t="s">
        <v>139</v>
      </c>
      <c r="G204">
        <v>22636.6</v>
      </c>
      <c r="H204" t="s">
        <v>139</v>
      </c>
      <c r="I204" t="s">
        <v>139</v>
      </c>
      <c r="J204">
        <v>147226.5</v>
      </c>
      <c r="K204">
        <v>48649</v>
      </c>
      <c r="L204">
        <v>35193.199999999997</v>
      </c>
      <c r="M204" t="s">
        <v>139</v>
      </c>
      <c r="N204" t="s">
        <v>139</v>
      </c>
      <c r="O204" t="s">
        <v>139</v>
      </c>
      <c r="P204" t="s">
        <v>139</v>
      </c>
      <c r="Q204" t="s">
        <v>139</v>
      </c>
      <c r="R204" t="s">
        <v>139</v>
      </c>
      <c r="S204" t="s">
        <v>139</v>
      </c>
      <c r="T204" t="s">
        <v>139</v>
      </c>
      <c r="U204">
        <v>31834.9</v>
      </c>
      <c r="V204" s="6" t="s">
        <v>139</v>
      </c>
      <c r="W204" t="s">
        <v>139</v>
      </c>
      <c r="X204" t="s">
        <v>139</v>
      </c>
      <c r="Y204" t="s">
        <v>139</v>
      </c>
      <c r="Z204" t="s">
        <v>139</v>
      </c>
      <c r="AA204" t="s">
        <v>139</v>
      </c>
      <c r="AB204" t="s">
        <v>139</v>
      </c>
      <c r="AC204" t="s">
        <v>139</v>
      </c>
      <c r="AD204" t="s">
        <v>139</v>
      </c>
      <c r="AE204" t="s">
        <v>139</v>
      </c>
      <c r="AF204" t="s">
        <v>139</v>
      </c>
      <c r="AG204" t="s">
        <v>139</v>
      </c>
      <c r="AH204" s="9" t="s">
        <v>139</v>
      </c>
      <c r="AI204" t="s">
        <v>139</v>
      </c>
      <c r="AJ204" t="s">
        <v>139</v>
      </c>
      <c r="AK204" t="s">
        <v>139</v>
      </c>
      <c r="AL204" t="s">
        <v>139</v>
      </c>
      <c r="AM204" t="s">
        <v>139</v>
      </c>
      <c r="AN204" t="s">
        <v>139</v>
      </c>
      <c r="AO204" s="9" t="s">
        <v>139</v>
      </c>
      <c r="AP204" t="s">
        <v>139</v>
      </c>
      <c r="AQ204" t="s">
        <v>139</v>
      </c>
      <c r="AR204" t="s">
        <v>139</v>
      </c>
    </row>
    <row r="205" spans="1:44" x14ac:dyDescent="0.4">
      <c r="A205" s="3" t="s">
        <v>336</v>
      </c>
      <c r="B205">
        <v>239087.7</v>
      </c>
      <c r="C205">
        <v>90022.399999999994</v>
      </c>
      <c r="D205">
        <v>67004.399999999994</v>
      </c>
      <c r="E205" t="s">
        <v>139</v>
      </c>
      <c r="F205" t="s">
        <v>139</v>
      </c>
      <c r="G205">
        <v>23017.9</v>
      </c>
      <c r="H205" t="s">
        <v>139</v>
      </c>
      <c r="I205" t="s">
        <v>139</v>
      </c>
      <c r="J205">
        <v>149065.29999999999</v>
      </c>
      <c r="K205">
        <v>49246.9</v>
      </c>
      <c r="L205">
        <v>35852.300000000003</v>
      </c>
      <c r="M205" t="s">
        <v>139</v>
      </c>
      <c r="N205" t="s">
        <v>139</v>
      </c>
      <c r="O205" t="s">
        <v>139</v>
      </c>
      <c r="P205" t="s">
        <v>139</v>
      </c>
      <c r="Q205" t="s">
        <v>139</v>
      </c>
      <c r="R205" t="s">
        <v>139</v>
      </c>
      <c r="S205" t="s">
        <v>139</v>
      </c>
      <c r="T205" t="s">
        <v>139</v>
      </c>
      <c r="U205">
        <v>32115.7</v>
      </c>
      <c r="V205" s="6" t="s">
        <v>139</v>
      </c>
      <c r="W205" t="s">
        <v>139</v>
      </c>
      <c r="X205" t="s">
        <v>139</v>
      </c>
      <c r="Y205" t="s">
        <v>139</v>
      </c>
      <c r="Z205" t="s">
        <v>139</v>
      </c>
      <c r="AA205" t="s">
        <v>139</v>
      </c>
      <c r="AB205" t="s">
        <v>139</v>
      </c>
      <c r="AC205" t="s">
        <v>139</v>
      </c>
      <c r="AD205" t="s">
        <v>139</v>
      </c>
      <c r="AE205" t="s">
        <v>139</v>
      </c>
      <c r="AF205" t="s">
        <v>139</v>
      </c>
      <c r="AG205" t="s">
        <v>139</v>
      </c>
      <c r="AH205" s="9" t="s">
        <v>139</v>
      </c>
      <c r="AI205" t="s">
        <v>139</v>
      </c>
      <c r="AJ205" t="s">
        <v>139</v>
      </c>
      <c r="AK205" t="s">
        <v>139</v>
      </c>
      <c r="AL205" t="s">
        <v>139</v>
      </c>
      <c r="AM205" t="s">
        <v>139</v>
      </c>
      <c r="AN205" t="s">
        <v>139</v>
      </c>
      <c r="AO205" s="9" t="s">
        <v>139</v>
      </c>
      <c r="AP205" t="s">
        <v>139</v>
      </c>
      <c r="AQ205" t="s">
        <v>139</v>
      </c>
      <c r="AR205" t="s">
        <v>139</v>
      </c>
    </row>
    <row r="206" spans="1:44" x14ac:dyDescent="0.4">
      <c r="A206" s="3" t="s">
        <v>337</v>
      </c>
      <c r="B206">
        <v>241448.3</v>
      </c>
      <c r="C206">
        <v>90226.9</v>
      </c>
      <c r="D206">
        <v>66832.7</v>
      </c>
      <c r="E206" t="s">
        <v>139</v>
      </c>
      <c r="F206" t="s">
        <v>139</v>
      </c>
      <c r="G206">
        <v>23394.2</v>
      </c>
      <c r="H206" t="s">
        <v>139</v>
      </c>
      <c r="I206" t="s">
        <v>139</v>
      </c>
      <c r="J206">
        <v>151221.4</v>
      </c>
      <c r="K206">
        <v>49466.400000000001</v>
      </c>
      <c r="L206">
        <v>36341.1</v>
      </c>
      <c r="M206" t="s">
        <v>139</v>
      </c>
      <c r="N206" t="s">
        <v>139</v>
      </c>
      <c r="O206" t="s">
        <v>139</v>
      </c>
      <c r="P206" t="s">
        <v>139</v>
      </c>
      <c r="Q206" t="s">
        <v>139</v>
      </c>
      <c r="R206" t="s">
        <v>139</v>
      </c>
      <c r="S206" t="s">
        <v>139</v>
      </c>
      <c r="T206" t="s">
        <v>139</v>
      </c>
      <c r="U206">
        <v>32469.9</v>
      </c>
      <c r="V206" s="6" t="s">
        <v>139</v>
      </c>
      <c r="W206" t="s">
        <v>139</v>
      </c>
      <c r="X206" t="s">
        <v>139</v>
      </c>
      <c r="Y206" t="s">
        <v>139</v>
      </c>
      <c r="Z206" t="s">
        <v>139</v>
      </c>
      <c r="AA206" t="s">
        <v>139</v>
      </c>
      <c r="AB206" t="s">
        <v>139</v>
      </c>
      <c r="AC206" t="s">
        <v>139</v>
      </c>
      <c r="AD206" t="s">
        <v>139</v>
      </c>
      <c r="AE206" t="s">
        <v>139</v>
      </c>
      <c r="AF206" t="s">
        <v>139</v>
      </c>
      <c r="AG206" t="s">
        <v>139</v>
      </c>
      <c r="AH206" s="9" t="s">
        <v>139</v>
      </c>
      <c r="AI206" t="s">
        <v>139</v>
      </c>
      <c r="AJ206" t="s">
        <v>139</v>
      </c>
      <c r="AK206" t="s">
        <v>139</v>
      </c>
      <c r="AL206" t="s">
        <v>139</v>
      </c>
      <c r="AM206" t="s">
        <v>139</v>
      </c>
      <c r="AN206" t="s">
        <v>139</v>
      </c>
      <c r="AO206" s="9" t="s">
        <v>139</v>
      </c>
      <c r="AP206" t="s">
        <v>139</v>
      </c>
      <c r="AQ206" t="s">
        <v>139</v>
      </c>
      <c r="AR206" t="s">
        <v>139</v>
      </c>
    </row>
    <row r="207" spans="1:44" x14ac:dyDescent="0.4">
      <c r="A207" s="3" t="s">
        <v>338</v>
      </c>
      <c r="B207">
        <v>241193.9</v>
      </c>
      <c r="C207">
        <v>88984.5</v>
      </c>
      <c r="D207">
        <v>65122.6</v>
      </c>
      <c r="E207" t="s">
        <v>139</v>
      </c>
      <c r="F207" t="s">
        <v>139</v>
      </c>
      <c r="G207">
        <v>23861.9</v>
      </c>
      <c r="H207" t="s">
        <v>139</v>
      </c>
      <c r="I207" t="s">
        <v>139</v>
      </c>
      <c r="J207">
        <v>152209.4</v>
      </c>
      <c r="K207">
        <v>49476.800000000003</v>
      </c>
      <c r="L207">
        <v>36708.699999999997</v>
      </c>
      <c r="M207" t="s">
        <v>139</v>
      </c>
      <c r="N207" t="s">
        <v>139</v>
      </c>
      <c r="O207" t="s">
        <v>139</v>
      </c>
      <c r="P207" t="s">
        <v>139</v>
      </c>
      <c r="Q207" t="s">
        <v>139</v>
      </c>
      <c r="R207" t="s">
        <v>139</v>
      </c>
      <c r="S207" t="s">
        <v>139</v>
      </c>
      <c r="T207" t="s">
        <v>139</v>
      </c>
      <c r="U207">
        <v>32199.1</v>
      </c>
      <c r="V207" s="6" t="s">
        <v>139</v>
      </c>
      <c r="W207" t="s">
        <v>139</v>
      </c>
      <c r="X207" t="s">
        <v>139</v>
      </c>
      <c r="Y207" t="s">
        <v>139</v>
      </c>
      <c r="Z207" t="s">
        <v>139</v>
      </c>
      <c r="AA207" t="s">
        <v>139</v>
      </c>
      <c r="AB207" t="s">
        <v>139</v>
      </c>
      <c r="AC207" t="s">
        <v>139</v>
      </c>
      <c r="AD207" t="s">
        <v>139</v>
      </c>
      <c r="AE207" t="s">
        <v>139</v>
      </c>
      <c r="AF207" t="s">
        <v>139</v>
      </c>
      <c r="AG207" t="s">
        <v>139</v>
      </c>
      <c r="AH207" s="9" t="s">
        <v>139</v>
      </c>
      <c r="AI207" t="s">
        <v>139</v>
      </c>
      <c r="AJ207" t="s">
        <v>139</v>
      </c>
      <c r="AK207" t="s">
        <v>139</v>
      </c>
      <c r="AL207" t="s">
        <v>139</v>
      </c>
      <c r="AM207" t="s">
        <v>139</v>
      </c>
      <c r="AN207" t="s">
        <v>139</v>
      </c>
      <c r="AO207" s="9" t="s">
        <v>139</v>
      </c>
      <c r="AP207" t="s">
        <v>139</v>
      </c>
      <c r="AQ207" t="s">
        <v>139</v>
      </c>
      <c r="AR207" t="s">
        <v>139</v>
      </c>
    </row>
    <row r="208" spans="1:44" x14ac:dyDescent="0.4">
      <c r="A208" s="3" t="s">
        <v>339</v>
      </c>
      <c r="B208">
        <v>244117.8</v>
      </c>
      <c r="C208">
        <v>89567.2</v>
      </c>
      <c r="D208">
        <v>65312.9</v>
      </c>
      <c r="E208" t="s">
        <v>139</v>
      </c>
      <c r="F208" t="s">
        <v>139</v>
      </c>
      <c r="G208">
        <v>24254.3</v>
      </c>
      <c r="H208" t="s">
        <v>139</v>
      </c>
      <c r="I208" t="s">
        <v>139</v>
      </c>
      <c r="J208">
        <v>154550.6</v>
      </c>
      <c r="K208">
        <v>49822.5</v>
      </c>
      <c r="L208">
        <v>37074.800000000003</v>
      </c>
      <c r="M208" t="s">
        <v>139</v>
      </c>
      <c r="N208" t="s">
        <v>139</v>
      </c>
      <c r="O208" t="s">
        <v>139</v>
      </c>
      <c r="P208" t="s">
        <v>139</v>
      </c>
      <c r="Q208" t="s">
        <v>139</v>
      </c>
      <c r="R208" t="s">
        <v>139</v>
      </c>
      <c r="S208" t="s">
        <v>139</v>
      </c>
      <c r="T208" t="s">
        <v>139</v>
      </c>
      <c r="U208">
        <v>32788.400000000001</v>
      </c>
      <c r="V208" s="6" t="s">
        <v>139</v>
      </c>
      <c r="W208" t="s">
        <v>139</v>
      </c>
      <c r="X208" t="s">
        <v>139</v>
      </c>
      <c r="Y208" t="s">
        <v>139</v>
      </c>
      <c r="Z208" t="s">
        <v>139</v>
      </c>
      <c r="AA208" t="s">
        <v>139</v>
      </c>
      <c r="AB208" t="s">
        <v>139</v>
      </c>
      <c r="AC208" t="s">
        <v>139</v>
      </c>
      <c r="AD208" t="s">
        <v>139</v>
      </c>
      <c r="AE208" t="s">
        <v>139</v>
      </c>
      <c r="AF208" t="s">
        <v>139</v>
      </c>
      <c r="AG208" t="s">
        <v>139</v>
      </c>
      <c r="AH208" s="9" t="s">
        <v>139</v>
      </c>
      <c r="AI208" t="s">
        <v>139</v>
      </c>
      <c r="AJ208" t="s">
        <v>139</v>
      </c>
      <c r="AK208" t="s">
        <v>139</v>
      </c>
      <c r="AL208" t="s">
        <v>139</v>
      </c>
      <c r="AM208" t="s">
        <v>139</v>
      </c>
      <c r="AN208" t="s">
        <v>139</v>
      </c>
      <c r="AO208" s="9" t="s">
        <v>139</v>
      </c>
      <c r="AP208" t="s">
        <v>139</v>
      </c>
      <c r="AQ208" t="s">
        <v>139</v>
      </c>
      <c r="AR208" t="s">
        <v>139</v>
      </c>
    </row>
    <row r="209" spans="1:44" x14ac:dyDescent="0.4">
      <c r="A209" s="3" t="s">
        <v>340</v>
      </c>
      <c r="B209">
        <v>245661.9</v>
      </c>
      <c r="C209">
        <v>90158.5</v>
      </c>
      <c r="D209">
        <v>65749</v>
      </c>
      <c r="E209" t="s">
        <v>139</v>
      </c>
      <c r="F209" t="s">
        <v>139</v>
      </c>
      <c r="G209">
        <v>24409.5</v>
      </c>
      <c r="H209" t="s">
        <v>139</v>
      </c>
      <c r="I209" t="s">
        <v>139</v>
      </c>
      <c r="J209">
        <v>155503.29999999999</v>
      </c>
      <c r="K209">
        <v>50411.1</v>
      </c>
      <c r="L209">
        <v>37425.800000000003</v>
      </c>
      <c r="M209" t="s">
        <v>139</v>
      </c>
      <c r="N209" t="s">
        <v>139</v>
      </c>
      <c r="O209" t="s">
        <v>139</v>
      </c>
      <c r="P209" t="s">
        <v>139</v>
      </c>
      <c r="Q209" t="s">
        <v>139</v>
      </c>
      <c r="R209" t="s">
        <v>139</v>
      </c>
      <c r="S209" t="s">
        <v>139</v>
      </c>
      <c r="T209" t="s">
        <v>139</v>
      </c>
      <c r="U209">
        <v>33714.699999999997</v>
      </c>
      <c r="V209" s="6" t="s">
        <v>139</v>
      </c>
      <c r="W209" t="s">
        <v>139</v>
      </c>
      <c r="X209" t="s">
        <v>139</v>
      </c>
      <c r="Y209" t="s">
        <v>139</v>
      </c>
      <c r="Z209" t="s">
        <v>139</v>
      </c>
      <c r="AA209" t="s">
        <v>139</v>
      </c>
      <c r="AB209" t="s">
        <v>139</v>
      </c>
      <c r="AC209" t="s">
        <v>139</v>
      </c>
      <c r="AD209" t="s">
        <v>139</v>
      </c>
      <c r="AE209" t="s">
        <v>139</v>
      </c>
      <c r="AF209" t="s">
        <v>139</v>
      </c>
      <c r="AG209" t="s">
        <v>139</v>
      </c>
      <c r="AH209" s="9" t="s">
        <v>139</v>
      </c>
      <c r="AI209" t="s">
        <v>139</v>
      </c>
      <c r="AJ209" t="s">
        <v>139</v>
      </c>
      <c r="AK209" t="s">
        <v>139</v>
      </c>
      <c r="AL209" t="s">
        <v>139</v>
      </c>
      <c r="AM209" t="s">
        <v>139</v>
      </c>
      <c r="AN209" t="s">
        <v>139</v>
      </c>
      <c r="AO209" s="9" t="s">
        <v>139</v>
      </c>
      <c r="AP209" t="s">
        <v>139</v>
      </c>
      <c r="AQ209" t="s">
        <v>139</v>
      </c>
      <c r="AR209" t="s">
        <v>139</v>
      </c>
    </row>
    <row r="210" spans="1:44" x14ac:dyDescent="0.4">
      <c r="A210" s="3" t="s">
        <v>341</v>
      </c>
      <c r="B210">
        <v>247960.4</v>
      </c>
      <c r="C210">
        <v>90222.399999999994</v>
      </c>
      <c r="D210">
        <v>65928.899999999994</v>
      </c>
      <c r="E210" t="s">
        <v>139</v>
      </c>
      <c r="F210" t="s">
        <v>139</v>
      </c>
      <c r="G210">
        <v>24293.5</v>
      </c>
      <c r="H210" t="s">
        <v>139</v>
      </c>
      <c r="I210" t="s">
        <v>139</v>
      </c>
      <c r="J210">
        <v>157738</v>
      </c>
      <c r="K210">
        <v>51238.2</v>
      </c>
      <c r="L210">
        <v>37790.9</v>
      </c>
      <c r="M210" t="s">
        <v>139</v>
      </c>
      <c r="N210" t="s">
        <v>139</v>
      </c>
      <c r="O210" t="s">
        <v>139</v>
      </c>
      <c r="P210" t="s">
        <v>139</v>
      </c>
      <c r="Q210" t="s">
        <v>139</v>
      </c>
      <c r="R210" t="s">
        <v>139</v>
      </c>
      <c r="S210" t="s">
        <v>139</v>
      </c>
      <c r="T210" t="s">
        <v>139</v>
      </c>
      <c r="U210">
        <v>34032.800000000003</v>
      </c>
      <c r="V210" s="6" t="s">
        <v>139</v>
      </c>
      <c r="W210" t="s">
        <v>139</v>
      </c>
      <c r="X210" t="s">
        <v>139</v>
      </c>
      <c r="Y210" t="s">
        <v>139</v>
      </c>
      <c r="Z210" t="s">
        <v>139</v>
      </c>
      <c r="AA210" t="s">
        <v>139</v>
      </c>
      <c r="AB210" t="s">
        <v>139</v>
      </c>
      <c r="AC210" t="s">
        <v>139</v>
      </c>
      <c r="AD210" t="s">
        <v>139</v>
      </c>
      <c r="AE210" t="s">
        <v>139</v>
      </c>
      <c r="AF210" t="s">
        <v>139</v>
      </c>
      <c r="AG210" t="s">
        <v>139</v>
      </c>
      <c r="AH210" s="9" t="s">
        <v>139</v>
      </c>
      <c r="AI210" t="s">
        <v>139</v>
      </c>
      <c r="AJ210" t="s">
        <v>139</v>
      </c>
      <c r="AK210" t="s">
        <v>139</v>
      </c>
      <c r="AL210" t="s">
        <v>139</v>
      </c>
      <c r="AM210" t="s">
        <v>139</v>
      </c>
      <c r="AN210" t="s">
        <v>139</v>
      </c>
      <c r="AO210" s="9" t="s">
        <v>139</v>
      </c>
      <c r="AP210" t="s">
        <v>139</v>
      </c>
      <c r="AQ210" t="s">
        <v>139</v>
      </c>
      <c r="AR210" t="s">
        <v>139</v>
      </c>
    </row>
    <row r="211" spans="1:44" x14ac:dyDescent="0.4">
      <c r="A211" s="3" t="s">
        <v>342</v>
      </c>
      <c r="B211">
        <v>252045.1</v>
      </c>
      <c r="C211">
        <v>91398.6</v>
      </c>
      <c r="D211">
        <v>66788.2</v>
      </c>
      <c r="E211" t="s">
        <v>139</v>
      </c>
      <c r="F211" t="s">
        <v>139</v>
      </c>
      <c r="G211">
        <v>24610.400000000001</v>
      </c>
      <c r="H211" t="s">
        <v>139</v>
      </c>
      <c r="I211" t="s">
        <v>139</v>
      </c>
      <c r="J211">
        <v>160646.39999999999</v>
      </c>
      <c r="K211">
        <v>52174.1</v>
      </c>
      <c r="L211">
        <v>38082.800000000003</v>
      </c>
      <c r="M211" t="s">
        <v>139</v>
      </c>
      <c r="N211" t="s">
        <v>139</v>
      </c>
      <c r="O211" t="s">
        <v>139</v>
      </c>
      <c r="P211" t="s">
        <v>139</v>
      </c>
      <c r="Q211" t="s">
        <v>139</v>
      </c>
      <c r="R211" t="s">
        <v>139</v>
      </c>
      <c r="S211" t="s">
        <v>139</v>
      </c>
      <c r="T211" t="s">
        <v>139</v>
      </c>
      <c r="U211">
        <v>34185.199999999997</v>
      </c>
      <c r="V211" s="6" t="s">
        <v>139</v>
      </c>
      <c r="W211" t="s">
        <v>139</v>
      </c>
      <c r="X211" t="s">
        <v>139</v>
      </c>
      <c r="Y211" t="s">
        <v>139</v>
      </c>
      <c r="Z211" t="s">
        <v>139</v>
      </c>
      <c r="AA211" t="s">
        <v>139</v>
      </c>
      <c r="AB211" t="s">
        <v>139</v>
      </c>
      <c r="AC211" t="s">
        <v>139</v>
      </c>
      <c r="AD211" t="s">
        <v>139</v>
      </c>
      <c r="AE211" t="s">
        <v>139</v>
      </c>
      <c r="AF211" t="s">
        <v>139</v>
      </c>
      <c r="AG211" t="s">
        <v>139</v>
      </c>
      <c r="AH211" s="9" t="s">
        <v>139</v>
      </c>
      <c r="AI211" t="s">
        <v>139</v>
      </c>
      <c r="AJ211" t="s">
        <v>139</v>
      </c>
      <c r="AK211" t="s">
        <v>139</v>
      </c>
      <c r="AL211" t="s">
        <v>139</v>
      </c>
      <c r="AM211" t="s">
        <v>139</v>
      </c>
      <c r="AN211" t="s">
        <v>139</v>
      </c>
      <c r="AO211" s="9" t="s">
        <v>139</v>
      </c>
      <c r="AP211" t="s">
        <v>139</v>
      </c>
      <c r="AQ211" t="s">
        <v>139</v>
      </c>
      <c r="AR211" t="s">
        <v>139</v>
      </c>
    </row>
    <row r="212" spans="1:44" x14ac:dyDescent="0.4">
      <c r="A212" s="3" t="s">
        <v>343</v>
      </c>
      <c r="B212">
        <v>252489</v>
      </c>
      <c r="C212">
        <v>91034.1</v>
      </c>
      <c r="D212">
        <v>66399.8</v>
      </c>
      <c r="E212" t="s">
        <v>139</v>
      </c>
      <c r="F212" t="s">
        <v>139</v>
      </c>
      <c r="G212">
        <v>24634.3</v>
      </c>
      <c r="H212" t="s">
        <v>139</v>
      </c>
      <c r="I212" t="s">
        <v>139</v>
      </c>
      <c r="J212">
        <v>161454.79999999999</v>
      </c>
      <c r="K212">
        <v>52418.6</v>
      </c>
      <c r="L212">
        <v>38512.5</v>
      </c>
      <c r="M212" t="s">
        <v>139</v>
      </c>
      <c r="N212" t="s">
        <v>139</v>
      </c>
      <c r="O212" t="s">
        <v>139</v>
      </c>
      <c r="P212" t="s">
        <v>139</v>
      </c>
      <c r="Q212" t="s">
        <v>139</v>
      </c>
      <c r="R212" t="s">
        <v>139</v>
      </c>
      <c r="S212" t="s">
        <v>139</v>
      </c>
      <c r="T212" t="s">
        <v>139</v>
      </c>
      <c r="U212">
        <v>34629.199999999997</v>
      </c>
      <c r="V212" s="6" t="s">
        <v>139</v>
      </c>
      <c r="W212" t="s">
        <v>139</v>
      </c>
      <c r="X212" t="s">
        <v>139</v>
      </c>
      <c r="Y212" t="s">
        <v>139</v>
      </c>
      <c r="Z212" t="s">
        <v>139</v>
      </c>
      <c r="AA212" t="s">
        <v>139</v>
      </c>
      <c r="AB212" t="s">
        <v>139</v>
      </c>
      <c r="AC212" t="s">
        <v>139</v>
      </c>
      <c r="AD212" t="s">
        <v>139</v>
      </c>
      <c r="AE212" t="s">
        <v>139</v>
      </c>
      <c r="AF212" t="s">
        <v>139</v>
      </c>
      <c r="AG212" t="s">
        <v>139</v>
      </c>
      <c r="AH212" s="9" t="s">
        <v>139</v>
      </c>
      <c r="AI212" t="s">
        <v>139</v>
      </c>
      <c r="AJ212" t="s">
        <v>139</v>
      </c>
      <c r="AK212" t="s">
        <v>139</v>
      </c>
      <c r="AL212" t="s">
        <v>139</v>
      </c>
      <c r="AM212" t="s">
        <v>139</v>
      </c>
      <c r="AN212" t="s">
        <v>139</v>
      </c>
      <c r="AO212" s="9" t="s">
        <v>139</v>
      </c>
      <c r="AP212" t="s">
        <v>139</v>
      </c>
      <c r="AQ212" t="s">
        <v>139</v>
      </c>
      <c r="AR212" t="s">
        <v>139</v>
      </c>
    </row>
    <row r="213" spans="1:44" x14ac:dyDescent="0.4">
      <c r="A213" s="3" t="s">
        <v>344</v>
      </c>
      <c r="B213">
        <v>251932.6</v>
      </c>
      <c r="C213">
        <v>90220.2</v>
      </c>
      <c r="D213">
        <v>65377.2</v>
      </c>
      <c r="E213" t="s">
        <v>139</v>
      </c>
      <c r="F213" t="s">
        <v>139</v>
      </c>
      <c r="G213">
        <v>24843</v>
      </c>
      <c r="H213" t="s">
        <v>139</v>
      </c>
      <c r="I213" t="s">
        <v>139</v>
      </c>
      <c r="J213">
        <v>161712.4</v>
      </c>
      <c r="K213">
        <v>52548.2</v>
      </c>
      <c r="L213">
        <v>39010.699999999997</v>
      </c>
      <c r="M213" t="s">
        <v>139</v>
      </c>
      <c r="N213" t="s">
        <v>139</v>
      </c>
      <c r="O213" t="s">
        <v>139</v>
      </c>
      <c r="P213" t="s">
        <v>139</v>
      </c>
      <c r="Q213" t="s">
        <v>139</v>
      </c>
      <c r="R213" t="s">
        <v>139</v>
      </c>
      <c r="S213" t="s">
        <v>139</v>
      </c>
      <c r="T213" t="s">
        <v>139</v>
      </c>
      <c r="U213">
        <v>35057.800000000003</v>
      </c>
      <c r="V213" s="6" t="s">
        <v>139</v>
      </c>
      <c r="W213" t="s">
        <v>139</v>
      </c>
      <c r="X213" t="s">
        <v>139</v>
      </c>
      <c r="Y213" t="s">
        <v>139</v>
      </c>
      <c r="Z213" t="s">
        <v>139</v>
      </c>
      <c r="AA213" t="s">
        <v>139</v>
      </c>
      <c r="AB213" t="s">
        <v>139</v>
      </c>
      <c r="AC213" t="s">
        <v>139</v>
      </c>
      <c r="AD213" t="s">
        <v>139</v>
      </c>
      <c r="AE213" t="s">
        <v>139</v>
      </c>
      <c r="AF213" t="s">
        <v>139</v>
      </c>
      <c r="AG213" t="s">
        <v>139</v>
      </c>
      <c r="AH213" s="9" t="s">
        <v>139</v>
      </c>
      <c r="AI213" t="s">
        <v>139</v>
      </c>
      <c r="AJ213" t="s">
        <v>139</v>
      </c>
      <c r="AK213" t="s">
        <v>139</v>
      </c>
      <c r="AL213" t="s">
        <v>139</v>
      </c>
      <c r="AM213" t="s">
        <v>139</v>
      </c>
      <c r="AN213" t="s">
        <v>139</v>
      </c>
      <c r="AO213" s="9" t="s">
        <v>139</v>
      </c>
      <c r="AP213" t="s">
        <v>139</v>
      </c>
      <c r="AQ213" t="s">
        <v>139</v>
      </c>
      <c r="AR213" t="s">
        <v>139</v>
      </c>
    </row>
    <row r="214" spans="1:44" x14ac:dyDescent="0.4">
      <c r="A214" s="3" t="s">
        <v>345</v>
      </c>
      <c r="B214">
        <v>253545.4</v>
      </c>
      <c r="C214">
        <v>90371.8</v>
      </c>
      <c r="D214">
        <v>65151.5</v>
      </c>
      <c r="E214" t="s">
        <v>139</v>
      </c>
      <c r="F214" t="s">
        <v>139</v>
      </c>
      <c r="G214">
        <v>25220.3</v>
      </c>
      <c r="H214" t="s">
        <v>139</v>
      </c>
      <c r="I214" t="s">
        <v>139</v>
      </c>
      <c r="J214">
        <v>163173.5</v>
      </c>
      <c r="K214">
        <v>52713.9</v>
      </c>
      <c r="L214">
        <v>39360.6</v>
      </c>
      <c r="M214" t="s">
        <v>139</v>
      </c>
      <c r="N214" t="s">
        <v>139</v>
      </c>
      <c r="O214" t="s">
        <v>139</v>
      </c>
      <c r="P214" t="s">
        <v>139</v>
      </c>
      <c r="Q214" t="s">
        <v>139</v>
      </c>
      <c r="R214" t="s">
        <v>139</v>
      </c>
      <c r="S214" t="s">
        <v>139</v>
      </c>
      <c r="T214" t="s">
        <v>139</v>
      </c>
      <c r="U214">
        <v>35511.599999999999</v>
      </c>
      <c r="V214" s="6" t="s">
        <v>139</v>
      </c>
      <c r="W214" t="s">
        <v>139</v>
      </c>
      <c r="X214" t="s">
        <v>139</v>
      </c>
      <c r="Y214" t="s">
        <v>139</v>
      </c>
      <c r="Z214" t="s">
        <v>139</v>
      </c>
      <c r="AA214" t="s">
        <v>139</v>
      </c>
      <c r="AB214" t="s">
        <v>139</v>
      </c>
      <c r="AC214" t="s">
        <v>139</v>
      </c>
      <c r="AD214" t="s">
        <v>139</v>
      </c>
      <c r="AE214" t="s">
        <v>139</v>
      </c>
      <c r="AF214" t="s">
        <v>139</v>
      </c>
      <c r="AG214" t="s">
        <v>139</v>
      </c>
      <c r="AH214" s="9" t="s">
        <v>139</v>
      </c>
      <c r="AI214" t="s">
        <v>139</v>
      </c>
      <c r="AJ214" t="s">
        <v>139</v>
      </c>
      <c r="AK214" t="s">
        <v>139</v>
      </c>
      <c r="AL214" t="s">
        <v>139</v>
      </c>
      <c r="AM214" t="s">
        <v>139</v>
      </c>
      <c r="AN214" t="s">
        <v>139</v>
      </c>
      <c r="AO214" s="9" t="s">
        <v>139</v>
      </c>
      <c r="AP214" t="s">
        <v>139</v>
      </c>
      <c r="AQ214" t="s">
        <v>139</v>
      </c>
      <c r="AR214" t="s">
        <v>139</v>
      </c>
    </row>
    <row r="215" spans="1:44" x14ac:dyDescent="0.4">
      <c r="A215" s="3" t="s">
        <v>346</v>
      </c>
      <c r="B215">
        <v>255272.8</v>
      </c>
      <c r="C215">
        <v>89856.9</v>
      </c>
      <c r="D215">
        <v>64318.1</v>
      </c>
      <c r="E215" t="s">
        <v>139</v>
      </c>
      <c r="F215" t="s">
        <v>139</v>
      </c>
      <c r="G215">
        <v>25538.9</v>
      </c>
      <c r="H215" t="s">
        <v>139</v>
      </c>
      <c r="I215" t="s">
        <v>139</v>
      </c>
      <c r="J215">
        <v>165415.9</v>
      </c>
      <c r="K215">
        <v>53229</v>
      </c>
      <c r="L215">
        <v>39671.300000000003</v>
      </c>
      <c r="M215" t="s">
        <v>139</v>
      </c>
      <c r="N215" t="s">
        <v>139</v>
      </c>
      <c r="O215" t="s">
        <v>139</v>
      </c>
      <c r="P215" t="s">
        <v>139</v>
      </c>
      <c r="Q215" t="s">
        <v>139</v>
      </c>
      <c r="R215" t="s">
        <v>139</v>
      </c>
      <c r="S215" t="s">
        <v>139</v>
      </c>
      <c r="T215" t="s">
        <v>139</v>
      </c>
      <c r="U215">
        <v>35924.1</v>
      </c>
      <c r="V215" s="6" t="s">
        <v>139</v>
      </c>
      <c r="W215" t="s">
        <v>139</v>
      </c>
      <c r="X215" t="s">
        <v>139</v>
      </c>
      <c r="Y215" t="s">
        <v>139</v>
      </c>
      <c r="Z215" t="s">
        <v>139</v>
      </c>
      <c r="AA215" t="s">
        <v>139</v>
      </c>
      <c r="AB215" t="s">
        <v>139</v>
      </c>
      <c r="AC215" t="s">
        <v>139</v>
      </c>
      <c r="AD215" t="s">
        <v>139</v>
      </c>
      <c r="AE215" t="s">
        <v>139</v>
      </c>
      <c r="AF215" t="s">
        <v>139</v>
      </c>
      <c r="AG215" t="s">
        <v>139</v>
      </c>
      <c r="AH215" s="9" t="s">
        <v>139</v>
      </c>
      <c r="AI215" t="s">
        <v>139</v>
      </c>
      <c r="AJ215" t="s">
        <v>139</v>
      </c>
      <c r="AK215" t="s">
        <v>139</v>
      </c>
      <c r="AL215" t="s">
        <v>139</v>
      </c>
      <c r="AM215" t="s">
        <v>139</v>
      </c>
      <c r="AN215" t="s">
        <v>139</v>
      </c>
      <c r="AO215" s="9" t="s">
        <v>139</v>
      </c>
      <c r="AP215" t="s">
        <v>139</v>
      </c>
      <c r="AQ215" t="s">
        <v>139</v>
      </c>
      <c r="AR215" t="s">
        <v>139</v>
      </c>
    </row>
    <row r="216" spans="1:44" x14ac:dyDescent="0.4">
      <c r="A216" s="3" t="s">
        <v>347</v>
      </c>
      <c r="B216">
        <v>255596.1</v>
      </c>
      <c r="C216">
        <v>88520.4</v>
      </c>
      <c r="D216">
        <v>62926.7</v>
      </c>
      <c r="E216" t="s">
        <v>139</v>
      </c>
      <c r="F216" t="s">
        <v>139</v>
      </c>
      <c r="G216">
        <v>25593.7</v>
      </c>
      <c r="H216" t="s">
        <v>139</v>
      </c>
      <c r="I216" t="s">
        <v>139</v>
      </c>
      <c r="J216">
        <v>167075.70000000001</v>
      </c>
      <c r="K216">
        <v>53744.5</v>
      </c>
      <c r="L216">
        <v>39989.1</v>
      </c>
      <c r="M216" t="s">
        <v>139</v>
      </c>
      <c r="N216" t="s">
        <v>139</v>
      </c>
      <c r="O216" t="s">
        <v>139</v>
      </c>
      <c r="P216" t="s">
        <v>139</v>
      </c>
      <c r="Q216" t="s">
        <v>139</v>
      </c>
      <c r="R216" t="s">
        <v>139</v>
      </c>
      <c r="S216" t="s">
        <v>139</v>
      </c>
      <c r="T216" t="s">
        <v>139</v>
      </c>
      <c r="U216">
        <v>36361.9</v>
      </c>
      <c r="V216" s="6" t="s">
        <v>139</v>
      </c>
      <c r="W216" t="s">
        <v>139</v>
      </c>
      <c r="X216" t="s">
        <v>139</v>
      </c>
      <c r="Y216" t="s">
        <v>139</v>
      </c>
      <c r="Z216" t="s">
        <v>139</v>
      </c>
      <c r="AA216" t="s">
        <v>139</v>
      </c>
      <c r="AB216" t="s">
        <v>139</v>
      </c>
      <c r="AC216" t="s">
        <v>139</v>
      </c>
      <c r="AD216" t="s">
        <v>139</v>
      </c>
      <c r="AE216" t="s">
        <v>139</v>
      </c>
      <c r="AF216" t="s">
        <v>139</v>
      </c>
      <c r="AG216" t="s">
        <v>139</v>
      </c>
      <c r="AH216" s="9" t="s">
        <v>139</v>
      </c>
      <c r="AI216" t="s">
        <v>139</v>
      </c>
      <c r="AJ216" t="s">
        <v>139</v>
      </c>
      <c r="AK216" t="s">
        <v>139</v>
      </c>
      <c r="AL216" t="s">
        <v>139</v>
      </c>
      <c r="AM216" t="s">
        <v>139</v>
      </c>
      <c r="AN216" t="s">
        <v>139</v>
      </c>
      <c r="AO216" s="9" t="s">
        <v>139</v>
      </c>
      <c r="AP216" t="s">
        <v>139</v>
      </c>
      <c r="AQ216" t="s">
        <v>139</v>
      </c>
      <c r="AR216" t="s">
        <v>139</v>
      </c>
    </row>
    <row r="217" spans="1:44" x14ac:dyDescent="0.4">
      <c r="A217" s="3" t="s">
        <v>348</v>
      </c>
      <c r="B217">
        <v>257835.1</v>
      </c>
      <c r="C217">
        <v>88446</v>
      </c>
      <c r="D217">
        <v>62530.9</v>
      </c>
      <c r="E217" t="s">
        <v>139</v>
      </c>
      <c r="F217" t="s">
        <v>139</v>
      </c>
      <c r="G217">
        <v>25915</v>
      </c>
      <c r="H217" t="s">
        <v>139</v>
      </c>
      <c r="I217" t="s">
        <v>139</v>
      </c>
      <c r="J217">
        <v>169389.1</v>
      </c>
      <c r="K217">
        <v>54293.7</v>
      </c>
      <c r="L217">
        <v>40263.9</v>
      </c>
      <c r="M217" t="s">
        <v>139</v>
      </c>
      <c r="N217" t="s">
        <v>139</v>
      </c>
      <c r="O217" t="s">
        <v>139</v>
      </c>
      <c r="P217" t="s">
        <v>139</v>
      </c>
      <c r="Q217" t="s">
        <v>139</v>
      </c>
      <c r="R217" t="s">
        <v>139</v>
      </c>
      <c r="S217" t="s">
        <v>139</v>
      </c>
      <c r="T217" t="s">
        <v>139</v>
      </c>
      <c r="U217">
        <v>36749.5</v>
      </c>
      <c r="V217" s="6" t="s">
        <v>139</v>
      </c>
      <c r="W217" t="s">
        <v>139</v>
      </c>
      <c r="X217" t="s">
        <v>139</v>
      </c>
      <c r="Y217" t="s">
        <v>139</v>
      </c>
      <c r="Z217" t="s">
        <v>139</v>
      </c>
      <c r="AA217" t="s">
        <v>139</v>
      </c>
      <c r="AB217" t="s">
        <v>139</v>
      </c>
      <c r="AC217" t="s">
        <v>139</v>
      </c>
      <c r="AD217" t="s">
        <v>139</v>
      </c>
      <c r="AE217" t="s">
        <v>139</v>
      </c>
      <c r="AF217" t="s">
        <v>139</v>
      </c>
      <c r="AG217" t="s">
        <v>139</v>
      </c>
      <c r="AH217" s="9" t="s">
        <v>139</v>
      </c>
      <c r="AI217" t="s">
        <v>139</v>
      </c>
      <c r="AJ217" t="s">
        <v>139</v>
      </c>
      <c r="AK217" t="s">
        <v>139</v>
      </c>
      <c r="AL217" t="s">
        <v>139</v>
      </c>
      <c r="AM217" t="s">
        <v>139</v>
      </c>
      <c r="AN217" t="s">
        <v>139</v>
      </c>
      <c r="AO217" s="9" t="s">
        <v>139</v>
      </c>
      <c r="AP217" t="s">
        <v>139</v>
      </c>
      <c r="AQ217" t="s">
        <v>139</v>
      </c>
      <c r="AR217" t="s">
        <v>139</v>
      </c>
    </row>
    <row r="218" spans="1:44" x14ac:dyDescent="0.4">
      <c r="A218" s="3" t="s">
        <v>349</v>
      </c>
      <c r="B218">
        <v>258852.8</v>
      </c>
      <c r="C218">
        <v>88121.8</v>
      </c>
      <c r="D218">
        <v>61967.5</v>
      </c>
      <c r="E218" t="s">
        <v>139</v>
      </c>
      <c r="F218" t="s">
        <v>139</v>
      </c>
      <c r="G218">
        <v>26154.400000000001</v>
      </c>
      <c r="H218" t="s">
        <v>139</v>
      </c>
      <c r="I218" t="s">
        <v>139</v>
      </c>
      <c r="J218">
        <v>170731</v>
      </c>
      <c r="K218">
        <v>54715.9</v>
      </c>
      <c r="L218">
        <v>40666</v>
      </c>
      <c r="M218" t="s">
        <v>139</v>
      </c>
      <c r="N218" t="s">
        <v>139</v>
      </c>
      <c r="O218" t="s">
        <v>139</v>
      </c>
      <c r="P218" t="s">
        <v>139</v>
      </c>
      <c r="Q218" t="s">
        <v>139</v>
      </c>
      <c r="R218" t="s">
        <v>139</v>
      </c>
      <c r="S218" t="s">
        <v>139</v>
      </c>
      <c r="T218" t="s">
        <v>139</v>
      </c>
      <c r="U218">
        <v>37374.9</v>
      </c>
      <c r="V218" s="6" t="s">
        <v>139</v>
      </c>
      <c r="W218" t="s">
        <v>139</v>
      </c>
      <c r="X218" t="s">
        <v>139</v>
      </c>
      <c r="Y218" t="s">
        <v>139</v>
      </c>
      <c r="Z218" t="s">
        <v>139</v>
      </c>
      <c r="AA218" t="s">
        <v>139</v>
      </c>
      <c r="AB218" t="s">
        <v>139</v>
      </c>
      <c r="AC218" t="s">
        <v>139</v>
      </c>
      <c r="AD218" t="s">
        <v>139</v>
      </c>
      <c r="AE218" t="s">
        <v>139</v>
      </c>
      <c r="AF218" t="s">
        <v>139</v>
      </c>
      <c r="AG218" t="s">
        <v>139</v>
      </c>
      <c r="AH218" s="9" t="s">
        <v>139</v>
      </c>
      <c r="AI218" t="s">
        <v>139</v>
      </c>
      <c r="AJ218" t="s">
        <v>139</v>
      </c>
      <c r="AK218" t="s">
        <v>139</v>
      </c>
      <c r="AL218" t="s">
        <v>139</v>
      </c>
      <c r="AM218" t="s">
        <v>139</v>
      </c>
      <c r="AN218" t="s">
        <v>139</v>
      </c>
      <c r="AO218" s="9" t="s">
        <v>139</v>
      </c>
      <c r="AP218" t="s">
        <v>139</v>
      </c>
      <c r="AQ218" t="s">
        <v>139</v>
      </c>
      <c r="AR218" t="s">
        <v>139</v>
      </c>
    </row>
    <row r="219" spans="1:44" x14ac:dyDescent="0.4">
      <c r="A219" s="3" t="s">
        <v>350</v>
      </c>
      <c r="B219">
        <v>260144.7</v>
      </c>
      <c r="C219">
        <v>88829.7</v>
      </c>
      <c r="D219">
        <v>62373.2</v>
      </c>
      <c r="E219" t="s">
        <v>139</v>
      </c>
      <c r="F219" t="s">
        <v>139</v>
      </c>
      <c r="G219">
        <v>26456.5</v>
      </c>
      <c r="H219" t="s">
        <v>139</v>
      </c>
      <c r="I219" t="s">
        <v>139</v>
      </c>
      <c r="J219">
        <v>171315</v>
      </c>
      <c r="K219">
        <v>55104.6</v>
      </c>
      <c r="L219">
        <v>41024.1</v>
      </c>
      <c r="M219" t="s">
        <v>139</v>
      </c>
      <c r="N219" t="s">
        <v>139</v>
      </c>
      <c r="O219" t="s">
        <v>139</v>
      </c>
      <c r="P219" t="s">
        <v>139</v>
      </c>
      <c r="Q219" t="s">
        <v>139</v>
      </c>
      <c r="R219" t="s">
        <v>139</v>
      </c>
      <c r="S219" t="s">
        <v>139</v>
      </c>
      <c r="T219" t="s">
        <v>139</v>
      </c>
      <c r="U219">
        <v>37972.5</v>
      </c>
      <c r="V219" s="6" t="s">
        <v>139</v>
      </c>
      <c r="W219" t="s">
        <v>139</v>
      </c>
      <c r="X219" t="s">
        <v>139</v>
      </c>
      <c r="Y219" t="s">
        <v>139</v>
      </c>
      <c r="Z219" t="s">
        <v>139</v>
      </c>
      <c r="AA219" t="s">
        <v>139</v>
      </c>
      <c r="AB219" t="s">
        <v>139</v>
      </c>
      <c r="AC219" t="s">
        <v>139</v>
      </c>
      <c r="AD219" t="s">
        <v>139</v>
      </c>
      <c r="AE219" t="s">
        <v>139</v>
      </c>
      <c r="AF219" t="s">
        <v>139</v>
      </c>
      <c r="AG219" t="s">
        <v>139</v>
      </c>
      <c r="AH219" s="9" t="s">
        <v>139</v>
      </c>
      <c r="AI219" t="s">
        <v>139</v>
      </c>
      <c r="AJ219" t="s">
        <v>139</v>
      </c>
      <c r="AK219" t="s">
        <v>139</v>
      </c>
      <c r="AL219" t="s">
        <v>139</v>
      </c>
      <c r="AM219" t="s">
        <v>139</v>
      </c>
      <c r="AN219" t="s">
        <v>139</v>
      </c>
      <c r="AO219" s="9" t="s">
        <v>139</v>
      </c>
      <c r="AP219" t="s">
        <v>139</v>
      </c>
      <c r="AQ219" t="s">
        <v>139</v>
      </c>
      <c r="AR219" t="s">
        <v>139</v>
      </c>
    </row>
    <row r="220" spans="1:44" x14ac:dyDescent="0.4">
      <c r="A220" s="3" t="s">
        <v>351</v>
      </c>
      <c r="B220">
        <v>263366.5</v>
      </c>
      <c r="C220">
        <v>90495.9</v>
      </c>
      <c r="D220">
        <v>63640.3</v>
      </c>
      <c r="E220" t="s">
        <v>139</v>
      </c>
      <c r="F220" t="s">
        <v>139</v>
      </c>
      <c r="G220">
        <v>26855.599999999999</v>
      </c>
      <c r="H220" t="s">
        <v>139</v>
      </c>
      <c r="I220" t="s">
        <v>139</v>
      </c>
      <c r="J220">
        <v>172870.6</v>
      </c>
      <c r="K220">
        <v>55774.9</v>
      </c>
      <c r="L220">
        <v>41393.599999999999</v>
      </c>
      <c r="M220" t="s">
        <v>139</v>
      </c>
      <c r="N220" t="s">
        <v>139</v>
      </c>
      <c r="O220" t="s">
        <v>139</v>
      </c>
      <c r="P220" t="s">
        <v>139</v>
      </c>
      <c r="Q220" t="s">
        <v>139</v>
      </c>
      <c r="R220" t="s">
        <v>139</v>
      </c>
      <c r="S220" t="s">
        <v>139</v>
      </c>
      <c r="T220" t="s">
        <v>139</v>
      </c>
      <c r="U220">
        <v>38361.9</v>
      </c>
      <c r="V220" s="6" t="s">
        <v>139</v>
      </c>
      <c r="W220" t="s">
        <v>139</v>
      </c>
      <c r="X220" t="s">
        <v>139</v>
      </c>
      <c r="Y220" t="s">
        <v>139</v>
      </c>
      <c r="Z220" t="s">
        <v>139</v>
      </c>
      <c r="AA220" t="s">
        <v>139</v>
      </c>
      <c r="AB220" t="s">
        <v>139</v>
      </c>
      <c r="AC220" t="s">
        <v>139</v>
      </c>
      <c r="AD220" t="s">
        <v>139</v>
      </c>
      <c r="AE220" t="s">
        <v>139</v>
      </c>
      <c r="AF220" t="s">
        <v>139</v>
      </c>
      <c r="AG220" t="s">
        <v>139</v>
      </c>
      <c r="AH220" s="9" t="s">
        <v>139</v>
      </c>
      <c r="AI220" t="s">
        <v>139</v>
      </c>
      <c r="AJ220" t="s">
        <v>139</v>
      </c>
      <c r="AK220" t="s">
        <v>139</v>
      </c>
      <c r="AL220" t="s">
        <v>139</v>
      </c>
      <c r="AM220" t="s">
        <v>139</v>
      </c>
      <c r="AN220" t="s">
        <v>139</v>
      </c>
      <c r="AO220" s="9" t="s">
        <v>139</v>
      </c>
      <c r="AP220" t="s">
        <v>139</v>
      </c>
      <c r="AQ220" t="s">
        <v>139</v>
      </c>
      <c r="AR220" t="s">
        <v>139</v>
      </c>
    </row>
    <row r="221" spans="1:44" x14ac:dyDescent="0.4">
      <c r="A221" s="3" t="s">
        <v>352</v>
      </c>
      <c r="B221">
        <v>266213.59999999998</v>
      </c>
      <c r="C221">
        <v>91864</v>
      </c>
      <c r="D221">
        <v>64767.6</v>
      </c>
      <c r="E221" t="s">
        <v>139</v>
      </c>
      <c r="F221" t="s">
        <v>139</v>
      </c>
      <c r="G221">
        <v>27096.400000000001</v>
      </c>
      <c r="H221" t="s">
        <v>139</v>
      </c>
      <c r="I221" t="s">
        <v>139</v>
      </c>
      <c r="J221">
        <v>174349.6</v>
      </c>
      <c r="K221">
        <v>56290.8</v>
      </c>
      <c r="L221">
        <v>41718.300000000003</v>
      </c>
      <c r="M221" t="s">
        <v>139</v>
      </c>
      <c r="N221" t="s">
        <v>139</v>
      </c>
      <c r="O221" t="s">
        <v>139</v>
      </c>
      <c r="P221" t="s">
        <v>139</v>
      </c>
      <c r="Q221" t="s">
        <v>139</v>
      </c>
      <c r="R221" t="s">
        <v>139</v>
      </c>
      <c r="S221" t="s">
        <v>139</v>
      </c>
      <c r="T221" t="s">
        <v>139</v>
      </c>
      <c r="U221">
        <v>38816</v>
      </c>
      <c r="V221" s="6" t="s">
        <v>139</v>
      </c>
      <c r="W221" t="s">
        <v>139</v>
      </c>
      <c r="X221" t="s">
        <v>139</v>
      </c>
      <c r="Y221" t="s">
        <v>139</v>
      </c>
      <c r="Z221" t="s">
        <v>139</v>
      </c>
      <c r="AA221" t="s">
        <v>139</v>
      </c>
      <c r="AB221" t="s">
        <v>139</v>
      </c>
      <c r="AC221" t="s">
        <v>139</v>
      </c>
      <c r="AD221" t="s">
        <v>139</v>
      </c>
      <c r="AE221" t="s">
        <v>139</v>
      </c>
      <c r="AF221" t="s">
        <v>139</v>
      </c>
      <c r="AG221" t="s">
        <v>139</v>
      </c>
      <c r="AH221" s="9" t="s">
        <v>139</v>
      </c>
      <c r="AI221" t="s">
        <v>139</v>
      </c>
      <c r="AJ221" t="s">
        <v>139</v>
      </c>
      <c r="AK221" t="s">
        <v>139</v>
      </c>
      <c r="AL221" t="s">
        <v>139</v>
      </c>
      <c r="AM221" t="s">
        <v>139</v>
      </c>
      <c r="AN221" t="s">
        <v>139</v>
      </c>
      <c r="AO221" s="9" t="s">
        <v>139</v>
      </c>
      <c r="AP221" t="s">
        <v>139</v>
      </c>
      <c r="AQ221" t="s">
        <v>139</v>
      </c>
      <c r="AR221" t="s">
        <v>139</v>
      </c>
    </row>
    <row r="222" spans="1:44" x14ac:dyDescent="0.4">
      <c r="A222" s="3" t="s">
        <v>353</v>
      </c>
      <c r="B222">
        <v>268951.3</v>
      </c>
      <c r="C222">
        <v>93001.9</v>
      </c>
      <c r="D222">
        <v>65814.7</v>
      </c>
      <c r="E222" t="s">
        <v>139</v>
      </c>
      <c r="F222" t="s">
        <v>139</v>
      </c>
      <c r="G222">
        <v>27187.200000000001</v>
      </c>
      <c r="H222" t="s">
        <v>139</v>
      </c>
      <c r="I222" t="s">
        <v>139</v>
      </c>
      <c r="J222">
        <v>175949.4</v>
      </c>
      <c r="K222">
        <v>56862.8</v>
      </c>
      <c r="L222">
        <v>42046.2</v>
      </c>
      <c r="M222" t="s">
        <v>139</v>
      </c>
      <c r="N222" t="s">
        <v>139</v>
      </c>
      <c r="O222" t="s">
        <v>139</v>
      </c>
      <c r="P222" t="s">
        <v>139</v>
      </c>
      <c r="Q222" t="s">
        <v>139</v>
      </c>
      <c r="R222" t="s">
        <v>139</v>
      </c>
      <c r="S222" t="s">
        <v>139</v>
      </c>
      <c r="T222" t="s">
        <v>139</v>
      </c>
      <c r="U222">
        <v>39114.400000000001</v>
      </c>
      <c r="V222" s="6" t="s">
        <v>139</v>
      </c>
      <c r="W222" t="s">
        <v>139</v>
      </c>
      <c r="X222" t="s">
        <v>139</v>
      </c>
      <c r="Y222" t="s">
        <v>139</v>
      </c>
      <c r="Z222" t="s">
        <v>139</v>
      </c>
      <c r="AA222" t="s">
        <v>139</v>
      </c>
      <c r="AB222" t="s">
        <v>139</v>
      </c>
      <c r="AC222" t="s">
        <v>139</v>
      </c>
      <c r="AD222" t="s">
        <v>139</v>
      </c>
      <c r="AE222" t="s">
        <v>139</v>
      </c>
      <c r="AF222" t="s">
        <v>139</v>
      </c>
      <c r="AG222" t="s">
        <v>139</v>
      </c>
      <c r="AH222" s="9" t="s">
        <v>139</v>
      </c>
      <c r="AI222" t="s">
        <v>139</v>
      </c>
      <c r="AJ222" t="s">
        <v>139</v>
      </c>
      <c r="AK222" t="s">
        <v>139</v>
      </c>
      <c r="AL222" t="s">
        <v>139</v>
      </c>
      <c r="AM222" t="s">
        <v>139</v>
      </c>
      <c r="AN222" t="s">
        <v>139</v>
      </c>
      <c r="AO222" s="9" t="s">
        <v>139</v>
      </c>
      <c r="AP222" t="s">
        <v>139</v>
      </c>
      <c r="AQ222" t="s">
        <v>139</v>
      </c>
      <c r="AR222" t="s">
        <v>139</v>
      </c>
    </row>
    <row r="223" spans="1:44" x14ac:dyDescent="0.4">
      <c r="A223" s="3" t="s">
        <v>354</v>
      </c>
      <c r="B223">
        <v>272528.59999999998</v>
      </c>
      <c r="C223">
        <v>93674.9</v>
      </c>
      <c r="D223">
        <v>66245.8</v>
      </c>
      <c r="E223" t="s">
        <v>139</v>
      </c>
      <c r="F223" t="s">
        <v>139</v>
      </c>
      <c r="G223">
        <v>27429.1</v>
      </c>
      <c r="H223" t="s">
        <v>139</v>
      </c>
      <c r="I223" t="s">
        <v>139</v>
      </c>
      <c r="J223">
        <v>178853.8</v>
      </c>
      <c r="K223">
        <v>58348.1</v>
      </c>
      <c r="L223">
        <v>42506.7</v>
      </c>
      <c r="M223" t="s">
        <v>139</v>
      </c>
      <c r="N223" t="s">
        <v>139</v>
      </c>
      <c r="O223" t="s">
        <v>139</v>
      </c>
      <c r="P223" t="s">
        <v>139</v>
      </c>
      <c r="Q223" t="s">
        <v>139</v>
      </c>
      <c r="R223" t="s">
        <v>139</v>
      </c>
      <c r="S223" t="s">
        <v>139</v>
      </c>
      <c r="T223" t="s">
        <v>139</v>
      </c>
      <c r="U223">
        <v>39506.699999999997</v>
      </c>
      <c r="V223" s="6" t="s">
        <v>139</v>
      </c>
      <c r="W223" t="s">
        <v>139</v>
      </c>
      <c r="X223" t="s">
        <v>139</v>
      </c>
      <c r="Y223" t="s">
        <v>139</v>
      </c>
      <c r="Z223" t="s">
        <v>139</v>
      </c>
      <c r="AA223" t="s">
        <v>139</v>
      </c>
      <c r="AB223" t="s">
        <v>139</v>
      </c>
      <c r="AC223" t="s">
        <v>139</v>
      </c>
      <c r="AD223" t="s">
        <v>139</v>
      </c>
      <c r="AE223" t="s">
        <v>139</v>
      </c>
      <c r="AF223" t="s">
        <v>139</v>
      </c>
      <c r="AG223" t="s">
        <v>139</v>
      </c>
      <c r="AH223" s="9" t="s">
        <v>139</v>
      </c>
      <c r="AI223" t="s">
        <v>139</v>
      </c>
      <c r="AJ223" t="s">
        <v>139</v>
      </c>
      <c r="AK223" t="s">
        <v>139</v>
      </c>
      <c r="AL223" t="s">
        <v>139</v>
      </c>
      <c r="AM223" t="s">
        <v>139</v>
      </c>
      <c r="AN223" t="s">
        <v>139</v>
      </c>
      <c r="AO223" s="9" t="s">
        <v>139</v>
      </c>
      <c r="AP223" t="s">
        <v>139</v>
      </c>
      <c r="AQ223" t="s">
        <v>139</v>
      </c>
      <c r="AR223" t="s">
        <v>139</v>
      </c>
    </row>
    <row r="224" spans="1:44" x14ac:dyDescent="0.4">
      <c r="A224" s="3" t="s">
        <v>355</v>
      </c>
      <c r="B224">
        <v>274554.90000000002</v>
      </c>
      <c r="C224">
        <v>93336.6</v>
      </c>
      <c r="D224">
        <v>65602.2</v>
      </c>
      <c r="E224" t="s">
        <v>139</v>
      </c>
      <c r="F224" t="s">
        <v>139</v>
      </c>
      <c r="G224">
        <v>27734.400000000001</v>
      </c>
      <c r="H224" t="s">
        <v>139</v>
      </c>
      <c r="I224" t="s">
        <v>139</v>
      </c>
      <c r="J224">
        <v>181218.3</v>
      </c>
      <c r="K224">
        <v>59241</v>
      </c>
      <c r="L224">
        <v>42888.3</v>
      </c>
      <c r="M224" t="s">
        <v>139</v>
      </c>
      <c r="N224" t="s">
        <v>139</v>
      </c>
      <c r="O224" t="s">
        <v>139</v>
      </c>
      <c r="P224" t="s">
        <v>139</v>
      </c>
      <c r="Q224" t="s">
        <v>139</v>
      </c>
      <c r="R224" t="s">
        <v>139</v>
      </c>
      <c r="S224" t="s">
        <v>139</v>
      </c>
      <c r="T224" t="s">
        <v>139</v>
      </c>
      <c r="U224">
        <v>39991.9</v>
      </c>
      <c r="V224" s="6" t="s">
        <v>139</v>
      </c>
      <c r="W224" t="s">
        <v>139</v>
      </c>
      <c r="X224" t="s">
        <v>139</v>
      </c>
      <c r="Y224" t="s">
        <v>139</v>
      </c>
      <c r="Z224" t="s">
        <v>139</v>
      </c>
      <c r="AA224" t="s">
        <v>139</v>
      </c>
      <c r="AB224" t="s">
        <v>139</v>
      </c>
      <c r="AC224" t="s">
        <v>139</v>
      </c>
      <c r="AD224" t="s">
        <v>139</v>
      </c>
      <c r="AE224" t="s">
        <v>139</v>
      </c>
      <c r="AF224" t="s">
        <v>139</v>
      </c>
      <c r="AG224" t="s">
        <v>139</v>
      </c>
      <c r="AH224" s="9" t="s">
        <v>139</v>
      </c>
      <c r="AI224" t="s">
        <v>139</v>
      </c>
      <c r="AJ224" t="s">
        <v>139</v>
      </c>
      <c r="AK224" t="s">
        <v>139</v>
      </c>
      <c r="AL224" t="s">
        <v>139</v>
      </c>
      <c r="AM224" t="s">
        <v>139</v>
      </c>
      <c r="AN224" t="s">
        <v>139</v>
      </c>
      <c r="AO224" s="9" t="s">
        <v>139</v>
      </c>
      <c r="AP224" t="s">
        <v>139</v>
      </c>
      <c r="AQ224" t="s">
        <v>139</v>
      </c>
      <c r="AR224" t="s">
        <v>139</v>
      </c>
    </row>
    <row r="225" spans="1:44" x14ac:dyDescent="0.4">
      <c r="A225" s="3" t="s">
        <v>356</v>
      </c>
      <c r="B225">
        <v>275653.7</v>
      </c>
      <c r="C225">
        <v>92907.1</v>
      </c>
      <c r="D225">
        <v>64778.8</v>
      </c>
      <c r="E225" t="s">
        <v>139</v>
      </c>
      <c r="F225" t="s">
        <v>139</v>
      </c>
      <c r="G225">
        <v>28128.400000000001</v>
      </c>
      <c r="H225" t="s">
        <v>139</v>
      </c>
      <c r="I225" t="s">
        <v>139</v>
      </c>
      <c r="J225">
        <v>182746.6</v>
      </c>
      <c r="K225">
        <v>60069.3</v>
      </c>
      <c r="L225">
        <v>43233.8</v>
      </c>
      <c r="M225" t="s">
        <v>139</v>
      </c>
      <c r="N225" t="s">
        <v>139</v>
      </c>
      <c r="O225" t="s">
        <v>139</v>
      </c>
      <c r="P225" t="s">
        <v>139</v>
      </c>
      <c r="Q225" t="s">
        <v>139</v>
      </c>
      <c r="R225" t="s">
        <v>139</v>
      </c>
      <c r="S225" t="s">
        <v>139</v>
      </c>
      <c r="T225" t="s">
        <v>139</v>
      </c>
      <c r="U225">
        <v>40265.599999999999</v>
      </c>
      <c r="V225" s="6" t="s">
        <v>139</v>
      </c>
      <c r="W225" t="s">
        <v>139</v>
      </c>
      <c r="X225" t="s">
        <v>139</v>
      </c>
      <c r="Y225" t="s">
        <v>139</v>
      </c>
      <c r="Z225" t="s">
        <v>139</v>
      </c>
      <c r="AA225" t="s">
        <v>139</v>
      </c>
      <c r="AB225" t="s">
        <v>139</v>
      </c>
      <c r="AC225" t="s">
        <v>139</v>
      </c>
      <c r="AD225" t="s">
        <v>139</v>
      </c>
      <c r="AE225" t="s">
        <v>139</v>
      </c>
      <c r="AF225" t="s">
        <v>139</v>
      </c>
      <c r="AG225" t="s">
        <v>139</v>
      </c>
      <c r="AH225" s="9" t="s">
        <v>139</v>
      </c>
      <c r="AI225" t="s">
        <v>139</v>
      </c>
      <c r="AJ225" t="s">
        <v>139</v>
      </c>
      <c r="AK225" t="s">
        <v>139</v>
      </c>
      <c r="AL225" t="s">
        <v>139</v>
      </c>
      <c r="AM225" t="s">
        <v>139</v>
      </c>
      <c r="AN225" t="s">
        <v>139</v>
      </c>
      <c r="AO225" s="9" t="s">
        <v>139</v>
      </c>
      <c r="AP225" t="s">
        <v>139</v>
      </c>
      <c r="AQ225" t="s">
        <v>139</v>
      </c>
      <c r="AR225" t="s">
        <v>139</v>
      </c>
    </row>
    <row r="226" spans="1:44" x14ac:dyDescent="0.4">
      <c r="A226" s="3" t="s">
        <v>357</v>
      </c>
      <c r="B226">
        <v>277541.5</v>
      </c>
      <c r="C226">
        <v>92428.6</v>
      </c>
      <c r="D226">
        <v>63863.6</v>
      </c>
      <c r="E226" t="s">
        <v>139</v>
      </c>
      <c r="F226" t="s">
        <v>139</v>
      </c>
      <c r="G226">
        <v>28565</v>
      </c>
      <c r="H226" t="s">
        <v>139</v>
      </c>
      <c r="I226" t="s">
        <v>139</v>
      </c>
      <c r="J226">
        <v>185112.8</v>
      </c>
      <c r="K226">
        <v>61148.9</v>
      </c>
      <c r="L226">
        <v>43676.7</v>
      </c>
      <c r="M226" t="s">
        <v>139</v>
      </c>
      <c r="N226" t="s">
        <v>139</v>
      </c>
      <c r="O226" t="s">
        <v>139</v>
      </c>
      <c r="P226" t="s">
        <v>139</v>
      </c>
      <c r="Q226" t="s">
        <v>139</v>
      </c>
      <c r="R226" t="s">
        <v>139</v>
      </c>
      <c r="S226" t="s">
        <v>139</v>
      </c>
      <c r="T226" t="s">
        <v>139</v>
      </c>
      <c r="U226">
        <v>40684.1</v>
      </c>
      <c r="V226" s="6" t="s">
        <v>139</v>
      </c>
      <c r="W226" t="s">
        <v>139</v>
      </c>
      <c r="X226" t="s">
        <v>139</v>
      </c>
      <c r="Y226" t="s">
        <v>139</v>
      </c>
      <c r="Z226" t="s">
        <v>139</v>
      </c>
      <c r="AA226" t="s">
        <v>139</v>
      </c>
      <c r="AB226" t="s">
        <v>139</v>
      </c>
      <c r="AC226" t="s">
        <v>139</v>
      </c>
      <c r="AD226" t="s">
        <v>139</v>
      </c>
      <c r="AE226" t="s">
        <v>139</v>
      </c>
      <c r="AF226" t="s">
        <v>139</v>
      </c>
      <c r="AG226" t="s">
        <v>139</v>
      </c>
      <c r="AH226" s="9" t="s">
        <v>139</v>
      </c>
      <c r="AI226" t="s">
        <v>139</v>
      </c>
      <c r="AJ226" t="s">
        <v>139</v>
      </c>
      <c r="AK226" t="s">
        <v>139</v>
      </c>
      <c r="AL226" t="s">
        <v>139</v>
      </c>
      <c r="AM226" t="s">
        <v>139</v>
      </c>
      <c r="AN226" t="s">
        <v>139</v>
      </c>
      <c r="AO226" s="9" t="s">
        <v>139</v>
      </c>
      <c r="AP226" t="s">
        <v>139</v>
      </c>
      <c r="AQ226" t="s">
        <v>139</v>
      </c>
      <c r="AR226" t="s">
        <v>139</v>
      </c>
    </row>
    <row r="227" spans="1:44" x14ac:dyDescent="0.4">
      <c r="A227" s="3" t="s">
        <v>358</v>
      </c>
      <c r="B227">
        <v>280000.59999999998</v>
      </c>
      <c r="C227">
        <v>91771</v>
      </c>
      <c r="D227">
        <v>62719.6</v>
      </c>
      <c r="E227" t="s">
        <v>139</v>
      </c>
      <c r="F227" t="s">
        <v>139</v>
      </c>
      <c r="G227">
        <v>29051.4</v>
      </c>
      <c r="H227" t="s">
        <v>139</v>
      </c>
      <c r="I227" t="s">
        <v>139</v>
      </c>
      <c r="J227">
        <v>188229.5</v>
      </c>
      <c r="K227">
        <v>62133.1</v>
      </c>
      <c r="L227">
        <v>44139.1</v>
      </c>
      <c r="M227" t="s">
        <v>139</v>
      </c>
      <c r="N227" t="s">
        <v>139</v>
      </c>
      <c r="O227" t="s">
        <v>139</v>
      </c>
      <c r="P227" t="s">
        <v>139</v>
      </c>
      <c r="Q227" t="s">
        <v>139</v>
      </c>
      <c r="R227" t="s">
        <v>139</v>
      </c>
      <c r="S227" t="s">
        <v>139</v>
      </c>
      <c r="T227" t="s">
        <v>139</v>
      </c>
      <c r="U227">
        <v>41232.800000000003</v>
      </c>
      <c r="V227" s="6" t="s">
        <v>139</v>
      </c>
      <c r="W227" t="s">
        <v>139</v>
      </c>
      <c r="X227" t="s">
        <v>139</v>
      </c>
      <c r="Y227" t="s">
        <v>139</v>
      </c>
      <c r="Z227" t="s">
        <v>139</v>
      </c>
      <c r="AA227" t="s">
        <v>139</v>
      </c>
      <c r="AB227" t="s">
        <v>139</v>
      </c>
      <c r="AC227" t="s">
        <v>139</v>
      </c>
      <c r="AD227" t="s">
        <v>139</v>
      </c>
      <c r="AE227" t="s">
        <v>139</v>
      </c>
      <c r="AF227" t="s">
        <v>139</v>
      </c>
      <c r="AG227" t="s">
        <v>139</v>
      </c>
      <c r="AH227" s="9" t="s">
        <v>139</v>
      </c>
      <c r="AI227" t="s">
        <v>139</v>
      </c>
      <c r="AJ227" t="s">
        <v>139</v>
      </c>
      <c r="AK227" t="s">
        <v>139</v>
      </c>
      <c r="AL227" t="s">
        <v>139</v>
      </c>
      <c r="AM227" t="s">
        <v>139</v>
      </c>
      <c r="AN227" t="s">
        <v>139</v>
      </c>
      <c r="AO227" s="9" t="s">
        <v>139</v>
      </c>
      <c r="AP227" t="s">
        <v>139</v>
      </c>
      <c r="AQ227" t="s">
        <v>139</v>
      </c>
      <c r="AR227" t="s">
        <v>139</v>
      </c>
    </row>
    <row r="228" spans="1:44" x14ac:dyDescent="0.4">
      <c r="A228" s="3" t="s">
        <v>359</v>
      </c>
      <c r="B228">
        <v>281477.7</v>
      </c>
      <c r="C228">
        <v>90884</v>
      </c>
      <c r="D228">
        <v>61632.6</v>
      </c>
      <c r="E228" t="s">
        <v>139</v>
      </c>
      <c r="F228" t="s">
        <v>139</v>
      </c>
      <c r="G228">
        <v>29251.4</v>
      </c>
      <c r="H228" t="s">
        <v>139</v>
      </c>
      <c r="I228" t="s">
        <v>139</v>
      </c>
      <c r="J228">
        <v>190593.7</v>
      </c>
      <c r="K228">
        <v>62925</v>
      </c>
      <c r="L228">
        <v>44543.8</v>
      </c>
      <c r="M228" t="s">
        <v>139</v>
      </c>
      <c r="N228" t="s">
        <v>139</v>
      </c>
      <c r="O228" t="s">
        <v>139</v>
      </c>
      <c r="P228" t="s">
        <v>139</v>
      </c>
      <c r="Q228" t="s">
        <v>139</v>
      </c>
      <c r="R228" t="s">
        <v>139</v>
      </c>
      <c r="S228" t="s">
        <v>139</v>
      </c>
      <c r="T228" t="s">
        <v>139</v>
      </c>
      <c r="U228">
        <v>41765.300000000003</v>
      </c>
      <c r="V228" s="6" t="s">
        <v>139</v>
      </c>
      <c r="W228" t="s">
        <v>139</v>
      </c>
      <c r="X228" t="s">
        <v>139</v>
      </c>
      <c r="Y228" t="s">
        <v>139</v>
      </c>
      <c r="Z228" t="s">
        <v>139</v>
      </c>
      <c r="AA228" t="s">
        <v>139</v>
      </c>
      <c r="AB228" t="s">
        <v>139</v>
      </c>
      <c r="AC228" t="s">
        <v>139</v>
      </c>
      <c r="AD228" t="s">
        <v>139</v>
      </c>
      <c r="AE228" t="s">
        <v>139</v>
      </c>
      <c r="AF228" t="s">
        <v>139</v>
      </c>
      <c r="AG228" t="s">
        <v>139</v>
      </c>
      <c r="AH228" s="9" t="s">
        <v>139</v>
      </c>
      <c r="AI228" t="s">
        <v>139</v>
      </c>
      <c r="AJ228" t="s">
        <v>139</v>
      </c>
      <c r="AK228" t="s">
        <v>139</v>
      </c>
      <c r="AL228" t="s">
        <v>139</v>
      </c>
      <c r="AM228" t="s">
        <v>139</v>
      </c>
      <c r="AN228" t="s">
        <v>139</v>
      </c>
      <c r="AO228" s="9" t="s">
        <v>139</v>
      </c>
      <c r="AP228" t="s">
        <v>139</v>
      </c>
      <c r="AQ228" t="s">
        <v>139</v>
      </c>
      <c r="AR228" t="s">
        <v>139</v>
      </c>
    </row>
    <row r="229" spans="1:44" x14ac:dyDescent="0.4">
      <c r="A229" s="3" t="s">
        <v>360</v>
      </c>
      <c r="B229">
        <v>284437.90000000002</v>
      </c>
      <c r="C229">
        <v>90928.2</v>
      </c>
      <c r="D229">
        <v>61075.5</v>
      </c>
      <c r="E229" t="s">
        <v>139</v>
      </c>
      <c r="F229" t="s">
        <v>139</v>
      </c>
      <c r="G229">
        <v>29852.7</v>
      </c>
      <c r="H229" t="s">
        <v>139</v>
      </c>
      <c r="I229" t="s">
        <v>139</v>
      </c>
      <c r="J229">
        <v>193509.7</v>
      </c>
      <c r="K229">
        <v>64151.1</v>
      </c>
      <c r="L229">
        <v>44997.4</v>
      </c>
      <c r="M229" t="s">
        <v>139</v>
      </c>
      <c r="N229" t="s">
        <v>139</v>
      </c>
      <c r="O229" t="s">
        <v>139</v>
      </c>
      <c r="P229" t="s">
        <v>139</v>
      </c>
      <c r="Q229" t="s">
        <v>139</v>
      </c>
      <c r="R229" t="s">
        <v>139</v>
      </c>
      <c r="S229" t="s">
        <v>139</v>
      </c>
      <c r="T229" t="s">
        <v>139</v>
      </c>
      <c r="U229">
        <v>42232.5</v>
      </c>
      <c r="V229" s="6" t="s">
        <v>139</v>
      </c>
      <c r="W229" t="s">
        <v>139</v>
      </c>
      <c r="X229" t="s">
        <v>139</v>
      </c>
      <c r="Y229" t="s">
        <v>139</v>
      </c>
      <c r="Z229" t="s">
        <v>139</v>
      </c>
      <c r="AA229" t="s">
        <v>139</v>
      </c>
      <c r="AB229" t="s">
        <v>139</v>
      </c>
      <c r="AC229" t="s">
        <v>139</v>
      </c>
      <c r="AD229" t="s">
        <v>139</v>
      </c>
      <c r="AE229" t="s">
        <v>139</v>
      </c>
      <c r="AF229" t="s">
        <v>139</v>
      </c>
      <c r="AG229" t="s">
        <v>139</v>
      </c>
      <c r="AH229" s="9" t="s">
        <v>139</v>
      </c>
      <c r="AI229" t="s">
        <v>139</v>
      </c>
      <c r="AJ229" t="s">
        <v>139</v>
      </c>
      <c r="AK229" t="s">
        <v>139</v>
      </c>
      <c r="AL229" t="s">
        <v>139</v>
      </c>
      <c r="AM229" t="s">
        <v>139</v>
      </c>
      <c r="AN229" t="s">
        <v>139</v>
      </c>
      <c r="AO229" s="9" t="s">
        <v>139</v>
      </c>
      <c r="AP229" t="s">
        <v>139</v>
      </c>
      <c r="AQ229" t="s">
        <v>139</v>
      </c>
      <c r="AR229" t="s">
        <v>139</v>
      </c>
    </row>
    <row r="230" spans="1:44" x14ac:dyDescent="0.4">
      <c r="A230" s="3" t="s">
        <v>361</v>
      </c>
      <c r="B230">
        <v>286069.90000000002</v>
      </c>
      <c r="C230">
        <v>90966</v>
      </c>
      <c r="D230">
        <v>60878.1</v>
      </c>
      <c r="E230" t="s">
        <v>139</v>
      </c>
      <c r="F230" t="s">
        <v>139</v>
      </c>
      <c r="G230">
        <v>30087.9</v>
      </c>
      <c r="H230" t="s">
        <v>139</v>
      </c>
      <c r="I230" t="s">
        <v>139</v>
      </c>
      <c r="J230">
        <v>195103.9</v>
      </c>
      <c r="K230">
        <v>64890.400000000001</v>
      </c>
      <c r="L230">
        <v>45458.2</v>
      </c>
      <c r="M230" t="s">
        <v>139</v>
      </c>
      <c r="N230" t="s">
        <v>139</v>
      </c>
      <c r="O230" t="s">
        <v>139</v>
      </c>
      <c r="P230" t="s">
        <v>139</v>
      </c>
      <c r="Q230" t="s">
        <v>139</v>
      </c>
      <c r="R230" t="s">
        <v>139</v>
      </c>
      <c r="S230" t="s">
        <v>139</v>
      </c>
      <c r="T230" t="s">
        <v>139</v>
      </c>
      <c r="U230">
        <v>42865.5</v>
      </c>
      <c r="V230" s="6" t="s">
        <v>139</v>
      </c>
      <c r="W230" t="s">
        <v>139</v>
      </c>
      <c r="X230" t="s">
        <v>139</v>
      </c>
      <c r="Y230" t="s">
        <v>139</v>
      </c>
      <c r="Z230" t="s">
        <v>139</v>
      </c>
      <c r="AA230" t="s">
        <v>139</v>
      </c>
      <c r="AB230" t="s">
        <v>139</v>
      </c>
      <c r="AC230" t="s">
        <v>139</v>
      </c>
      <c r="AD230" t="s">
        <v>139</v>
      </c>
      <c r="AE230" t="s">
        <v>139</v>
      </c>
      <c r="AF230" t="s">
        <v>139</v>
      </c>
      <c r="AG230" t="s">
        <v>139</v>
      </c>
      <c r="AH230" s="9" t="s">
        <v>139</v>
      </c>
      <c r="AI230" t="s">
        <v>139</v>
      </c>
      <c r="AJ230" t="s">
        <v>139</v>
      </c>
      <c r="AK230" t="s">
        <v>139</v>
      </c>
      <c r="AL230" t="s">
        <v>139</v>
      </c>
      <c r="AM230" t="s">
        <v>139</v>
      </c>
      <c r="AN230" t="s">
        <v>139</v>
      </c>
      <c r="AO230" s="9" t="s">
        <v>139</v>
      </c>
      <c r="AP230" t="s">
        <v>139</v>
      </c>
      <c r="AQ230" t="s">
        <v>139</v>
      </c>
      <c r="AR230" t="s">
        <v>139</v>
      </c>
    </row>
    <row r="231" spans="1:44" x14ac:dyDescent="0.4">
      <c r="A231" s="3" t="s">
        <v>362</v>
      </c>
      <c r="B231">
        <v>287199</v>
      </c>
      <c r="C231">
        <v>90909.6</v>
      </c>
      <c r="D231">
        <v>60370.2</v>
      </c>
      <c r="E231" t="s">
        <v>139</v>
      </c>
      <c r="F231" t="s">
        <v>139</v>
      </c>
      <c r="G231">
        <v>30539.5</v>
      </c>
      <c r="H231" t="s">
        <v>139</v>
      </c>
      <c r="I231" t="s">
        <v>139</v>
      </c>
      <c r="J231">
        <v>196289.4</v>
      </c>
      <c r="K231">
        <v>65479.199999999997</v>
      </c>
      <c r="L231">
        <v>45955.4</v>
      </c>
      <c r="M231" t="s">
        <v>139</v>
      </c>
      <c r="N231" t="s">
        <v>139</v>
      </c>
      <c r="O231" t="s">
        <v>139</v>
      </c>
      <c r="P231" t="s">
        <v>139</v>
      </c>
      <c r="Q231" t="s">
        <v>139</v>
      </c>
      <c r="R231" t="s">
        <v>139</v>
      </c>
      <c r="S231" t="s">
        <v>139</v>
      </c>
      <c r="T231" t="s">
        <v>139</v>
      </c>
      <c r="U231">
        <v>43474.5</v>
      </c>
      <c r="V231" s="6" t="s">
        <v>139</v>
      </c>
      <c r="W231" t="s">
        <v>139</v>
      </c>
      <c r="X231" t="s">
        <v>139</v>
      </c>
      <c r="Y231" t="s">
        <v>139</v>
      </c>
      <c r="Z231" t="s">
        <v>139</v>
      </c>
      <c r="AA231" t="s">
        <v>139</v>
      </c>
      <c r="AB231" t="s">
        <v>139</v>
      </c>
      <c r="AC231" t="s">
        <v>139</v>
      </c>
      <c r="AD231" t="s">
        <v>139</v>
      </c>
      <c r="AE231" t="s">
        <v>139</v>
      </c>
      <c r="AF231" t="s">
        <v>139</v>
      </c>
      <c r="AG231" t="s">
        <v>139</v>
      </c>
      <c r="AH231" s="9" t="s">
        <v>139</v>
      </c>
      <c r="AI231" t="s">
        <v>139</v>
      </c>
      <c r="AJ231" t="s">
        <v>139</v>
      </c>
      <c r="AK231" t="s">
        <v>139</v>
      </c>
      <c r="AL231" t="s">
        <v>139</v>
      </c>
      <c r="AM231" t="s">
        <v>139</v>
      </c>
      <c r="AN231" t="s">
        <v>139</v>
      </c>
      <c r="AO231" s="9" t="s">
        <v>139</v>
      </c>
      <c r="AP231" t="s">
        <v>139</v>
      </c>
      <c r="AQ231" t="s">
        <v>139</v>
      </c>
      <c r="AR231" t="s">
        <v>139</v>
      </c>
    </row>
    <row r="232" spans="1:44" x14ac:dyDescent="0.4">
      <c r="A232" s="3" t="s">
        <v>363</v>
      </c>
      <c r="B232">
        <v>290736.09999999998</v>
      </c>
      <c r="C232">
        <v>91486.5</v>
      </c>
      <c r="D232">
        <v>60674</v>
      </c>
      <c r="E232" t="s">
        <v>139</v>
      </c>
      <c r="F232" t="s">
        <v>139</v>
      </c>
      <c r="G232">
        <v>30812.5</v>
      </c>
      <c r="H232" t="s">
        <v>139</v>
      </c>
      <c r="I232" t="s">
        <v>139</v>
      </c>
      <c r="J232">
        <v>199249.6</v>
      </c>
      <c r="K232">
        <v>66388.3</v>
      </c>
      <c r="L232">
        <v>46485.4</v>
      </c>
      <c r="M232" t="s">
        <v>139</v>
      </c>
      <c r="N232" t="s">
        <v>139</v>
      </c>
      <c r="O232" t="s">
        <v>139</v>
      </c>
      <c r="P232" t="s">
        <v>139</v>
      </c>
      <c r="Q232" t="s">
        <v>139</v>
      </c>
      <c r="R232" t="s">
        <v>139</v>
      </c>
      <c r="S232" t="s">
        <v>139</v>
      </c>
      <c r="T232" t="s">
        <v>139</v>
      </c>
      <c r="U232">
        <v>43885.2</v>
      </c>
      <c r="V232" s="6" t="s">
        <v>139</v>
      </c>
      <c r="W232" t="s">
        <v>139</v>
      </c>
      <c r="X232" t="s">
        <v>139</v>
      </c>
      <c r="Y232" t="s">
        <v>139</v>
      </c>
      <c r="Z232" t="s">
        <v>139</v>
      </c>
      <c r="AA232" t="s">
        <v>139</v>
      </c>
      <c r="AB232" t="s">
        <v>139</v>
      </c>
      <c r="AC232" t="s">
        <v>139</v>
      </c>
      <c r="AD232" t="s">
        <v>139</v>
      </c>
      <c r="AE232" t="s">
        <v>139</v>
      </c>
      <c r="AF232" t="s">
        <v>139</v>
      </c>
      <c r="AG232" t="s">
        <v>139</v>
      </c>
      <c r="AH232" s="9" t="s">
        <v>139</v>
      </c>
      <c r="AI232" t="s">
        <v>139</v>
      </c>
      <c r="AJ232" t="s">
        <v>139</v>
      </c>
      <c r="AK232" t="s">
        <v>139</v>
      </c>
      <c r="AL232" t="s">
        <v>139</v>
      </c>
      <c r="AM232" t="s">
        <v>139</v>
      </c>
      <c r="AN232" t="s">
        <v>139</v>
      </c>
      <c r="AO232" s="9" t="s">
        <v>139</v>
      </c>
      <c r="AP232" t="s">
        <v>139</v>
      </c>
      <c r="AQ232" t="s">
        <v>139</v>
      </c>
      <c r="AR232" t="s">
        <v>139</v>
      </c>
    </row>
    <row r="233" spans="1:44" x14ac:dyDescent="0.4">
      <c r="A233" s="3" t="s">
        <v>364</v>
      </c>
      <c r="B233">
        <v>294111.09999999998</v>
      </c>
      <c r="C233">
        <v>93956.3</v>
      </c>
      <c r="D233">
        <v>62985.1</v>
      </c>
      <c r="E233" t="s">
        <v>139</v>
      </c>
      <c r="F233" t="s">
        <v>139</v>
      </c>
      <c r="G233">
        <v>30971.1</v>
      </c>
      <c r="H233" t="s">
        <v>139</v>
      </c>
      <c r="I233" t="s">
        <v>139</v>
      </c>
      <c r="J233">
        <v>200154.9</v>
      </c>
      <c r="K233">
        <v>67050</v>
      </c>
      <c r="L233">
        <v>46967.6</v>
      </c>
      <c r="M233" t="s">
        <v>139</v>
      </c>
      <c r="N233" t="s">
        <v>139</v>
      </c>
      <c r="O233" t="s">
        <v>139</v>
      </c>
      <c r="P233" t="s">
        <v>139</v>
      </c>
      <c r="Q233" t="s">
        <v>139</v>
      </c>
      <c r="R233" t="s">
        <v>139</v>
      </c>
      <c r="S233" t="s">
        <v>139</v>
      </c>
      <c r="T233" t="s">
        <v>139</v>
      </c>
      <c r="U233">
        <v>44381.7</v>
      </c>
      <c r="V233" s="6" t="s">
        <v>139</v>
      </c>
      <c r="W233" t="s">
        <v>139</v>
      </c>
      <c r="X233" t="s">
        <v>139</v>
      </c>
      <c r="Y233" t="s">
        <v>139</v>
      </c>
      <c r="Z233" t="s">
        <v>139</v>
      </c>
      <c r="AA233" t="s">
        <v>139</v>
      </c>
      <c r="AB233" t="s">
        <v>139</v>
      </c>
      <c r="AC233" t="s">
        <v>139</v>
      </c>
      <c r="AD233" t="s">
        <v>139</v>
      </c>
      <c r="AE233" t="s">
        <v>139</v>
      </c>
      <c r="AF233" t="s">
        <v>139</v>
      </c>
      <c r="AG233" t="s">
        <v>139</v>
      </c>
      <c r="AH233" s="9" t="s">
        <v>139</v>
      </c>
      <c r="AI233" t="s">
        <v>139</v>
      </c>
      <c r="AJ233" t="s">
        <v>139</v>
      </c>
      <c r="AK233" t="s">
        <v>139</v>
      </c>
      <c r="AL233" t="s">
        <v>139</v>
      </c>
      <c r="AM233" t="s">
        <v>139</v>
      </c>
      <c r="AN233" t="s">
        <v>139</v>
      </c>
      <c r="AO233" s="9" t="s">
        <v>139</v>
      </c>
      <c r="AP233" t="s">
        <v>139</v>
      </c>
      <c r="AQ233" t="s">
        <v>139</v>
      </c>
      <c r="AR233" t="s">
        <v>139</v>
      </c>
    </row>
    <row r="234" spans="1:44" x14ac:dyDescent="0.4">
      <c r="A234" s="3" t="s">
        <v>365</v>
      </c>
      <c r="B234">
        <v>295678.7</v>
      </c>
      <c r="C234">
        <v>94070</v>
      </c>
      <c r="D234">
        <v>63269.599999999999</v>
      </c>
      <c r="E234" t="s">
        <v>139</v>
      </c>
      <c r="F234" t="s">
        <v>139</v>
      </c>
      <c r="G234">
        <v>30800.400000000001</v>
      </c>
      <c r="H234" t="s">
        <v>139</v>
      </c>
      <c r="I234" t="s">
        <v>139</v>
      </c>
      <c r="J234">
        <v>201608.8</v>
      </c>
      <c r="K234">
        <v>67754</v>
      </c>
      <c r="L234">
        <v>47435</v>
      </c>
      <c r="M234" t="s">
        <v>139</v>
      </c>
      <c r="N234" t="s">
        <v>139</v>
      </c>
      <c r="O234" t="s">
        <v>139</v>
      </c>
      <c r="P234" t="s">
        <v>139</v>
      </c>
      <c r="Q234" t="s">
        <v>139</v>
      </c>
      <c r="R234" t="s">
        <v>139</v>
      </c>
      <c r="S234" t="s">
        <v>139</v>
      </c>
      <c r="T234" t="s">
        <v>139</v>
      </c>
      <c r="U234">
        <v>44796.5</v>
      </c>
      <c r="V234" s="6" t="s">
        <v>139</v>
      </c>
      <c r="W234" t="s">
        <v>139</v>
      </c>
      <c r="X234" t="s">
        <v>139</v>
      </c>
      <c r="Y234" t="s">
        <v>139</v>
      </c>
      <c r="Z234" t="s">
        <v>139</v>
      </c>
      <c r="AA234" t="s">
        <v>139</v>
      </c>
      <c r="AB234" t="s">
        <v>139</v>
      </c>
      <c r="AC234" t="s">
        <v>139</v>
      </c>
      <c r="AD234" t="s">
        <v>139</v>
      </c>
      <c r="AE234" t="s">
        <v>139</v>
      </c>
      <c r="AF234" t="s">
        <v>139</v>
      </c>
      <c r="AG234" t="s">
        <v>139</v>
      </c>
      <c r="AH234" s="9" t="s">
        <v>139</v>
      </c>
      <c r="AI234" t="s">
        <v>139</v>
      </c>
      <c r="AJ234" t="s">
        <v>139</v>
      </c>
      <c r="AK234" t="s">
        <v>139</v>
      </c>
      <c r="AL234" t="s">
        <v>139</v>
      </c>
      <c r="AM234" t="s">
        <v>139</v>
      </c>
      <c r="AN234" t="s">
        <v>139</v>
      </c>
      <c r="AO234" s="9" t="s">
        <v>139</v>
      </c>
      <c r="AP234" t="s">
        <v>139</v>
      </c>
      <c r="AQ234" t="s">
        <v>139</v>
      </c>
      <c r="AR234" t="s">
        <v>139</v>
      </c>
    </row>
    <row r="235" spans="1:44" x14ac:dyDescent="0.4">
      <c r="A235" s="3" t="s">
        <v>366</v>
      </c>
      <c r="B235">
        <v>300491.59999999998</v>
      </c>
      <c r="C235">
        <v>95075.3</v>
      </c>
      <c r="D235">
        <v>63857.7</v>
      </c>
      <c r="E235" t="s">
        <v>139</v>
      </c>
      <c r="F235" t="s">
        <v>139</v>
      </c>
      <c r="G235">
        <v>31217.599999999999</v>
      </c>
      <c r="H235" t="s">
        <v>139</v>
      </c>
      <c r="I235" t="s">
        <v>139</v>
      </c>
      <c r="J235">
        <v>205416.2</v>
      </c>
      <c r="K235">
        <v>69157.7</v>
      </c>
      <c r="L235">
        <v>47822.400000000001</v>
      </c>
      <c r="M235" t="s">
        <v>139</v>
      </c>
      <c r="N235" t="s">
        <v>139</v>
      </c>
      <c r="O235" t="s">
        <v>139</v>
      </c>
      <c r="P235" t="s">
        <v>139</v>
      </c>
      <c r="Q235" t="s">
        <v>139</v>
      </c>
      <c r="R235" t="s">
        <v>139</v>
      </c>
      <c r="S235" t="s">
        <v>139</v>
      </c>
      <c r="T235" t="s">
        <v>139</v>
      </c>
      <c r="U235">
        <v>45022.3</v>
      </c>
      <c r="V235" s="6" t="s">
        <v>139</v>
      </c>
      <c r="W235" t="s">
        <v>139</v>
      </c>
      <c r="X235" t="s">
        <v>139</v>
      </c>
      <c r="Y235" t="s">
        <v>139</v>
      </c>
      <c r="Z235" t="s">
        <v>139</v>
      </c>
      <c r="AA235" t="s">
        <v>139</v>
      </c>
      <c r="AB235" t="s">
        <v>139</v>
      </c>
      <c r="AC235" t="s">
        <v>139</v>
      </c>
      <c r="AD235" t="s">
        <v>139</v>
      </c>
      <c r="AE235" t="s">
        <v>139</v>
      </c>
      <c r="AF235" t="s">
        <v>139</v>
      </c>
      <c r="AG235" t="s">
        <v>139</v>
      </c>
      <c r="AH235" s="9" t="s">
        <v>139</v>
      </c>
      <c r="AI235" t="s">
        <v>139</v>
      </c>
      <c r="AJ235" t="s">
        <v>139</v>
      </c>
      <c r="AK235" t="s">
        <v>139</v>
      </c>
      <c r="AL235" t="s">
        <v>139</v>
      </c>
      <c r="AM235" t="s">
        <v>139</v>
      </c>
      <c r="AN235" t="s">
        <v>139</v>
      </c>
      <c r="AO235" s="9" t="s">
        <v>139</v>
      </c>
      <c r="AP235" t="s">
        <v>139</v>
      </c>
      <c r="AQ235" t="s">
        <v>139</v>
      </c>
      <c r="AR235" t="s">
        <v>139</v>
      </c>
    </row>
    <row r="236" spans="1:44" x14ac:dyDescent="0.4">
      <c r="A236" s="3" t="s">
        <v>367</v>
      </c>
      <c r="B236">
        <v>302416.90000000002</v>
      </c>
      <c r="C236">
        <v>95382.5</v>
      </c>
      <c r="D236">
        <v>63898.3</v>
      </c>
      <c r="E236" t="s">
        <v>139</v>
      </c>
      <c r="F236" t="s">
        <v>139</v>
      </c>
      <c r="G236">
        <v>31484.3</v>
      </c>
      <c r="H236" t="s">
        <v>139</v>
      </c>
      <c r="I236" t="s">
        <v>139</v>
      </c>
      <c r="J236">
        <v>207034.4</v>
      </c>
      <c r="K236">
        <v>69983.100000000006</v>
      </c>
      <c r="L236">
        <v>48377.5</v>
      </c>
      <c r="M236" t="s">
        <v>139</v>
      </c>
      <c r="N236" t="s">
        <v>139</v>
      </c>
      <c r="O236" t="s">
        <v>139</v>
      </c>
      <c r="P236" t="s">
        <v>139</v>
      </c>
      <c r="Q236" t="s">
        <v>139</v>
      </c>
      <c r="R236" t="s">
        <v>139</v>
      </c>
      <c r="S236" t="s">
        <v>139</v>
      </c>
      <c r="T236" t="s">
        <v>139</v>
      </c>
      <c r="U236">
        <v>45436.2</v>
      </c>
      <c r="V236" s="6" t="s">
        <v>139</v>
      </c>
      <c r="W236" t="s">
        <v>139</v>
      </c>
      <c r="X236" t="s">
        <v>139</v>
      </c>
      <c r="Y236" t="s">
        <v>139</v>
      </c>
      <c r="Z236" t="s">
        <v>139</v>
      </c>
      <c r="AA236" t="s">
        <v>139</v>
      </c>
      <c r="AB236" t="s">
        <v>139</v>
      </c>
      <c r="AC236" t="s">
        <v>139</v>
      </c>
      <c r="AD236" t="s">
        <v>139</v>
      </c>
      <c r="AE236" t="s">
        <v>139</v>
      </c>
      <c r="AF236" t="s">
        <v>139</v>
      </c>
      <c r="AG236" t="s">
        <v>139</v>
      </c>
      <c r="AH236" s="9" t="s">
        <v>139</v>
      </c>
      <c r="AI236" t="s">
        <v>139</v>
      </c>
      <c r="AJ236" t="s">
        <v>139</v>
      </c>
      <c r="AK236" t="s">
        <v>139</v>
      </c>
      <c r="AL236" t="s">
        <v>139</v>
      </c>
      <c r="AM236" t="s">
        <v>139</v>
      </c>
      <c r="AN236" t="s">
        <v>139</v>
      </c>
      <c r="AO236" s="9" t="s">
        <v>139</v>
      </c>
      <c r="AP236" t="s">
        <v>139</v>
      </c>
      <c r="AQ236" t="s">
        <v>139</v>
      </c>
      <c r="AR236" t="s">
        <v>139</v>
      </c>
    </row>
    <row r="237" spans="1:44" x14ac:dyDescent="0.4">
      <c r="A237" s="3" t="s">
        <v>368</v>
      </c>
      <c r="B237">
        <v>301614.59999999998</v>
      </c>
      <c r="C237">
        <v>94346</v>
      </c>
      <c r="D237">
        <v>62723.3</v>
      </c>
      <c r="E237" t="s">
        <v>139</v>
      </c>
      <c r="F237" t="s">
        <v>139</v>
      </c>
      <c r="G237">
        <v>31622.7</v>
      </c>
      <c r="H237" t="s">
        <v>139</v>
      </c>
      <c r="I237" t="s">
        <v>139</v>
      </c>
      <c r="J237">
        <v>207268.6</v>
      </c>
      <c r="K237">
        <v>70683</v>
      </c>
      <c r="L237">
        <v>48963.7</v>
      </c>
      <c r="M237" t="s">
        <v>139</v>
      </c>
      <c r="N237" t="s">
        <v>139</v>
      </c>
      <c r="O237" t="s">
        <v>139</v>
      </c>
      <c r="P237" t="s">
        <v>139</v>
      </c>
      <c r="Q237" t="s">
        <v>139</v>
      </c>
      <c r="R237" t="s">
        <v>139</v>
      </c>
      <c r="S237" t="s">
        <v>139</v>
      </c>
      <c r="T237" t="s">
        <v>139</v>
      </c>
      <c r="U237">
        <v>45766</v>
      </c>
      <c r="V237" s="6" t="s">
        <v>139</v>
      </c>
      <c r="W237" t="s">
        <v>139</v>
      </c>
      <c r="X237" t="s">
        <v>139</v>
      </c>
      <c r="Y237" t="s">
        <v>139</v>
      </c>
      <c r="Z237" t="s">
        <v>139</v>
      </c>
      <c r="AA237" t="s">
        <v>139</v>
      </c>
      <c r="AB237" t="s">
        <v>139</v>
      </c>
      <c r="AC237" t="s">
        <v>139</v>
      </c>
      <c r="AD237" t="s">
        <v>139</v>
      </c>
      <c r="AE237" t="s">
        <v>139</v>
      </c>
      <c r="AF237" t="s">
        <v>139</v>
      </c>
      <c r="AG237" t="s">
        <v>139</v>
      </c>
      <c r="AH237" s="9" t="s">
        <v>139</v>
      </c>
      <c r="AI237" t="s">
        <v>139</v>
      </c>
      <c r="AJ237" t="s">
        <v>139</v>
      </c>
      <c r="AK237" t="s">
        <v>139</v>
      </c>
      <c r="AL237" t="s">
        <v>139</v>
      </c>
      <c r="AM237" t="s">
        <v>139</v>
      </c>
      <c r="AN237" t="s">
        <v>139</v>
      </c>
      <c r="AO237" s="9" t="s">
        <v>139</v>
      </c>
      <c r="AP237" t="s">
        <v>139</v>
      </c>
      <c r="AQ237" t="s">
        <v>139</v>
      </c>
      <c r="AR237" t="s">
        <v>139</v>
      </c>
    </row>
    <row r="238" spans="1:44" x14ac:dyDescent="0.4">
      <c r="A238" s="3" t="s">
        <v>369</v>
      </c>
      <c r="B238">
        <v>302125.59999999998</v>
      </c>
      <c r="C238">
        <v>92974.3</v>
      </c>
      <c r="D238">
        <v>61202.7</v>
      </c>
      <c r="E238" t="s">
        <v>139</v>
      </c>
      <c r="F238" t="s">
        <v>139</v>
      </c>
      <c r="G238">
        <v>31771.599999999999</v>
      </c>
      <c r="H238" t="s">
        <v>139</v>
      </c>
      <c r="I238" t="s">
        <v>139</v>
      </c>
      <c r="J238">
        <v>209151.3</v>
      </c>
      <c r="K238">
        <v>71521</v>
      </c>
      <c r="L238">
        <v>49410.7</v>
      </c>
      <c r="M238" t="s">
        <v>139</v>
      </c>
      <c r="N238" t="s">
        <v>139</v>
      </c>
      <c r="O238" t="s">
        <v>139</v>
      </c>
      <c r="P238" t="s">
        <v>139</v>
      </c>
      <c r="Q238" t="s">
        <v>139</v>
      </c>
      <c r="R238" t="s">
        <v>139</v>
      </c>
      <c r="S238" t="s">
        <v>139</v>
      </c>
      <c r="T238" t="s">
        <v>139</v>
      </c>
      <c r="U238">
        <v>46203.8</v>
      </c>
      <c r="V238" s="6" t="s">
        <v>139</v>
      </c>
      <c r="W238" t="s">
        <v>139</v>
      </c>
      <c r="X238" t="s">
        <v>139</v>
      </c>
      <c r="Y238" t="s">
        <v>139</v>
      </c>
      <c r="Z238" t="s">
        <v>139</v>
      </c>
      <c r="AA238" t="s">
        <v>139</v>
      </c>
      <c r="AB238" t="s">
        <v>139</v>
      </c>
      <c r="AC238" t="s">
        <v>139</v>
      </c>
      <c r="AD238" t="s">
        <v>139</v>
      </c>
      <c r="AE238" t="s">
        <v>139</v>
      </c>
      <c r="AF238" t="s">
        <v>139</v>
      </c>
      <c r="AG238" t="s">
        <v>139</v>
      </c>
      <c r="AH238" s="9" t="s">
        <v>139</v>
      </c>
      <c r="AI238" t="s">
        <v>139</v>
      </c>
      <c r="AJ238" t="s">
        <v>139</v>
      </c>
      <c r="AK238" t="s">
        <v>139</v>
      </c>
      <c r="AL238" t="s">
        <v>139</v>
      </c>
      <c r="AM238" t="s">
        <v>139</v>
      </c>
      <c r="AN238" t="s">
        <v>139</v>
      </c>
      <c r="AO238" s="9" t="s">
        <v>139</v>
      </c>
      <c r="AP238" t="s">
        <v>139</v>
      </c>
      <c r="AQ238" t="s">
        <v>139</v>
      </c>
      <c r="AR238" t="s">
        <v>139</v>
      </c>
    </row>
    <row r="239" spans="1:44" x14ac:dyDescent="0.4">
      <c r="A239" s="3" t="s">
        <v>370</v>
      </c>
      <c r="B239">
        <v>305447</v>
      </c>
      <c r="C239">
        <v>93184.9</v>
      </c>
      <c r="D239">
        <v>61145.2</v>
      </c>
      <c r="E239" t="s">
        <v>139</v>
      </c>
      <c r="F239" t="s">
        <v>139</v>
      </c>
      <c r="G239">
        <v>32039.7</v>
      </c>
      <c r="H239" t="s">
        <v>139</v>
      </c>
      <c r="I239" t="s">
        <v>139</v>
      </c>
      <c r="J239">
        <v>212262.1</v>
      </c>
      <c r="K239">
        <v>72372.800000000003</v>
      </c>
      <c r="L239">
        <v>49843.9</v>
      </c>
      <c r="M239" t="s">
        <v>139</v>
      </c>
      <c r="N239" t="s">
        <v>139</v>
      </c>
      <c r="O239" t="s">
        <v>139</v>
      </c>
      <c r="P239" t="s">
        <v>139</v>
      </c>
      <c r="Q239" t="s">
        <v>139</v>
      </c>
      <c r="R239" t="s">
        <v>139</v>
      </c>
      <c r="S239" t="s">
        <v>139</v>
      </c>
      <c r="T239" t="s">
        <v>139</v>
      </c>
      <c r="U239">
        <v>46521.9</v>
      </c>
      <c r="V239" s="6" t="s">
        <v>139</v>
      </c>
      <c r="W239" t="s">
        <v>139</v>
      </c>
      <c r="X239" t="s">
        <v>139</v>
      </c>
      <c r="Y239" t="s">
        <v>139</v>
      </c>
      <c r="Z239" t="s">
        <v>139</v>
      </c>
      <c r="AA239" t="s">
        <v>139</v>
      </c>
      <c r="AB239" t="s">
        <v>139</v>
      </c>
      <c r="AC239" t="s">
        <v>139</v>
      </c>
      <c r="AD239" t="s">
        <v>139</v>
      </c>
      <c r="AE239" t="s">
        <v>139</v>
      </c>
      <c r="AF239" t="s">
        <v>139</v>
      </c>
      <c r="AG239" t="s">
        <v>139</v>
      </c>
      <c r="AH239" s="9" t="s">
        <v>139</v>
      </c>
      <c r="AI239" t="s">
        <v>139</v>
      </c>
      <c r="AJ239" t="s">
        <v>139</v>
      </c>
      <c r="AK239" t="s">
        <v>139</v>
      </c>
      <c r="AL239" t="s">
        <v>139</v>
      </c>
      <c r="AM239" t="s">
        <v>139</v>
      </c>
      <c r="AN239" t="s">
        <v>139</v>
      </c>
      <c r="AO239" s="9" t="s">
        <v>139</v>
      </c>
      <c r="AP239" t="s">
        <v>139</v>
      </c>
      <c r="AQ239" t="s">
        <v>139</v>
      </c>
      <c r="AR239" t="s">
        <v>139</v>
      </c>
    </row>
    <row r="240" spans="1:44" x14ac:dyDescent="0.4">
      <c r="A240" s="3" t="s">
        <v>371</v>
      </c>
      <c r="B240">
        <v>307364.2</v>
      </c>
      <c r="C240">
        <v>92847.6</v>
      </c>
      <c r="D240">
        <v>60312.800000000003</v>
      </c>
      <c r="E240" t="s">
        <v>139</v>
      </c>
      <c r="F240" t="s">
        <v>139</v>
      </c>
      <c r="G240">
        <v>32534.799999999999</v>
      </c>
      <c r="H240" t="s">
        <v>139</v>
      </c>
      <c r="I240" t="s">
        <v>139</v>
      </c>
      <c r="J240">
        <v>214516.7</v>
      </c>
      <c r="K240">
        <v>73327.3</v>
      </c>
      <c r="L240">
        <v>50194.6</v>
      </c>
      <c r="M240" t="s">
        <v>139</v>
      </c>
      <c r="N240" t="s">
        <v>139</v>
      </c>
      <c r="O240" t="s">
        <v>139</v>
      </c>
      <c r="P240" t="s">
        <v>139</v>
      </c>
      <c r="Q240" t="s">
        <v>139</v>
      </c>
      <c r="R240" t="s">
        <v>139</v>
      </c>
      <c r="S240" t="s">
        <v>139</v>
      </c>
      <c r="T240" t="s">
        <v>139</v>
      </c>
      <c r="U240">
        <v>46755.5</v>
      </c>
      <c r="V240" s="6" t="s">
        <v>139</v>
      </c>
      <c r="W240" t="s">
        <v>139</v>
      </c>
      <c r="X240" t="s">
        <v>139</v>
      </c>
      <c r="Y240" t="s">
        <v>139</v>
      </c>
      <c r="Z240" t="s">
        <v>139</v>
      </c>
      <c r="AA240" t="s">
        <v>139</v>
      </c>
      <c r="AB240" t="s">
        <v>139</v>
      </c>
      <c r="AC240" t="s">
        <v>139</v>
      </c>
      <c r="AD240" t="s">
        <v>139</v>
      </c>
      <c r="AE240" t="s">
        <v>139</v>
      </c>
      <c r="AF240" t="s">
        <v>139</v>
      </c>
      <c r="AG240" t="s">
        <v>139</v>
      </c>
      <c r="AH240" s="9" t="s">
        <v>139</v>
      </c>
      <c r="AI240" t="s">
        <v>139</v>
      </c>
      <c r="AJ240" t="s">
        <v>139</v>
      </c>
      <c r="AK240" t="s">
        <v>139</v>
      </c>
      <c r="AL240" t="s">
        <v>139</v>
      </c>
      <c r="AM240" t="s">
        <v>139</v>
      </c>
      <c r="AN240" t="s">
        <v>139</v>
      </c>
      <c r="AO240" s="9" t="s">
        <v>139</v>
      </c>
      <c r="AP240" t="s">
        <v>139</v>
      </c>
      <c r="AQ240" t="s">
        <v>139</v>
      </c>
      <c r="AR240" t="s">
        <v>139</v>
      </c>
    </row>
    <row r="241" spans="1:44" x14ac:dyDescent="0.4">
      <c r="A241" s="3" t="s">
        <v>372</v>
      </c>
      <c r="B241">
        <v>309032.7</v>
      </c>
      <c r="C241">
        <v>91827.5</v>
      </c>
      <c r="D241">
        <v>59415.8</v>
      </c>
      <c r="E241" t="s">
        <v>139</v>
      </c>
      <c r="F241" t="s">
        <v>139</v>
      </c>
      <c r="G241">
        <v>32411.7</v>
      </c>
      <c r="H241" t="s">
        <v>139</v>
      </c>
      <c r="I241" t="s">
        <v>139</v>
      </c>
      <c r="J241">
        <v>217205.2</v>
      </c>
      <c r="K241">
        <v>75391.899999999994</v>
      </c>
      <c r="L241">
        <v>50766.3</v>
      </c>
      <c r="M241" t="s">
        <v>139</v>
      </c>
      <c r="N241" t="s">
        <v>139</v>
      </c>
      <c r="O241" t="s">
        <v>139</v>
      </c>
      <c r="P241" t="s">
        <v>139</v>
      </c>
      <c r="Q241" t="s">
        <v>139</v>
      </c>
      <c r="R241" t="s">
        <v>139</v>
      </c>
      <c r="S241" t="s">
        <v>139</v>
      </c>
      <c r="T241" t="s">
        <v>139</v>
      </c>
      <c r="U241">
        <v>47173.8</v>
      </c>
      <c r="V241" s="6" t="s">
        <v>139</v>
      </c>
      <c r="W241" t="s">
        <v>139</v>
      </c>
      <c r="X241" t="s">
        <v>139</v>
      </c>
      <c r="Y241" t="s">
        <v>139</v>
      </c>
      <c r="Z241" t="s">
        <v>139</v>
      </c>
      <c r="AA241" t="s">
        <v>139</v>
      </c>
      <c r="AB241" t="s">
        <v>139</v>
      </c>
      <c r="AC241" t="s">
        <v>139</v>
      </c>
      <c r="AD241" t="s">
        <v>139</v>
      </c>
      <c r="AE241" t="s">
        <v>139</v>
      </c>
      <c r="AF241" t="s">
        <v>139</v>
      </c>
      <c r="AG241" t="s">
        <v>139</v>
      </c>
      <c r="AH241" s="9" t="s">
        <v>139</v>
      </c>
      <c r="AI241" t="s">
        <v>139</v>
      </c>
      <c r="AJ241" t="s">
        <v>139</v>
      </c>
      <c r="AK241" t="s">
        <v>139</v>
      </c>
      <c r="AL241" t="s">
        <v>139</v>
      </c>
      <c r="AM241" t="s">
        <v>139</v>
      </c>
      <c r="AN241" t="s">
        <v>139</v>
      </c>
      <c r="AO241" s="9" t="s">
        <v>139</v>
      </c>
      <c r="AP241" t="s">
        <v>139</v>
      </c>
      <c r="AQ241" t="s">
        <v>139</v>
      </c>
      <c r="AR241" t="s">
        <v>139</v>
      </c>
    </row>
    <row r="242" spans="1:44" x14ac:dyDescent="0.4">
      <c r="A242" s="3" t="s">
        <v>373</v>
      </c>
      <c r="B242">
        <v>311236</v>
      </c>
      <c r="C242">
        <v>91880.3</v>
      </c>
      <c r="D242">
        <v>59208.3</v>
      </c>
      <c r="E242" t="s">
        <v>139</v>
      </c>
      <c r="F242" t="s">
        <v>139</v>
      </c>
      <c r="G242">
        <v>32672.1</v>
      </c>
      <c r="H242" t="s">
        <v>139</v>
      </c>
      <c r="I242" t="s">
        <v>139</v>
      </c>
      <c r="J242">
        <v>219355.6</v>
      </c>
      <c r="K242">
        <v>76782.600000000006</v>
      </c>
      <c r="L242">
        <v>51094.5</v>
      </c>
      <c r="M242" t="s">
        <v>139</v>
      </c>
      <c r="N242" t="s">
        <v>139</v>
      </c>
      <c r="O242" t="s">
        <v>139</v>
      </c>
      <c r="P242" t="s">
        <v>139</v>
      </c>
      <c r="Q242" t="s">
        <v>139</v>
      </c>
      <c r="R242" t="s">
        <v>139</v>
      </c>
      <c r="S242" t="s">
        <v>139</v>
      </c>
      <c r="T242" t="s">
        <v>139</v>
      </c>
      <c r="U242">
        <v>47398.5</v>
      </c>
      <c r="V242" s="6" t="s">
        <v>139</v>
      </c>
      <c r="W242" t="s">
        <v>139</v>
      </c>
      <c r="X242" t="s">
        <v>139</v>
      </c>
      <c r="Y242" t="s">
        <v>139</v>
      </c>
      <c r="Z242" t="s">
        <v>139</v>
      </c>
      <c r="AA242" t="s">
        <v>139</v>
      </c>
      <c r="AB242" t="s">
        <v>139</v>
      </c>
      <c r="AC242" t="s">
        <v>139</v>
      </c>
      <c r="AD242" t="s">
        <v>139</v>
      </c>
      <c r="AE242" t="s">
        <v>139</v>
      </c>
      <c r="AF242" t="s">
        <v>139</v>
      </c>
      <c r="AG242" t="s">
        <v>139</v>
      </c>
      <c r="AH242" s="9" t="s">
        <v>139</v>
      </c>
      <c r="AI242" t="s">
        <v>139</v>
      </c>
      <c r="AJ242" t="s">
        <v>139</v>
      </c>
      <c r="AK242" t="s">
        <v>139</v>
      </c>
      <c r="AL242" t="s">
        <v>139</v>
      </c>
      <c r="AM242" t="s">
        <v>139</v>
      </c>
      <c r="AN242" t="s">
        <v>139</v>
      </c>
      <c r="AO242" s="9" t="s">
        <v>139</v>
      </c>
      <c r="AP242" t="s">
        <v>139</v>
      </c>
      <c r="AQ242" t="s">
        <v>139</v>
      </c>
      <c r="AR242" t="s">
        <v>139</v>
      </c>
    </row>
    <row r="243" spans="1:44" x14ac:dyDescent="0.4">
      <c r="A243" s="3" t="s">
        <v>374</v>
      </c>
      <c r="B243">
        <v>311881.3</v>
      </c>
      <c r="C243">
        <v>92491.9</v>
      </c>
      <c r="D243">
        <v>59313.9</v>
      </c>
      <c r="E243" t="s">
        <v>139</v>
      </c>
      <c r="F243" t="s">
        <v>139</v>
      </c>
      <c r="G243">
        <v>33178</v>
      </c>
      <c r="H243" t="s">
        <v>139</v>
      </c>
      <c r="I243" t="s">
        <v>139</v>
      </c>
      <c r="J243">
        <v>219389.4</v>
      </c>
      <c r="K243">
        <v>76993.899999999994</v>
      </c>
      <c r="L243">
        <v>51311.3</v>
      </c>
      <c r="M243" t="s">
        <v>139</v>
      </c>
      <c r="N243" t="s">
        <v>139</v>
      </c>
      <c r="O243" t="s">
        <v>139</v>
      </c>
      <c r="P243" t="s">
        <v>139</v>
      </c>
      <c r="Q243" t="s">
        <v>139</v>
      </c>
      <c r="R243" t="s">
        <v>139</v>
      </c>
      <c r="S243" t="s">
        <v>139</v>
      </c>
      <c r="T243" t="s">
        <v>139</v>
      </c>
      <c r="U243">
        <v>47560.9</v>
      </c>
      <c r="V243" s="6" t="s">
        <v>139</v>
      </c>
      <c r="W243" t="s">
        <v>139</v>
      </c>
      <c r="X243" t="s">
        <v>139</v>
      </c>
      <c r="Y243" t="s">
        <v>139</v>
      </c>
      <c r="Z243" t="s">
        <v>139</v>
      </c>
      <c r="AA243" t="s">
        <v>139</v>
      </c>
      <c r="AB243" t="s">
        <v>139</v>
      </c>
      <c r="AC243" t="s">
        <v>139</v>
      </c>
      <c r="AD243" t="s">
        <v>139</v>
      </c>
      <c r="AE243" t="s">
        <v>139</v>
      </c>
      <c r="AF243" t="s">
        <v>139</v>
      </c>
      <c r="AG243" t="s">
        <v>139</v>
      </c>
      <c r="AH243" s="9" t="s">
        <v>139</v>
      </c>
      <c r="AI243" t="s">
        <v>139</v>
      </c>
      <c r="AJ243" t="s">
        <v>139</v>
      </c>
      <c r="AK243" t="s">
        <v>139</v>
      </c>
      <c r="AL243" t="s">
        <v>139</v>
      </c>
      <c r="AM243" t="s">
        <v>139</v>
      </c>
      <c r="AN243" t="s">
        <v>139</v>
      </c>
      <c r="AO243" s="9" t="s">
        <v>139</v>
      </c>
      <c r="AP243" t="s">
        <v>139</v>
      </c>
      <c r="AQ243" t="s">
        <v>139</v>
      </c>
      <c r="AR243" t="s">
        <v>139</v>
      </c>
    </row>
    <row r="244" spans="1:44" x14ac:dyDescent="0.4">
      <c r="A244" s="3" t="s">
        <v>375</v>
      </c>
      <c r="B244">
        <v>313777.90000000002</v>
      </c>
      <c r="C244">
        <v>93784.2</v>
      </c>
      <c r="D244">
        <v>59797.599999999999</v>
      </c>
      <c r="E244" t="s">
        <v>139</v>
      </c>
      <c r="F244" t="s">
        <v>139</v>
      </c>
      <c r="G244">
        <v>33986.699999999997</v>
      </c>
      <c r="H244" t="s">
        <v>139</v>
      </c>
      <c r="I244" t="s">
        <v>139</v>
      </c>
      <c r="J244">
        <v>219993.7</v>
      </c>
      <c r="K244">
        <v>77488.3</v>
      </c>
      <c r="L244">
        <v>51630.9</v>
      </c>
      <c r="M244" t="s">
        <v>139</v>
      </c>
      <c r="N244" t="s">
        <v>139</v>
      </c>
      <c r="O244" t="s">
        <v>139</v>
      </c>
      <c r="P244" t="s">
        <v>139</v>
      </c>
      <c r="Q244" t="s">
        <v>139</v>
      </c>
      <c r="R244" t="s">
        <v>139</v>
      </c>
      <c r="S244" t="s">
        <v>139</v>
      </c>
      <c r="T244" t="s">
        <v>139</v>
      </c>
      <c r="U244">
        <v>47598.8</v>
      </c>
      <c r="V244" s="6" t="s">
        <v>139</v>
      </c>
      <c r="W244" t="s">
        <v>139</v>
      </c>
      <c r="X244" t="s">
        <v>139</v>
      </c>
      <c r="Y244" t="s">
        <v>139</v>
      </c>
      <c r="Z244" t="s">
        <v>139</v>
      </c>
      <c r="AA244" t="s">
        <v>139</v>
      </c>
      <c r="AB244" t="s">
        <v>139</v>
      </c>
      <c r="AC244" t="s">
        <v>139</v>
      </c>
      <c r="AD244" t="s">
        <v>139</v>
      </c>
      <c r="AE244" t="s">
        <v>139</v>
      </c>
      <c r="AF244" t="s">
        <v>139</v>
      </c>
      <c r="AG244" t="s">
        <v>139</v>
      </c>
      <c r="AH244" s="9" t="s">
        <v>139</v>
      </c>
      <c r="AI244" t="s">
        <v>139</v>
      </c>
      <c r="AJ244" t="s">
        <v>139</v>
      </c>
      <c r="AK244" t="s">
        <v>139</v>
      </c>
      <c r="AL244" t="s">
        <v>139</v>
      </c>
      <c r="AM244" t="s">
        <v>139</v>
      </c>
      <c r="AN244" t="s">
        <v>139</v>
      </c>
      <c r="AO244" s="9" t="s">
        <v>139</v>
      </c>
      <c r="AP244" t="s">
        <v>139</v>
      </c>
      <c r="AQ244" t="s">
        <v>139</v>
      </c>
      <c r="AR244" t="s">
        <v>139</v>
      </c>
    </row>
    <row r="245" spans="1:44" x14ac:dyDescent="0.4">
      <c r="A245" s="3" t="s">
        <v>376</v>
      </c>
      <c r="B245">
        <v>314106.7</v>
      </c>
      <c r="C245">
        <v>93859.3</v>
      </c>
      <c r="D245">
        <v>59375.9</v>
      </c>
      <c r="E245" t="s">
        <v>139</v>
      </c>
      <c r="F245" t="s">
        <v>139</v>
      </c>
      <c r="G245">
        <v>34483.300000000003</v>
      </c>
      <c r="H245" t="s">
        <v>139</v>
      </c>
      <c r="I245" t="s">
        <v>139</v>
      </c>
      <c r="J245">
        <v>220247.4</v>
      </c>
      <c r="K245">
        <v>78010.399999999994</v>
      </c>
      <c r="L245">
        <v>51975.8</v>
      </c>
      <c r="M245" t="s">
        <v>139</v>
      </c>
      <c r="N245" t="s">
        <v>139</v>
      </c>
      <c r="O245" t="s">
        <v>139</v>
      </c>
      <c r="P245" t="s">
        <v>139</v>
      </c>
      <c r="Q245" t="s">
        <v>139</v>
      </c>
      <c r="R245" t="s">
        <v>139</v>
      </c>
      <c r="S245" t="s">
        <v>139</v>
      </c>
      <c r="T245" t="s">
        <v>139</v>
      </c>
      <c r="U245">
        <v>47589.8</v>
      </c>
      <c r="V245" s="6" t="s">
        <v>139</v>
      </c>
      <c r="W245" t="s">
        <v>139</v>
      </c>
      <c r="X245" t="s">
        <v>139</v>
      </c>
      <c r="Y245" t="s">
        <v>139</v>
      </c>
      <c r="Z245" t="s">
        <v>139</v>
      </c>
      <c r="AA245" t="s">
        <v>139</v>
      </c>
      <c r="AB245" t="s">
        <v>139</v>
      </c>
      <c r="AC245" t="s">
        <v>139</v>
      </c>
      <c r="AD245" t="s">
        <v>139</v>
      </c>
      <c r="AE245" t="s">
        <v>139</v>
      </c>
      <c r="AF245" t="s">
        <v>139</v>
      </c>
      <c r="AG245" t="s">
        <v>139</v>
      </c>
      <c r="AH245" s="9" t="s">
        <v>139</v>
      </c>
      <c r="AI245" t="s">
        <v>139</v>
      </c>
      <c r="AJ245" t="s">
        <v>139</v>
      </c>
      <c r="AK245" t="s">
        <v>139</v>
      </c>
      <c r="AL245" t="s">
        <v>139</v>
      </c>
      <c r="AM245" t="s">
        <v>139</v>
      </c>
      <c r="AN245" t="s">
        <v>139</v>
      </c>
      <c r="AO245" s="9" t="s">
        <v>139</v>
      </c>
      <c r="AP245" t="s">
        <v>139</v>
      </c>
      <c r="AQ245" t="s">
        <v>139</v>
      </c>
      <c r="AR245" t="s">
        <v>139</v>
      </c>
    </row>
    <row r="246" spans="1:44" x14ac:dyDescent="0.4">
      <c r="A246" s="3" t="s">
        <v>377</v>
      </c>
      <c r="B246">
        <v>315120.3</v>
      </c>
      <c r="C246">
        <v>94613</v>
      </c>
      <c r="D246">
        <v>60013.8</v>
      </c>
      <c r="E246" t="s">
        <v>139</v>
      </c>
      <c r="F246" t="s">
        <v>139</v>
      </c>
      <c r="G246">
        <v>34599.1</v>
      </c>
      <c r="H246" t="s">
        <v>139</v>
      </c>
      <c r="I246" t="s">
        <v>139</v>
      </c>
      <c r="J246">
        <v>220507.3</v>
      </c>
      <c r="K246">
        <v>78372.600000000006</v>
      </c>
      <c r="L246">
        <v>52224.6</v>
      </c>
      <c r="M246" t="s">
        <v>139</v>
      </c>
      <c r="N246" t="s">
        <v>139</v>
      </c>
      <c r="O246" t="s">
        <v>139</v>
      </c>
      <c r="P246" t="s">
        <v>139</v>
      </c>
      <c r="Q246" t="s">
        <v>139</v>
      </c>
      <c r="R246" t="s">
        <v>139</v>
      </c>
      <c r="S246" t="s">
        <v>139</v>
      </c>
      <c r="T246" t="s">
        <v>139</v>
      </c>
      <c r="U246">
        <v>47685.3</v>
      </c>
      <c r="V246" s="6" t="s">
        <v>139</v>
      </c>
      <c r="W246" t="s">
        <v>139</v>
      </c>
      <c r="X246" t="s">
        <v>139</v>
      </c>
      <c r="Y246" t="s">
        <v>139</v>
      </c>
      <c r="Z246" t="s">
        <v>139</v>
      </c>
      <c r="AA246" t="s">
        <v>139</v>
      </c>
      <c r="AB246" t="s">
        <v>139</v>
      </c>
      <c r="AC246" t="s">
        <v>139</v>
      </c>
      <c r="AD246" t="s">
        <v>139</v>
      </c>
      <c r="AE246" t="s">
        <v>139</v>
      </c>
      <c r="AF246" t="s">
        <v>139</v>
      </c>
      <c r="AG246" t="s">
        <v>139</v>
      </c>
      <c r="AH246" s="9" t="s">
        <v>139</v>
      </c>
      <c r="AI246" t="s">
        <v>139</v>
      </c>
      <c r="AJ246" t="s">
        <v>139</v>
      </c>
      <c r="AK246" t="s">
        <v>139</v>
      </c>
      <c r="AL246" t="s">
        <v>139</v>
      </c>
      <c r="AM246" t="s">
        <v>139</v>
      </c>
      <c r="AN246" t="s">
        <v>139</v>
      </c>
      <c r="AO246" s="9" t="s">
        <v>139</v>
      </c>
      <c r="AP246" t="s">
        <v>139</v>
      </c>
      <c r="AQ246" t="s">
        <v>139</v>
      </c>
      <c r="AR246" t="s">
        <v>139</v>
      </c>
    </row>
    <row r="247" spans="1:44" x14ac:dyDescent="0.4">
      <c r="A247" s="3" t="s">
        <v>378</v>
      </c>
      <c r="B247">
        <v>319453.3</v>
      </c>
      <c r="C247">
        <v>96827.5</v>
      </c>
      <c r="D247">
        <v>61452.5</v>
      </c>
      <c r="E247" t="s">
        <v>139</v>
      </c>
      <c r="F247" t="s">
        <v>139</v>
      </c>
      <c r="G247">
        <v>35375</v>
      </c>
      <c r="H247" t="s">
        <v>139</v>
      </c>
      <c r="I247" t="s">
        <v>139</v>
      </c>
      <c r="J247">
        <v>222625.8</v>
      </c>
      <c r="K247">
        <v>78976</v>
      </c>
      <c r="L247">
        <v>52542</v>
      </c>
      <c r="M247" t="s">
        <v>139</v>
      </c>
      <c r="N247" t="s">
        <v>139</v>
      </c>
      <c r="O247" t="s">
        <v>139</v>
      </c>
      <c r="P247" t="s">
        <v>139</v>
      </c>
      <c r="Q247" t="s">
        <v>139</v>
      </c>
      <c r="R247" t="s">
        <v>139</v>
      </c>
      <c r="S247" t="s">
        <v>139</v>
      </c>
      <c r="T247" t="s">
        <v>139</v>
      </c>
      <c r="U247">
        <v>47762.1</v>
      </c>
      <c r="V247" s="6" t="s">
        <v>139</v>
      </c>
      <c r="W247" t="s">
        <v>139</v>
      </c>
      <c r="X247" t="s">
        <v>139</v>
      </c>
      <c r="Y247" t="s">
        <v>139</v>
      </c>
      <c r="Z247" t="s">
        <v>139</v>
      </c>
      <c r="AA247" t="s">
        <v>139</v>
      </c>
      <c r="AB247" t="s">
        <v>139</v>
      </c>
      <c r="AC247" t="s">
        <v>139</v>
      </c>
      <c r="AD247" t="s">
        <v>139</v>
      </c>
      <c r="AE247" t="s">
        <v>139</v>
      </c>
      <c r="AF247" t="s">
        <v>139</v>
      </c>
      <c r="AG247" t="s">
        <v>139</v>
      </c>
      <c r="AH247" s="9" t="s">
        <v>139</v>
      </c>
      <c r="AI247" t="s">
        <v>139</v>
      </c>
      <c r="AJ247" t="s">
        <v>139</v>
      </c>
      <c r="AK247" t="s">
        <v>139</v>
      </c>
      <c r="AL247" t="s">
        <v>139</v>
      </c>
      <c r="AM247" t="s">
        <v>139</v>
      </c>
      <c r="AN247" t="s">
        <v>139</v>
      </c>
      <c r="AO247" s="9" t="s">
        <v>139</v>
      </c>
      <c r="AP247" t="s">
        <v>139</v>
      </c>
      <c r="AQ247" t="s">
        <v>139</v>
      </c>
      <c r="AR247" t="s">
        <v>139</v>
      </c>
    </row>
    <row r="248" spans="1:44" x14ac:dyDescent="0.4">
      <c r="A248" s="3" t="s">
        <v>379</v>
      </c>
      <c r="B248">
        <v>322203</v>
      </c>
      <c r="C248">
        <v>98140.1</v>
      </c>
      <c r="D248">
        <v>62270.6</v>
      </c>
      <c r="E248" t="s">
        <v>139</v>
      </c>
      <c r="F248" t="s">
        <v>139</v>
      </c>
      <c r="G248">
        <v>35869.5</v>
      </c>
      <c r="H248" t="s">
        <v>139</v>
      </c>
      <c r="I248" t="s">
        <v>139</v>
      </c>
      <c r="J248">
        <v>224062.9</v>
      </c>
      <c r="K248">
        <v>79274</v>
      </c>
      <c r="L248">
        <v>52810.1</v>
      </c>
      <c r="M248" t="s">
        <v>139</v>
      </c>
      <c r="N248" t="s">
        <v>139</v>
      </c>
      <c r="O248" t="s">
        <v>139</v>
      </c>
      <c r="P248" t="s">
        <v>139</v>
      </c>
      <c r="Q248" t="s">
        <v>139</v>
      </c>
      <c r="R248" t="s">
        <v>139</v>
      </c>
      <c r="S248" t="s">
        <v>139</v>
      </c>
      <c r="T248" t="s">
        <v>139</v>
      </c>
      <c r="U248">
        <v>47923</v>
      </c>
      <c r="V248" s="6" t="s">
        <v>139</v>
      </c>
      <c r="W248" t="s">
        <v>139</v>
      </c>
      <c r="X248" t="s">
        <v>139</v>
      </c>
      <c r="Y248" t="s">
        <v>139</v>
      </c>
      <c r="Z248" t="s">
        <v>139</v>
      </c>
      <c r="AA248" t="s">
        <v>139</v>
      </c>
      <c r="AB248" t="s">
        <v>139</v>
      </c>
      <c r="AC248" t="s">
        <v>139</v>
      </c>
      <c r="AD248" t="s">
        <v>139</v>
      </c>
      <c r="AE248" t="s">
        <v>139</v>
      </c>
      <c r="AF248" t="s">
        <v>139</v>
      </c>
      <c r="AG248" t="s">
        <v>139</v>
      </c>
      <c r="AH248" s="9" t="s">
        <v>139</v>
      </c>
      <c r="AI248" t="s">
        <v>139</v>
      </c>
      <c r="AJ248" t="s">
        <v>139</v>
      </c>
      <c r="AK248" t="s">
        <v>139</v>
      </c>
      <c r="AL248" t="s">
        <v>139</v>
      </c>
      <c r="AM248" t="s">
        <v>139</v>
      </c>
      <c r="AN248" t="s">
        <v>139</v>
      </c>
      <c r="AO248" s="9" t="s">
        <v>139</v>
      </c>
      <c r="AP248" t="s">
        <v>139</v>
      </c>
      <c r="AQ248" t="s">
        <v>139</v>
      </c>
      <c r="AR248" t="s">
        <v>139</v>
      </c>
    </row>
    <row r="249" spans="1:44" x14ac:dyDescent="0.4">
      <c r="A249" s="3" t="s">
        <v>380</v>
      </c>
      <c r="B249">
        <v>323332.5</v>
      </c>
      <c r="C249">
        <v>99500.1</v>
      </c>
      <c r="D249">
        <v>63252.4</v>
      </c>
      <c r="E249" t="s">
        <v>139</v>
      </c>
      <c r="F249" t="s">
        <v>139</v>
      </c>
      <c r="G249">
        <v>36247.699999999997</v>
      </c>
      <c r="H249" t="s">
        <v>139</v>
      </c>
      <c r="I249" t="s">
        <v>139</v>
      </c>
      <c r="J249">
        <v>223832.4</v>
      </c>
      <c r="K249">
        <v>79558</v>
      </c>
      <c r="L249">
        <v>53013.9</v>
      </c>
      <c r="M249" t="s">
        <v>139</v>
      </c>
      <c r="N249" t="s">
        <v>139</v>
      </c>
      <c r="O249" t="s">
        <v>139</v>
      </c>
      <c r="P249" t="s">
        <v>139</v>
      </c>
      <c r="Q249" t="s">
        <v>139</v>
      </c>
      <c r="R249" t="s">
        <v>139</v>
      </c>
      <c r="S249" t="s">
        <v>139</v>
      </c>
      <c r="T249" t="s">
        <v>139</v>
      </c>
      <c r="U249">
        <v>47999.8</v>
      </c>
      <c r="V249" s="6" t="s">
        <v>139</v>
      </c>
      <c r="W249" t="s">
        <v>139</v>
      </c>
      <c r="X249" t="s">
        <v>139</v>
      </c>
      <c r="Y249" t="s">
        <v>139</v>
      </c>
      <c r="Z249" t="s">
        <v>139</v>
      </c>
      <c r="AA249" t="s">
        <v>139</v>
      </c>
      <c r="AB249" t="s">
        <v>139</v>
      </c>
      <c r="AC249" t="s">
        <v>139</v>
      </c>
      <c r="AD249" t="s">
        <v>139</v>
      </c>
      <c r="AE249" t="s">
        <v>139</v>
      </c>
      <c r="AF249" t="s">
        <v>139</v>
      </c>
      <c r="AG249" t="s">
        <v>139</v>
      </c>
      <c r="AH249" s="9" t="s">
        <v>139</v>
      </c>
      <c r="AI249" t="s">
        <v>139</v>
      </c>
      <c r="AJ249" t="s">
        <v>139</v>
      </c>
      <c r="AK249" t="s">
        <v>139</v>
      </c>
      <c r="AL249" t="s">
        <v>139</v>
      </c>
      <c r="AM249" t="s">
        <v>139</v>
      </c>
      <c r="AN249" t="s">
        <v>139</v>
      </c>
      <c r="AO249" s="9" t="s">
        <v>139</v>
      </c>
      <c r="AP249" t="s">
        <v>139</v>
      </c>
      <c r="AQ249" t="s">
        <v>139</v>
      </c>
      <c r="AR249" t="s">
        <v>139</v>
      </c>
    </row>
    <row r="250" spans="1:44" x14ac:dyDescent="0.4">
      <c r="A250" s="3" t="s">
        <v>381</v>
      </c>
      <c r="B250">
        <v>327112.59999999998</v>
      </c>
      <c r="C250">
        <v>101176</v>
      </c>
      <c r="D250">
        <v>64635.4</v>
      </c>
      <c r="E250" t="s">
        <v>139</v>
      </c>
      <c r="F250" t="s">
        <v>139</v>
      </c>
      <c r="G250">
        <v>36540.6</v>
      </c>
      <c r="H250" t="s">
        <v>139</v>
      </c>
      <c r="I250" t="s">
        <v>139</v>
      </c>
      <c r="J250">
        <v>225936.6</v>
      </c>
      <c r="K250">
        <v>80123.100000000006</v>
      </c>
      <c r="L250">
        <v>53251.4</v>
      </c>
      <c r="M250" t="s">
        <v>139</v>
      </c>
      <c r="N250" t="s">
        <v>139</v>
      </c>
      <c r="O250" t="s">
        <v>139</v>
      </c>
      <c r="P250" t="s">
        <v>139</v>
      </c>
      <c r="Q250" t="s">
        <v>139</v>
      </c>
      <c r="R250" t="s">
        <v>139</v>
      </c>
      <c r="S250" t="s">
        <v>139</v>
      </c>
      <c r="T250" t="s">
        <v>139</v>
      </c>
      <c r="U250">
        <v>48173.4</v>
      </c>
      <c r="V250" s="6" t="s">
        <v>139</v>
      </c>
      <c r="W250" t="s">
        <v>139</v>
      </c>
      <c r="X250" t="s">
        <v>139</v>
      </c>
      <c r="Y250" t="s">
        <v>139</v>
      </c>
      <c r="Z250" t="s">
        <v>139</v>
      </c>
      <c r="AA250" t="s">
        <v>139</v>
      </c>
      <c r="AB250" t="s">
        <v>139</v>
      </c>
      <c r="AC250" t="s">
        <v>139</v>
      </c>
      <c r="AD250" t="s">
        <v>139</v>
      </c>
      <c r="AE250" t="s">
        <v>139</v>
      </c>
      <c r="AF250" t="s">
        <v>139</v>
      </c>
      <c r="AG250" t="s">
        <v>139</v>
      </c>
      <c r="AH250" s="9" t="s">
        <v>139</v>
      </c>
      <c r="AI250" t="s">
        <v>139</v>
      </c>
      <c r="AJ250" t="s">
        <v>139</v>
      </c>
      <c r="AK250" t="s">
        <v>139</v>
      </c>
      <c r="AL250" t="s">
        <v>139</v>
      </c>
      <c r="AM250" t="s">
        <v>139</v>
      </c>
      <c r="AN250" t="s">
        <v>139</v>
      </c>
      <c r="AO250" s="9" t="s">
        <v>139</v>
      </c>
      <c r="AP250" t="s">
        <v>139</v>
      </c>
      <c r="AQ250" t="s">
        <v>139</v>
      </c>
      <c r="AR250" t="s">
        <v>139</v>
      </c>
    </row>
    <row r="251" spans="1:44" x14ac:dyDescent="0.4">
      <c r="A251" s="3" t="s">
        <v>382</v>
      </c>
      <c r="B251">
        <v>327895.7</v>
      </c>
      <c r="C251">
        <v>100720.9</v>
      </c>
      <c r="D251">
        <v>63678.6</v>
      </c>
      <c r="E251" t="s">
        <v>139</v>
      </c>
      <c r="F251" t="s">
        <v>139</v>
      </c>
      <c r="G251">
        <v>37042.300000000003</v>
      </c>
      <c r="H251" t="s">
        <v>139</v>
      </c>
      <c r="I251" t="s">
        <v>139</v>
      </c>
      <c r="J251">
        <v>227174.8</v>
      </c>
      <c r="K251">
        <v>81185</v>
      </c>
      <c r="L251">
        <v>53505</v>
      </c>
      <c r="M251" t="s">
        <v>139</v>
      </c>
      <c r="N251" t="s">
        <v>139</v>
      </c>
      <c r="O251" t="s">
        <v>139</v>
      </c>
      <c r="P251" t="s">
        <v>139</v>
      </c>
      <c r="Q251" t="s">
        <v>139</v>
      </c>
      <c r="R251" t="s">
        <v>139</v>
      </c>
      <c r="S251" t="s">
        <v>139</v>
      </c>
      <c r="T251" t="s">
        <v>139</v>
      </c>
      <c r="U251">
        <v>48375.4</v>
      </c>
      <c r="V251" s="6" t="s">
        <v>139</v>
      </c>
      <c r="W251" t="s">
        <v>139</v>
      </c>
      <c r="X251" t="s">
        <v>139</v>
      </c>
      <c r="Y251" t="s">
        <v>139</v>
      </c>
      <c r="Z251" t="s">
        <v>139</v>
      </c>
      <c r="AA251" t="s">
        <v>139</v>
      </c>
      <c r="AB251" t="s">
        <v>139</v>
      </c>
      <c r="AC251" t="s">
        <v>139</v>
      </c>
      <c r="AD251" t="s">
        <v>139</v>
      </c>
      <c r="AE251" t="s">
        <v>139</v>
      </c>
      <c r="AF251" t="s">
        <v>139</v>
      </c>
      <c r="AG251" t="s">
        <v>139</v>
      </c>
      <c r="AH251" s="9" t="s">
        <v>139</v>
      </c>
      <c r="AI251" t="s">
        <v>139</v>
      </c>
      <c r="AJ251" t="s">
        <v>139</v>
      </c>
      <c r="AK251" t="s">
        <v>139</v>
      </c>
      <c r="AL251" t="s">
        <v>139</v>
      </c>
      <c r="AM251" t="s">
        <v>139</v>
      </c>
      <c r="AN251" t="s">
        <v>139</v>
      </c>
      <c r="AO251" s="9" t="s">
        <v>139</v>
      </c>
      <c r="AP251" t="s">
        <v>139</v>
      </c>
      <c r="AQ251" t="s">
        <v>139</v>
      </c>
      <c r="AR251" t="s">
        <v>139</v>
      </c>
    </row>
    <row r="252" spans="1:44" x14ac:dyDescent="0.4">
      <c r="A252" s="3" t="s">
        <v>383</v>
      </c>
      <c r="B252">
        <v>328695.59999999998</v>
      </c>
      <c r="C252">
        <v>100380</v>
      </c>
      <c r="D252">
        <v>63067.3</v>
      </c>
      <c r="E252" t="s">
        <v>139</v>
      </c>
      <c r="F252" t="s">
        <v>139</v>
      </c>
      <c r="G252">
        <v>37312.699999999997</v>
      </c>
      <c r="H252" t="s">
        <v>139</v>
      </c>
      <c r="I252" t="s">
        <v>139</v>
      </c>
      <c r="J252">
        <v>228315.6</v>
      </c>
      <c r="K252">
        <v>81602.2</v>
      </c>
      <c r="L252">
        <v>53797.5</v>
      </c>
      <c r="M252" t="s">
        <v>139</v>
      </c>
      <c r="N252" t="s">
        <v>139</v>
      </c>
      <c r="O252" t="s">
        <v>139</v>
      </c>
      <c r="P252" t="s">
        <v>139</v>
      </c>
      <c r="Q252" t="s">
        <v>139</v>
      </c>
      <c r="R252" t="s">
        <v>139</v>
      </c>
      <c r="S252" t="s">
        <v>139</v>
      </c>
      <c r="T252" t="s">
        <v>139</v>
      </c>
      <c r="U252">
        <v>48646.6</v>
      </c>
      <c r="V252" s="6" t="s">
        <v>139</v>
      </c>
      <c r="W252" t="s">
        <v>139</v>
      </c>
      <c r="X252" t="s">
        <v>139</v>
      </c>
      <c r="Y252" t="s">
        <v>139</v>
      </c>
      <c r="Z252" t="s">
        <v>139</v>
      </c>
      <c r="AA252" t="s">
        <v>139</v>
      </c>
      <c r="AB252" t="s">
        <v>139</v>
      </c>
      <c r="AC252" t="s">
        <v>139</v>
      </c>
      <c r="AD252" t="s">
        <v>139</v>
      </c>
      <c r="AE252" t="s">
        <v>139</v>
      </c>
      <c r="AF252" t="s">
        <v>139</v>
      </c>
      <c r="AG252" t="s">
        <v>139</v>
      </c>
      <c r="AH252" s="9" t="s">
        <v>139</v>
      </c>
      <c r="AI252" t="s">
        <v>139</v>
      </c>
      <c r="AJ252" t="s">
        <v>139</v>
      </c>
      <c r="AK252" t="s">
        <v>139</v>
      </c>
      <c r="AL252" t="s">
        <v>139</v>
      </c>
      <c r="AM252" t="s">
        <v>139</v>
      </c>
      <c r="AN252" t="s">
        <v>139</v>
      </c>
      <c r="AO252" s="9" t="s">
        <v>139</v>
      </c>
      <c r="AP252" t="s">
        <v>139</v>
      </c>
      <c r="AQ252" t="s">
        <v>139</v>
      </c>
      <c r="AR252" t="s">
        <v>139</v>
      </c>
    </row>
    <row r="253" spans="1:44" x14ac:dyDescent="0.4">
      <c r="A253" s="3" t="s">
        <v>384</v>
      </c>
      <c r="B253">
        <v>330052.40000000002</v>
      </c>
      <c r="C253">
        <v>99986.8</v>
      </c>
      <c r="D253">
        <v>62643.9</v>
      </c>
      <c r="E253" t="s">
        <v>139</v>
      </c>
      <c r="F253" t="s">
        <v>139</v>
      </c>
      <c r="G253">
        <v>37342.800000000003</v>
      </c>
      <c r="H253" t="s">
        <v>139</v>
      </c>
      <c r="I253" t="s">
        <v>139</v>
      </c>
      <c r="J253">
        <v>230065.6</v>
      </c>
      <c r="K253">
        <v>82692.899999999994</v>
      </c>
      <c r="L253">
        <v>54171.199999999997</v>
      </c>
      <c r="M253" t="s">
        <v>139</v>
      </c>
      <c r="N253" t="s">
        <v>139</v>
      </c>
      <c r="O253" t="s">
        <v>139</v>
      </c>
      <c r="P253" t="s">
        <v>139</v>
      </c>
      <c r="Q253" t="s">
        <v>139</v>
      </c>
      <c r="R253" t="s">
        <v>139</v>
      </c>
      <c r="S253" t="s">
        <v>139</v>
      </c>
      <c r="T253" t="s">
        <v>139</v>
      </c>
      <c r="U253">
        <v>48984.6</v>
      </c>
      <c r="V253" s="6" t="s">
        <v>139</v>
      </c>
      <c r="W253" t="s">
        <v>139</v>
      </c>
      <c r="X253" t="s">
        <v>139</v>
      </c>
      <c r="Y253" t="s">
        <v>139</v>
      </c>
      <c r="Z253" t="s">
        <v>139</v>
      </c>
      <c r="AA253" t="s">
        <v>139</v>
      </c>
      <c r="AB253" t="s">
        <v>139</v>
      </c>
      <c r="AC253" t="s">
        <v>139</v>
      </c>
      <c r="AD253" t="s">
        <v>139</v>
      </c>
      <c r="AE253" t="s">
        <v>139</v>
      </c>
      <c r="AF253" t="s">
        <v>139</v>
      </c>
      <c r="AG253" t="s">
        <v>139</v>
      </c>
      <c r="AH253" s="9" t="s">
        <v>139</v>
      </c>
      <c r="AI253" t="s">
        <v>139</v>
      </c>
      <c r="AJ253" t="s">
        <v>139</v>
      </c>
      <c r="AK253" t="s">
        <v>139</v>
      </c>
      <c r="AL253" t="s">
        <v>139</v>
      </c>
      <c r="AM253" t="s">
        <v>139</v>
      </c>
      <c r="AN253" t="s">
        <v>139</v>
      </c>
      <c r="AO253" s="9" t="s">
        <v>139</v>
      </c>
      <c r="AP253" t="s">
        <v>139</v>
      </c>
      <c r="AQ253" t="s">
        <v>139</v>
      </c>
      <c r="AR253" t="s">
        <v>139</v>
      </c>
    </row>
    <row r="254" spans="1:44" x14ac:dyDescent="0.4">
      <c r="A254" s="3" t="s">
        <v>385</v>
      </c>
      <c r="B254">
        <v>334878.8</v>
      </c>
      <c r="C254">
        <v>102414.5</v>
      </c>
      <c r="D254">
        <v>64671.4</v>
      </c>
      <c r="E254" t="s">
        <v>139</v>
      </c>
      <c r="F254" t="s">
        <v>139</v>
      </c>
      <c r="G254">
        <v>37743.199999999997</v>
      </c>
      <c r="H254" t="s">
        <v>139</v>
      </c>
      <c r="I254" t="s">
        <v>139</v>
      </c>
      <c r="J254">
        <v>232464.3</v>
      </c>
      <c r="K254">
        <v>83735.100000000006</v>
      </c>
      <c r="L254">
        <v>54524.9</v>
      </c>
      <c r="M254" t="s">
        <v>139</v>
      </c>
      <c r="N254" t="s">
        <v>139</v>
      </c>
      <c r="O254" t="s">
        <v>139</v>
      </c>
      <c r="P254" t="s">
        <v>139</v>
      </c>
      <c r="Q254" t="s">
        <v>139</v>
      </c>
      <c r="R254" t="s">
        <v>139</v>
      </c>
      <c r="S254" t="s">
        <v>139</v>
      </c>
      <c r="T254" t="s">
        <v>139</v>
      </c>
      <c r="U254">
        <v>49368.7</v>
      </c>
      <c r="V254" s="6" t="s">
        <v>139</v>
      </c>
      <c r="W254" t="s">
        <v>139</v>
      </c>
      <c r="X254" t="s">
        <v>139</v>
      </c>
      <c r="Y254" t="s">
        <v>139</v>
      </c>
      <c r="Z254" t="s">
        <v>139</v>
      </c>
      <c r="AA254" t="s">
        <v>139</v>
      </c>
      <c r="AB254" t="s">
        <v>139</v>
      </c>
      <c r="AC254" t="s">
        <v>139</v>
      </c>
      <c r="AD254" t="s">
        <v>139</v>
      </c>
      <c r="AE254" t="s">
        <v>139</v>
      </c>
      <c r="AF254" t="s">
        <v>139</v>
      </c>
      <c r="AG254" t="s">
        <v>139</v>
      </c>
      <c r="AH254" s="9" t="s">
        <v>139</v>
      </c>
      <c r="AI254" t="s">
        <v>139</v>
      </c>
      <c r="AJ254" t="s">
        <v>139</v>
      </c>
      <c r="AK254" t="s">
        <v>139</v>
      </c>
      <c r="AL254" t="s">
        <v>139</v>
      </c>
      <c r="AM254" t="s">
        <v>139</v>
      </c>
      <c r="AN254" t="s">
        <v>139</v>
      </c>
      <c r="AO254" s="9" t="s">
        <v>139</v>
      </c>
      <c r="AP254" t="s">
        <v>139</v>
      </c>
      <c r="AQ254" t="s">
        <v>139</v>
      </c>
      <c r="AR254" t="s">
        <v>139</v>
      </c>
    </row>
    <row r="255" spans="1:44" x14ac:dyDescent="0.4">
      <c r="A255" s="3" t="s">
        <v>386</v>
      </c>
      <c r="B255">
        <v>337051.4</v>
      </c>
      <c r="C255">
        <v>103989.7</v>
      </c>
      <c r="D255">
        <v>65769</v>
      </c>
      <c r="E255" t="s">
        <v>139</v>
      </c>
      <c r="F255" t="s">
        <v>139</v>
      </c>
      <c r="G255">
        <v>38220.699999999997</v>
      </c>
      <c r="H255" t="s">
        <v>139</v>
      </c>
      <c r="I255" t="s">
        <v>139</v>
      </c>
      <c r="J255">
        <v>233061.7</v>
      </c>
      <c r="K255">
        <v>83512.3</v>
      </c>
      <c r="L255">
        <v>54883.6</v>
      </c>
      <c r="M255" t="s">
        <v>139</v>
      </c>
      <c r="N255" t="s">
        <v>139</v>
      </c>
      <c r="O255" t="s">
        <v>139</v>
      </c>
      <c r="P255" t="s">
        <v>139</v>
      </c>
      <c r="Q255" t="s">
        <v>139</v>
      </c>
      <c r="R255" t="s">
        <v>139</v>
      </c>
      <c r="S255" t="s">
        <v>139</v>
      </c>
      <c r="T255" t="s">
        <v>139</v>
      </c>
      <c r="U255">
        <v>49773.3</v>
      </c>
      <c r="V255" s="6" t="s">
        <v>139</v>
      </c>
      <c r="W255" t="s">
        <v>139</v>
      </c>
      <c r="X255" t="s">
        <v>139</v>
      </c>
      <c r="Y255" t="s">
        <v>139</v>
      </c>
      <c r="Z255" t="s">
        <v>139</v>
      </c>
      <c r="AA255" t="s">
        <v>139</v>
      </c>
      <c r="AB255" t="s">
        <v>139</v>
      </c>
      <c r="AC255" t="s">
        <v>139</v>
      </c>
      <c r="AD255" t="s">
        <v>139</v>
      </c>
      <c r="AE255" t="s">
        <v>139</v>
      </c>
      <c r="AF255" t="s">
        <v>139</v>
      </c>
      <c r="AG255" t="s">
        <v>139</v>
      </c>
      <c r="AH255" s="9" t="s">
        <v>139</v>
      </c>
      <c r="AI255" t="s">
        <v>139</v>
      </c>
      <c r="AJ255" t="s">
        <v>139</v>
      </c>
      <c r="AK255" t="s">
        <v>139</v>
      </c>
      <c r="AL255" t="s">
        <v>139</v>
      </c>
      <c r="AM255" t="s">
        <v>139</v>
      </c>
      <c r="AN255" t="s">
        <v>139</v>
      </c>
      <c r="AO255" s="9" t="s">
        <v>139</v>
      </c>
      <c r="AP255" t="s">
        <v>139</v>
      </c>
      <c r="AQ255" t="s">
        <v>139</v>
      </c>
      <c r="AR255" t="s">
        <v>139</v>
      </c>
    </row>
    <row r="256" spans="1:44" x14ac:dyDescent="0.4">
      <c r="A256" s="3" t="s">
        <v>387</v>
      </c>
      <c r="B256">
        <v>341201.8</v>
      </c>
      <c r="C256">
        <v>106731.7</v>
      </c>
      <c r="D256">
        <v>68238.399999999994</v>
      </c>
      <c r="E256" t="s">
        <v>139</v>
      </c>
      <c r="F256" t="s">
        <v>139</v>
      </c>
      <c r="G256">
        <v>38493.300000000003</v>
      </c>
      <c r="H256" t="s">
        <v>139</v>
      </c>
      <c r="I256" t="s">
        <v>139</v>
      </c>
      <c r="J256">
        <v>234470.1</v>
      </c>
      <c r="K256">
        <v>83736.5</v>
      </c>
      <c r="L256">
        <v>55322.7</v>
      </c>
      <c r="M256" t="s">
        <v>139</v>
      </c>
      <c r="N256" t="s">
        <v>139</v>
      </c>
      <c r="O256" t="s">
        <v>139</v>
      </c>
      <c r="P256" t="s">
        <v>139</v>
      </c>
      <c r="Q256" t="s">
        <v>139</v>
      </c>
      <c r="R256" t="s">
        <v>139</v>
      </c>
      <c r="S256" t="s">
        <v>139</v>
      </c>
      <c r="T256" t="s">
        <v>139</v>
      </c>
      <c r="U256">
        <v>50181.1</v>
      </c>
      <c r="V256" s="6" t="s">
        <v>139</v>
      </c>
      <c r="W256" t="s">
        <v>139</v>
      </c>
      <c r="X256" t="s">
        <v>139</v>
      </c>
      <c r="Y256" t="s">
        <v>139</v>
      </c>
      <c r="Z256" t="s">
        <v>139</v>
      </c>
      <c r="AA256" t="s">
        <v>139</v>
      </c>
      <c r="AB256" t="s">
        <v>139</v>
      </c>
      <c r="AC256" t="s">
        <v>139</v>
      </c>
      <c r="AD256" t="s">
        <v>139</v>
      </c>
      <c r="AE256" t="s">
        <v>139</v>
      </c>
      <c r="AF256" t="s">
        <v>139</v>
      </c>
      <c r="AG256" t="s">
        <v>139</v>
      </c>
      <c r="AH256" s="9" t="s">
        <v>139</v>
      </c>
      <c r="AI256" t="s">
        <v>139</v>
      </c>
      <c r="AJ256" t="s">
        <v>139</v>
      </c>
      <c r="AK256" t="s">
        <v>139</v>
      </c>
      <c r="AL256" t="s">
        <v>139</v>
      </c>
      <c r="AM256" t="s">
        <v>139</v>
      </c>
      <c r="AN256" t="s">
        <v>139</v>
      </c>
      <c r="AO256" s="9" t="s">
        <v>139</v>
      </c>
      <c r="AP256" t="s">
        <v>139</v>
      </c>
      <c r="AQ256" t="s">
        <v>139</v>
      </c>
      <c r="AR256" t="s">
        <v>139</v>
      </c>
    </row>
    <row r="257" spans="1:44" x14ac:dyDescent="0.4">
      <c r="A257" s="3" t="s">
        <v>388</v>
      </c>
      <c r="B257">
        <v>345463.8</v>
      </c>
      <c r="C257">
        <v>109653.6</v>
      </c>
      <c r="D257">
        <v>70835.3</v>
      </c>
      <c r="E257" t="s">
        <v>139</v>
      </c>
      <c r="F257" t="s">
        <v>139</v>
      </c>
      <c r="G257">
        <v>38818.300000000003</v>
      </c>
      <c r="H257" t="s">
        <v>139</v>
      </c>
      <c r="I257" t="s">
        <v>139</v>
      </c>
      <c r="J257">
        <v>235810.2</v>
      </c>
      <c r="K257">
        <v>84104.3</v>
      </c>
      <c r="L257">
        <v>55779.5</v>
      </c>
      <c r="M257" t="s">
        <v>139</v>
      </c>
      <c r="N257" t="s">
        <v>139</v>
      </c>
      <c r="O257" t="s">
        <v>139</v>
      </c>
      <c r="P257" t="s">
        <v>139</v>
      </c>
      <c r="Q257" t="s">
        <v>139</v>
      </c>
      <c r="R257" t="s">
        <v>139</v>
      </c>
      <c r="S257" t="s">
        <v>139</v>
      </c>
      <c r="T257" t="s">
        <v>139</v>
      </c>
      <c r="U257">
        <v>50531.3</v>
      </c>
      <c r="V257" s="6" t="s">
        <v>139</v>
      </c>
      <c r="W257" t="s">
        <v>139</v>
      </c>
      <c r="X257" t="s">
        <v>139</v>
      </c>
      <c r="Y257" t="s">
        <v>139</v>
      </c>
      <c r="Z257" t="s">
        <v>139</v>
      </c>
      <c r="AA257" t="s">
        <v>139</v>
      </c>
      <c r="AB257" t="s">
        <v>139</v>
      </c>
      <c r="AC257" t="s">
        <v>139</v>
      </c>
      <c r="AD257" t="s">
        <v>139</v>
      </c>
      <c r="AE257" t="s">
        <v>139</v>
      </c>
      <c r="AF257" t="s">
        <v>139</v>
      </c>
      <c r="AG257" t="s">
        <v>139</v>
      </c>
      <c r="AH257" s="9" t="s">
        <v>139</v>
      </c>
      <c r="AI257" t="s">
        <v>139</v>
      </c>
      <c r="AJ257" t="s">
        <v>139</v>
      </c>
      <c r="AK257" t="s">
        <v>139</v>
      </c>
      <c r="AL257" t="s">
        <v>139</v>
      </c>
      <c r="AM257" t="s">
        <v>139</v>
      </c>
      <c r="AN257" t="s">
        <v>139</v>
      </c>
      <c r="AO257" s="9" t="s">
        <v>139</v>
      </c>
      <c r="AP257" t="s">
        <v>139</v>
      </c>
      <c r="AQ257" t="s">
        <v>139</v>
      </c>
      <c r="AR257" t="s">
        <v>139</v>
      </c>
    </row>
    <row r="258" spans="1:44" x14ac:dyDescent="0.4">
      <c r="A258" s="3" t="s">
        <v>389</v>
      </c>
      <c r="B258">
        <v>347999.5</v>
      </c>
      <c r="C258">
        <v>110849.4</v>
      </c>
      <c r="D258">
        <v>71694.899999999994</v>
      </c>
      <c r="E258" t="s">
        <v>139</v>
      </c>
      <c r="F258" t="s">
        <v>139</v>
      </c>
      <c r="G258">
        <v>39154.5</v>
      </c>
      <c r="H258" t="s">
        <v>139</v>
      </c>
      <c r="I258" t="s">
        <v>139</v>
      </c>
      <c r="J258">
        <v>237150.1</v>
      </c>
      <c r="K258">
        <v>84595.9</v>
      </c>
      <c r="L258">
        <v>56269.7</v>
      </c>
      <c r="M258" t="s">
        <v>139</v>
      </c>
      <c r="N258" t="s">
        <v>139</v>
      </c>
      <c r="O258" t="s">
        <v>139</v>
      </c>
      <c r="P258" t="s">
        <v>139</v>
      </c>
      <c r="Q258" t="s">
        <v>139</v>
      </c>
      <c r="R258" t="s">
        <v>139</v>
      </c>
      <c r="S258" t="s">
        <v>139</v>
      </c>
      <c r="T258" t="s">
        <v>139</v>
      </c>
      <c r="U258">
        <v>50918.9</v>
      </c>
      <c r="V258" s="6" t="s">
        <v>139</v>
      </c>
      <c r="W258" t="s">
        <v>139</v>
      </c>
      <c r="X258" t="s">
        <v>139</v>
      </c>
      <c r="Y258" t="s">
        <v>139</v>
      </c>
      <c r="Z258" t="s">
        <v>139</v>
      </c>
      <c r="AA258" t="s">
        <v>139</v>
      </c>
      <c r="AB258" t="s">
        <v>139</v>
      </c>
      <c r="AC258" t="s">
        <v>139</v>
      </c>
      <c r="AD258" t="s">
        <v>139</v>
      </c>
      <c r="AE258" t="s">
        <v>139</v>
      </c>
      <c r="AF258" t="s">
        <v>139</v>
      </c>
      <c r="AG258" t="s">
        <v>139</v>
      </c>
      <c r="AH258" s="9" t="s">
        <v>139</v>
      </c>
      <c r="AI258" t="s">
        <v>139</v>
      </c>
      <c r="AJ258" t="s">
        <v>139</v>
      </c>
      <c r="AK258" t="s">
        <v>139</v>
      </c>
      <c r="AL258" t="s">
        <v>139</v>
      </c>
      <c r="AM258" t="s">
        <v>139</v>
      </c>
      <c r="AN258" t="s">
        <v>139</v>
      </c>
      <c r="AO258" s="9" t="s">
        <v>139</v>
      </c>
      <c r="AP258" t="s">
        <v>139</v>
      </c>
      <c r="AQ258" t="s">
        <v>139</v>
      </c>
      <c r="AR258" t="s">
        <v>139</v>
      </c>
    </row>
    <row r="259" spans="1:44" x14ac:dyDescent="0.4">
      <c r="A259" s="3" t="s">
        <v>390</v>
      </c>
      <c r="B259">
        <v>351684.5</v>
      </c>
      <c r="C259">
        <v>111065.2</v>
      </c>
      <c r="D259">
        <v>71469.5</v>
      </c>
      <c r="E259" t="s">
        <v>139</v>
      </c>
      <c r="F259" t="s">
        <v>139</v>
      </c>
      <c r="G259">
        <v>39595.699999999997</v>
      </c>
      <c r="H259" t="s">
        <v>139</v>
      </c>
      <c r="I259" t="s">
        <v>139</v>
      </c>
      <c r="J259">
        <v>240619.3</v>
      </c>
      <c r="K259">
        <v>86139.7</v>
      </c>
      <c r="L259">
        <v>56843.9</v>
      </c>
      <c r="M259" t="s">
        <v>139</v>
      </c>
      <c r="N259" t="s">
        <v>139</v>
      </c>
      <c r="O259" t="s">
        <v>139</v>
      </c>
      <c r="P259" t="s">
        <v>139</v>
      </c>
      <c r="Q259" t="s">
        <v>139</v>
      </c>
      <c r="R259" t="s">
        <v>139</v>
      </c>
      <c r="S259" t="s">
        <v>139</v>
      </c>
      <c r="T259" t="s">
        <v>139</v>
      </c>
      <c r="U259">
        <v>51191.4</v>
      </c>
      <c r="V259" s="6" t="s">
        <v>139</v>
      </c>
      <c r="W259" t="s">
        <v>139</v>
      </c>
      <c r="X259" t="s">
        <v>139</v>
      </c>
      <c r="Y259" t="s">
        <v>139</v>
      </c>
      <c r="Z259" t="s">
        <v>139</v>
      </c>
      <c r="AA259" t="s">
        <v>139</v>
      </c>
      <c r="AB259" t="s">
        <v>139</v>
      </c>
      <c r="AC259" t="s">
        <v>139</v>
      </c>
      <c r="AD259" t="s">
        <v>139</v>
      </c>
      <c r="AE259" t="s">
        <v>139</v>
      </c>
      <c r="AF259" t="s">
        <v>139</v>
      </c>
      <c r="AG259" t="s">
        <v>139</v>
      </c>
      <c r="AH259" s="9" t="s">
        <v>139</v>
      </c>
      <c r="AI259" t="s">
        <v>139</v>
      </c>
      <c r="AJ259" t="s">
        <v>139</v>
      </c>
      <c r="AK259" t="s">
        <v>139</v>
      </c>
      <c r="AL259" t="s">
        <v>139</v>
      </c>
      <c r="AM259" t="s">
        <v>139</v>
      </c>
      <c r="AN259" t="s">
        <v>139</v>
      </c>
      <c r="AO259" s="9" t="s">
        <v>139</v>
      </c>
      <c r="AP259" t="s">
        <v>139</v>
      </c>
      <c r="AQ259" t="s">
        <v>139</v>
      </c>
      <c r="AR259" t="s">
        <v>139</v>
      </c>
    </row>
    <row r="260" spans="1:44" x14ac:dyDescent="0.4">
      <c r="A260" s="3" t="s">
        <v>391</v>
      </c>
      <c r="B260">
        <v>354350.4</v>
      </c>
      <c r="C260">
        <v>111513.8</v>
      </c>
      <c r="D260">
        <v>71331.399999999994</v>
      </c>
      <c r="E260" t="s">
        <v>139</v>
      </c>
      <c r="F260" t="s">
        <v>139</v>
      </c>
      <c r="G260">
        <v>40182.400000000001</v>
      </c>
      <c r="H260" t="s">
        <v>139</v>
      </c>
      <c r="I260" t="s">
        <v>139</v>
      </c>
      <c r="J260">
        <v>242836.6</v>
      </c>
      <c r="K260">
        <v>86550.9</v>
      </c>
      <c r="L260">
        <v>57353.4</v>
      </c>
      <c r="M260" t="s">
        <v>139</v>
      </c>
      <c r="N260" t="s">
        <v>139</v>
      </c>
      <c r="O260" t="s">
        <v>139</v>
      </c>
      <c r="P260" t="s">
        <v>139</v>
      </c>
      <c r="Q260" t="s">
        <v>139</v>
      </c>
      <c r="R260" t="s">
        <v>139</v>
      </c>
      <c r="S260" t="s">
        <v>139</v>
      </c>
      <c r="T260" t="s">
        <v>139</v>
      </c>
      <c r="U260">
        <v>51615</v>
      </c>
      <c r="V260" s="6" t="s">
        <v>139</v>
      </c>
      <c r="W260" t="s">
        <v>139</v>
      </c>
      <c r="X260" t="s">
        <v>139</v>
      </c>
      <c r="Y260" t="s">
        <v>139</v>
      </c>
      <c r="Z260" t="s">
        <v>139</v>
      </c>
      <c r="AA260" t="s">
        <v>139</v>
      </c>
      <c r="AB260" t="s">
        <v>139</v>
      </c>
      <c r="AC260" t="s">
        <v>139</v>
      </c>
      <c r="AD260" t="s">
        <v>139</v>
      </c>
      <c r="AE260" t="s">
        <v>139</v>
      </c>
      <c r="AF260" t="s">
        <v>139</v>
      </c>
      <c r="AG260" t="s">
        <v>139</v>
      </c>
      <c r="AH260" s="9" t="s">
        <v>139</v>
      </c>
      <c r="AI260" t="s">
        <v>139</v>
      </c>
      <c r="AJ260" t="s">
        <v>139</v>
      </c>
      <c r="AK260" t="s">
        <v>139</v>
      </c>
      <c r="AL260" t="s">
        <v>139</v>
      </c>
      <c r="AM260" t="s">
        <v>139</v>
      </c>
      <c r="AN260" t="s">
        <v>139</v>
      </c>
      <c r="AO260" s="9" t="s">
        <v>139</v>
      </c>
      <c r="AP260" t="s">
        <v>139</v>
      </c>
      <c r="AQ260" t="s">
        <v>139</v>
      </c>
      <c r="AR260" t="s">
        <v>139</v>
      </c>
    </row>
    <row r="261" spans="1:44" x14ac:dyDescent="0.4">
      <c r="A261" s="3" t="s">
        <v>392</v>
      </c>
      <c r="B261">
        <v>354678.1</v>
      </c>
      <c r="C261">
        <v>112070.3</v>
      </c>
      <c r="D261">
        <v>71303.7</v>
      </c>
      <c r="E261" t="s">
        <v>139</v>
      </c>
      <c r="F261" t="s">
        <v>139</v>
      </c>
      <c r="G261">
        <v>40766.6</v>
      </c>
      <c r="H261" t="s">
        <v>139</v>
      </c>
      <c r="I261" t="s">
        <v>139</v>
      </c>
      <c r="J261">
        <v>242607.8</v>
      </c>
      <c r="K261">
        <v>86598.1</v>
      </c>
      <c r="L261">
        <v>57920.3</v>
      </c>
      <c r="M261" t="s">
        <v>139</v>
      </c>
      <c r="N261" t="s">
        <v>139</v>
      </c>
      <c r="O261" t="s">
        <v>139</v>
      </c>
      <c r="P261" t="s">
        <v>139</v>
      </c>
      <c r="Q261" t="s">
        <v>139</v>
      </c>
      <c r="R261" t="s">
        <v>139</v>
      </c>
      <c r="S261" t="s">
        <v>139</v>
      </c>
      <c r="T261" t="s">
        <v>139</v>
      </c>
      <c r="U261">
        <v>52025.5</v>
      </c>
      <c r="V261" s="6" t="s">
        <v>139</v>
      </c>
      <c r="W261" t="s">
        <v>139</v>
      </c>
      <c r="X261" t="s">
        <v>139</v>
      </c>
      <c r="Y261" t="s">
        <v>139</v>
      </c>
      <c r="Z261" t="s">
        <v>139</v>
      </c>
      <c r="AA261" t="s">
        <v>139</v>
      </c>
      <c r="AB261" t="s">
        <v>139</v>
      </c>
      <c r="AC261" t="s">
        <v>139</v>
      </c>
      <c r="AD261" t="s">
        <v>139</v>
      </c>
      <c r="AE261" t="s">
        <v>139</v>
      </c>
      <c r="AF261" t="s">
        <v>139</v>
      </c>
      <c r="AG261" t="s">
        <v>139</v>
      </c>
      <c r="AH261" s="9" t="s">
        <v>139</v>
      </c>
      <c r="AI261" t="s">
        <v>139</v>
      </c>
      <c r="AJ261" t="s">
        <v>139</v>
      </c>
      <c r="AK261" t="s">
        <v>139</v>
      </c>
      <c r="AL261" t="s">
        <v>139</v>
      </c>
      <c r="AM261" t="s">
        <v>139</v>
      </c>
      <c r="AN261" t="s">
        <v>139</v>
      </c>
      <c r="AO261" s="9" t="s">
        <v>139</v>
      </c>
      <c r="AP261" t="s">
        <v>139</v>
      </c>
      <c r="AQ261" t="s">
        <v>139</v>
      </c>
      <c r="AR261" t="s">
        <v>139</v>
      </c>
    </row>
    <row r="262" spans="1:44" x14ac:dyDescent="0.4">
      <c r="A262" s="3" t="s">
        <v>393</v>
      </c>
      <c r="B262">
        <v>356253.7</v>
      </c>
      <c r="C262">
        <v>112547.6</v>
      </c>
      <c r="D262">
        <v>71204.399999999994</v>
      </c>
      <c r="E262" t="s">
        <v>139</v>
      </c>
      <c r="F262" t="s">
        <v>139</v>
      </c>
      <c r="G262">
        <v>41343.199999999997</v>
      </c>
      <c r="H262" t="s">
        <v>139</v>
      </c>
      <c r="I262" t="s">
        <v>139</v>
      </c>
      <c r="J262">
        <v>243706.1</v>
      </c>
      <c r="K262">
        <v>87114</v>
      </c>
      <c r="L262">
        <v>58491.199999999997</v>
      </c>
      <c r="M262" t="s">
        <v>139</v>
      </c>
      <c r="N262" t="s">
        <v>139</v>
      </c>
      <c r="O262" t="s">
        <v>139</v>
      </c>
      <c r="P262" t="s">
        <v>139</v>
      </c>
      <c r="Q262" t="s">
        <v>139</v>
      </c>
      <c r="R262" t="s">
        <v>139</v>
      </c>
      <c r="S262" t="s">
        <v>139</v>
      </c>
      <c r="T262" t="s">
        <v>139</v>
      </c>
      <c r="U262">
        <v>52465</v>
      </c>
      <c r="V262" s="6" t="s">
        <v>139</v>
      </c>
      <c r="W262" t="s">
        <v>139</v>
      </c>
      <c r="X262" t="s">
        <v>139</v>
      </c>
      <c r="Y262" t="s">
        <v>139</v>
      </c>
      <c r="Z262" t="s">
        <v>139</v>
      </c>
      <c r="AA262" t="s">
        <v>139</v>
      </c>
      <c r="AB262" t="s">
        <v>139</v>
      </c>
      <c r="AC262" t="s">
        <v>139</v>
      </c>
      <c r="AD262" t="s">
        <v>139</v>
      </c>
      <c r="AE262" t="s">
        <v>139</v>
      </c>
      <c r="AF262" t="s">
        <v>139</v>
      </c>
      <c r="AG262" t="s">
        <v>139</v>
      </c>
      <c r="AH262" s="9" t="s">
        <v>139</v>
      </c>
      <c r="AI262" t="s">
        <v>139</v>
      </c>
      <c r="AJ262" t="s">
        <v>139</v>
      </c>
      <c r="AK262" t="s">
        <v>139</v>
      </c>
      <c r="AL262" t="s">
        <v>139</v>
      </c>
      <c r="AM262" t="s">
        <v>139</v>
      </c>
      <c r="AN262" t="s">
        <v>139</v>
      </c>
      <c r="AO262" s="9" t="s">
        <v>139</v>
      </c>
      <c r="AP262" t="s">
        <v>139</v>
      </c>
      <c r="AQ262" t="s">
        <v>139</v>
      </c>
      <c r="AR262" t="s">
        <v>139</v>
      </c>
    </row>
    <row r="263" spans="1:44" x14ac:dyDescent="0.4">
      <c r="A263" s="3" t="s">
        <v>394</v>
      </c>
      <c r="B263">
        <v>358416.2</v>
      </c>
      <c r="C263">
        <v>111525.7</v>
      </c>
      <c r="D263">
        <v>69738.8</v>
      </c>
      <c r="E263" t="s">
        <v>139</v>
      </c>
      <c r="F263" t="s">
        <v>139</v>
      </c>
      <c r="G263">
        <v>41786.9</v>
      </c>
      <c r="H263" t="s">
        <v>139</v>
      </c>
      <c r="I263" t="s">
        <v>139</v>
      </c>
      <c r="J263">
        <v>246890.4</v>
      </c>
      <c r="K263">
        <v>88421</v>
      </c>
      <c r="L263">
        <v>59042.2</v>
      </c>
      <c r="M263" t="s">
        <v>139</v>
      </c>
      <c r="N263" t="s">
        <v>139</v>
      </c>
      <c r="O263" t="s">
        <v>139</v>
      </c>
      <c r="P263" t="s">
        <v>139</v>
      </c>
      <c r="Q263" t="s">
        <v>139</v>
      </c>
      <c r="R263" t="s">
        <v>139</v>
      </c>
      <c r="S263" t="s">
        <v>139</v>
      </c>
      <c r="T263" t="s">
        <v>139</v>
      </c>
      <c r="U263">
        <v>52854.9</v>
      </c>
      <c r="V263" s="6" t="s">
        <v>139</v>
      </c>
      <c r="W263" t="s">
        <v>139</v>
      </c>
      <c r="X263" t="s">
        <v>139</v>
      </c>
      <c r="Y263" t="s">
        <v>139</v>
      </c>
      <c r="Z263" t="s">
        <v>139</v>
      </c>
      <c r="AA263" t="s">
        <v>139</v>
      </c>
      <c r="AB263" t="s">
        <v>139</v>
      </c>
      <c r="AC263" t="s">
        <v>139</v>
      </c>
      <c r="AD263" t="s">
        <v>139</v>
      </c>
      <c r="AE263" t="s">
        <v>139</v>
      </c>
      <c r="AF263" t="s">
        <v>139</v>
      </c>
      <c r="AG263" t="s">
        <v>139</v>
      </c>
      <c r="AH263" s="9" t="s">
        <v>139</v>
      </c>
      <c r="AI263" t="s">
        <v>139</v>
      </c>
      <c r="AJ263" t="s">
        <v>139</v>
      </c>
      <c r="AK263" t="s">
        <v>139</v>
      </c>
      <c r="AL263" t="s">
        <v>139</v>
      </c>
      <c r="AM263" t="s">
        <v>139</v>
      </c>
      <c r="AN263" t="s">
        <v>139</v>
      </c>
      <c r="AO263" s="9" t="s">
        <v>139</v>
      </c>
      <c r="AP263" t="s">
        <v>139</v>
      </c>
      <c r="AQ263" t="s">
        <v>139</v>
      </c>
      <c r="AR263" t="s">
        <v>139</v>
      </c>
    </row>
    <row r="264" spans="1:44" x14ac:dyDescent="0.4">
      <c r="A264" s="3" t="s">
        <v>395</v>
      </c>
      <c r="B264">
        <v>359853.1</v>
      </c>
      <c r="C264">
        <v>111820.8</v>
      </c>
      <c r="D264">
        <v>69936.5</v>
      </c>
      <c r="E264" t="s">
        <v>139</v>
      </c>
      <c r="F264" t="s">
        <v>139</v>
      </c>
      <c r="G264">
        <v>41884.400000000001</v>
      </c>
      <c r="H264" t="s">
        <v>139</v>
      </c>
      <c r="I264" t="s">
        <v>139</v>
      </c>
      <c r="J264">
        <v>248032.2</v>
      </c>
      <c r="K264">
        <v>88972.6</v>
      </c>
      <c r="L264">
        <v>59577.9</v>
      </c>
      <c r="M264" t="s">
        <v>139</v>
      </c>
      <c r="N264" t="s">
        <v>139</v>
      </c>
      <c r="O264" t="s">
        <v>139</v>
      </c>
      <c r="P264" t="s">
        <v>139</v>
      </c>
      <c r="Q264" t="s">
        <v>139</v>
      </c>
      <c r="R264" t="s">
        <v>139</v>
      </c>
      <c r="S264" t="s">
        <v>139</v>
      </c>
      <c r="T264" t="s">
        <v>139</v>
      </c>
      <c r="U264">
        <v>53292.3</v>
      </c>
      <c r="V264" s="6" t="s">
        <v>139</v>
      </c>
      <c r="W264" t="s">
        <v>139</v>
      </c>
      <c r="X264" t="s">
        <v>139</v>
      </c>
      <c r="Y264" t="s">
        <v>139</v>
      </c>
      <c r="Z264" t="s">
        <v>139</v>
      </c>
      <c r="AA264" t="s">
        <v>139</v>
      </c>
      <c r="AB264" t="s">
        <v>139</v>
      </c>
      <c r="AC264" t="s">
        <v>139</v>
      </c>
      <c r="AD264" t="s">
        <v>139</v>
      </c>
      <c r="AE264" t="s">
        <v>139</v>
      </c>
      <c r="AF264" t="s">
        <v>139</v>
      </c>
      <c r="AG264" t="s">
        <v>139</v>
      </c>
      <c r="AH264" s="9" t="s">
        <v>139</v>
      </c>
      <c r="AI264" t="s">
        <v>139</v>
      </c>
      <c r="AJ264" t="s">
        <v>139</v>
      </c>
      <c r="AK264" t="s">
        <v>139</v>
      </c>
      <c r="AL264" t="s">
        <v>139</v>
      </c>
      <c r="AM264" t="s">
        <v>139</v>
      </c>
      <c r="AN264" t="s">
        <v>139</v>
      </c>
      <c r="AO264" s="9" t="s">
        <v>139</v>
      </c>
      <c r="AP264" t="s">
        <v>139</v>
      </c>
      <c r="AQ264" t="s">
        <v>139</v>
      </c>
      <c r="AR264" t="s">
        <v>139</v>
      </c>
    </row>
    <row r="265" spans="1:44" x14ac:dyDescent="0.4">
      <c r="A265" s="3" t="s">
        <v>396</v>
      </c>
      <c r="B265">
        <v>361697.4</v>
      </c>
      <c r="C265">
        <v>110867.7</v>
      </c>
      <c r="D265">
        <v>68779.3</v>
      </c>
      <c r="E265" t="s">
        <v>139</v>
      </c>
      <c r="F265" t="s">
        <v>139</v>
      </c>
      <c r="G265">
        <v>42088.4</v>
      </c>
      <c r="H265" t="s">
        <v>139</v>
      </c>
      <c r="I265" t="s">
        <v>139</v>
      </c>
      <c r="J265">
        <v>250829.7</v>
      </c>
      <c r="K265">
        <v>89929.5</v>
      </c>
      <c r="L265">
        <v>60249.2</v>
      </c>
      <c r="M265" t="s">
        <v>139</v>
      </c>
      <c r="N265" t="s">
        <v>139</v>
      </c>
      <c r="O265" t="s">
        <v>139</v>
      </c>
      <c r="P265" t="s">
        <v>139</v>
      </c>
      <c r="Q265" t="s">
        <v>139</v>
      </c>
      <c r="R265" t="s">
        <v>139</v>
      </c>
      <c r="S265" t="s">
        <v>139</v>
      </c>
      <c r="T265" t="s">
        <v>139</v>
      </c>
      <c r="U265">
        <v>53870.7</v>
      </c>
      <c r="V265" s="6" t="s">
        <v>139</v>
      </c>
      <c r="W265" t="s">
        <v>139</v>
      </c>
      <c r="X265" t="s">
        <v>139</v>
      </c>
      <c r="Y265" t="s">
        <v>139</v>
      </c>
      <c r="Z265" t="s">
        <v>139</v>
      </c>
      <c r="AA265" t="s">
        <v>139</v>
      </c>
      <c r="AB265" t="s">
        <v>139</v>
      </c>
      <c r="AC265" t="s">
        <v>139</v>
      </c>
      <c r="AD265" t="s">
        <v>139</v>
      </c>
      <c r="AE265" t="s">
        <v>139</v>
      </c>
      <c r="AF265" t="s">
        <v>139</v>
      </c>
      <c r="AG265" t="s">
        <v>139</v>
      </c>
      <c r="AH265" s="9" t="s">
        <v>139</v>
      </c>
      <c r="AI265" t="s">
        <v>139</v>
      </c>
      <c r="AJ265" t="s">
        <v>139</v>
      </c>
      <c r="AK265" t="s">
        <v>139</v>
      </c>
      <c r="AL265" t="s">
        <v>139</v>
      </c>
      <c r="AM265" t="s">
        <v>139</v>
      </c>
      <c r="AN265" t="s">
        <v>139</v>
      </c>
      <c r="AO265" s="9" t="s">
        <v>139</v>
      </c>
      <c r="AP265" t="s">
        <v>139</v>
      </c>
      <c r="AQ265" t="s">
        <v>139</v>
      </c>
      <c r="AR265" t="s">
        <v>139</v>
      </c>
    </row>
    <row r="266" spans="1:44" x14ac:dyDescent="0.4">
      <c r="A266" s="3" t="s">
        <v>397</v>
      </c>
      <c r="B266">
        <v>365647</v>
      </c>
      <c r="C266">
        <v>111330.8</v>
      </c>
      <c r="D266">
        <v>68777.399999999994</v>
      </c>
      <c r="E266" t="s">
        <v>139</v>
      </c>
      <c r="F266" t="s">
        <v>139</v>
      </c>
      <c r="G266">
        <v>42553.5</v>
      </c>
      <c r="H266" t="s">
        <v>139</v>
      </c>
      <c r="I266" t="s">
        <v>139</v>
      </c>
      <c r="J266">
        <v>254316.2</v>
      </c>
      <c r="K266">
        <v>91035.8</v>
      </c>
      <c r="L266">
        <v>60593.4</v>
      </c>
      <c r="M266" t="s">
        <v>139</v>
      </c>
      <c r="N266" t="s">
        <v>139</v>
      </c>
      <c r="O266" t="s">
        <v>139</v>
      </c>
      <c r="P266" t="s">
        <v>139</v>
      </c>
      <c r="Q266" t="s">
        <v>139</v>
      </c>
      <c r="R266" t="s">
        <v>139</v>
      </c>
      <c r="S266" t="s">
        <v>139</v>
      </c>
      <c r="T266" t="s">
        <v>139</v>
      </c>
      <c r="U266">
        <v>54354.9</v>
      </c>
      <c r="V266" s="6" t="s">
        <v>139</v>
      </c>
      <c r="W266" t="s">
        <v>139</v>
      </c>
      <c r="X266" t="s">
        <v>139</v>
      </c>
      <c r="Y266" t="s">
        <v>139</v>
      </c>
      <c r="Z266" t="s">
        <v>139</v>
      </c>
      <c r="AA266" t="s">
        <v>139</v>
      </c>
      <c r="AB266" t="s">
        <v>139</v>
      </c>
      <c r="AC266" t="s">
        <v>139</v>
      </c>
      <c r="AD266" t="s">
        <v>139</v>
      </c>
      <c r="AE266" t="s">
        <v>139</v>
      </c>
      <c r="AF266" t="s">
        <v>139</v>
      </c>
      <c r="AG266" t="s">
        <v>139</v>
      </c>
      <c r="AH266" s="9" t="s">
        <v>139</v>
      </c>
      <c r="AI266" t="s">
        <v>139</v>
      </c>
      <c r="AJ266" t="s">
        <v>139</v>
      </c>
      <c r="AK266" t="s">
        <v>139</v>
      </c>
      <c r="AL266" t="s">
        <v>139</v>
      </c>
      <c r="AM266" t="s">
        <v>139</v>
      </c>
      <c r="AN266" t="s">
        <v>139</v>
      </c>
      <c r="AO266" s="9" t="s">
        <v>139</v>
      </c>
      <c r="AP266" t="s">
        <v>139</v>
      </c>
      <c r="AQ266" t="s">
        <v>139</v>
      </c>
      <c r="AR266" t="s">
        <v>139</v>
      </c>
    </row>
    <row r="267" spans="1:44" x14ac:dyDescent="0.4">
      <c r="A267" s="3" t="s">
        <v>398</v>
      </c>
      <c r="B267">
        <v>370128.5</v>
      </c>
      <c r="C267">
        <v>113854.2</v>
      </c>
      <c r="D267">
        <v>70436.5</v>
      </c>
      <c r="E267" t="s">
        <v>139</v>
      </c>
      <c r="F267" t="s">
        <v>139</v>
      </c>
      <c r="G267">
        <v>43417.599999999999</v>
      </c>
      <c r="H267" t="s">
        <v>139</v>
      </c>
      <c r="I267" t="s">
        <v>139</v>
      </c>
      <c r="J267">
        <v>256274.3</v>
      </c>
      <c r="K267">
        <v>91238.1</v>
      </c>
      <c r="L267">
        <v>60833</v>
      </c>
      <c r="M267" t="s">
        <v>139</v>
      </c>
      <c r="N267" t="s">
        <v>139</v>
      </c>
      <c r="O267" t="s">
        <v>139</v>
      </c>
      <c r="P267" t="s">
        <v>139</v>
      </c>
      <c r="Q267" t="s">
        <v>139</v>
      </c>
      <c r="R267" t="s">
        <v>139</v>
      </c>
      <c r="S267" t="s">
        <v>139</v>
      </c>
      <c r="T267" t="s">
        <v>139</v>
      </c>
      <c r="U267">
        <v>54920.800000000003</v>
      </c>
      <c r="V267" s="6" t="s">
        <v>139</v>
      </c>
      <c r="W267" t="s">
        <v>139</v>
      </c>
      <c r="X267" t="s">
        <v>139</v>
      </c>
      <c r="Y267" t="s">
        <v>139</v>
      </c>
      <c r="Z267" t="s">
        <v>139</v>
      </c>
      <c r="AA267" t="s">
        <v>139</v>
      </c>
      <c r="AB267" t="s">
        <v>139</v>
      </c>
      <c r="AC267" t="s">
        <v>139</v>
      </c>
      <c r="AD267" t="s">
        <v>139</v>
      </c>
      <c r="AE267" t="s">
        <v>139</v>
      </c>
      <c r="AF267" t="s">
        <v>139</v>
      </c>
      <c r="AG267" t="s">
        <v>139</v>
      </c>
      <c r="AH267" s="9" t="s">
        <v>139</v>
      </c>
      <c r="AI267" t="s">
        <v>139</v>
      </c>
      <c r="AJ267" t="s">
        <v>139</v>
      </c>
      <c r="AK267" t="s">
        <v>139</v>
      </c>
      <c r="AL267" t="s">
        <v>139</v>
      </c>
      <c r="AM267" t="s">
        <v>139</v>
      </c>
      <c r="AN267" t="s">
        <v>139</v>
      </c>
      <c r="AO267" s="9" t="s">
        <v>139</v>
      </c>
      <c r="AP267" t="s">
        <v>139</v>
      </c>
      <c r="AQ267" t="s">
        <v>139</v>
      </c>
      <c r="AR267" t="s">
        <v>139</v>
      </c>
    </row>
    <row r="268" spans="1:44" x14ac:dyDescent="0.4">
      <c r="A268" s="3" t="s">
        <v>399</v>
      </c>
      <c r="B268">
        <v>375908.1</v>
      </c>
      <c r="C268">
        <v>116701.6</v>
      </c>
      <c r="D268">
        <v>72266.899999999994</v>
      </c>
      <c r="E268" t="s">
        <v>139</v>
      </c>
      <c r="F268" t="s">
        <v>139</v>
      </c>
      <c r="G268">
        <v>44434.7</v>
      </c>
      <c r="H268" t="s">
        <v>139</v>
      </c>
      <c r="I268" t="s">
        <v>139</v>
      </c>
      <c r="J268">
        <v>259206.5</v>
      </c>
      <c r="K268">
        <v>91845.2</v>
      </c>
      <c r="L268">
        <v>61322.6</v>
      </c>
      <c r="M268" t="s">
        <v>139</v>
      </c>
      <c r="N268" t="s">
        <v>139</v>
      </c>
      <c r="O268" t="s">
        <v>139</v>
      </c>
      <c r="P268" t="s">
        <v>139</v>
      </c>
      <c r="Q268" t="s">
        <v>139</v>
      </c>
      <c r="R268" t="s">
        <v>139</v>
      </c>
      <c r="S268" t="s">
        <v>139</v>
      </c>
      <c r="T268" t="s">
        <v>139</v>
      </c>
      <c r="U268">
        <v>55681.4</v>
      </c>
      <c r="V268" s="6" t="s">
        <v>139</v>
      </c>
      <c r="W268" t="s">
        <v>139</v>
      </c>
      <c r="X268" t="s">
        <v>139</v>
      </c>
      <c r="Y268" t="s">
        <v>139</v>
      </c>
      <c r="Z268" t="s">
        <v>139</v>
      </c>
      <c r="AA268" t="s">
        <v>139</v>
      </c>
      <c r="AB268" t="s">
        <v>139</v>
      </c>
      <c r="AC268" t="s">
        <v>139</v>
      </c>
      <c r="AD268" t="s">
        <v>139</v>
      </c>
      <c r="AE268" t="s">
        <v>139</v>
      </c>
      <c r="AF268" t="s">
        <v>139</v>
      </c>
      <c r="AG268" t="s">
        <v>139</v>
      </c>
      <c r="AH268" s="9" t="s">
        <v>139</v>
      </c>
      <c r="AI268" t="s">
        <v>139</v>
      </c>
      <c r="AJ268" t="s">
        <v>139</v>
      </c>
      <c r="AK268" t="s">
        <v>139</v>
      </c>
      <c r="AL268" t="s">
        <v>139</v>
      </c>
      <c r="AM268" t="s">
        <v>139</v>
      </c>
      <c r="AN268" t="s">
        <v>139</v>
      </c>
      <c r="AO268" s="9" t="s">
        <v>139</v>
      </c>
      <c r="AP268" t="s">
        <v>139</v>
      </c>
      <c r="AQ268" t="s">
        <v>139</v>
      </c>
      <c r="AR268" t="s">
        <v>139</v>
      </c>
    </row>
    <row r="269" spans="1:44" x14ac:dyDescent="0.4">
      <c r="A269" s="3" t="s">
        <v>400</v>
      </c>
      <c r="B269">
        <v>380511.6</v>
      </c>
      <c r="C269">
        <v>118748.4</v>
      </c>
      <c r="D269">
        <v>73583</v>
      </c>
      <c r="E269" t="s">
        <v>139</v>
      </c>
      <c r="F269" t="s">
        <v>139</v>
      </c>
      <c r="G269">
        <v>45165.4</v>
      </c>
      <c r="H269" t="s">
        <v>139</v>
      </c>
      <c r="I269" t="s">
        <v>139</v>
      </c>
      <c r="J269">
        <v>261763.20000000001</v>
      </c>
      <c r="K269">
        <v>92812.5</v>
      </c>
      <c r="L269">
        <v>62000.5</v>
      </c>
      <c r="M269" t="s">
        <v>139</v>
      </c>
      <c r="N269" t="s">
        <v>139</v>
      </c>
      <c r="O269" t="s">
        <v>139</v>
      </c>
      <c r="P269" t="s">
        <v>139</v>
      </c>
      <c r="Q269" t="s">
        <v>139</v>
      </c>
      <c r="R269" t="s">
        <v>139</v>
      </c>
      <c r="S269" t="s">
        <v>139</v>
      </c>
      <c r="T269" t="s">
        <v>139</v>
      </c>
      <c r="U269">
        <v>56458.6</v>
      </c>
      <c r="V269" s="6" t="s">
        <v>139</v>
      </c>
      <c r="W269" t="s">
        <v>139</v>
      </c>
      <c r="X269" t="s">
        <v>139</v>
      </c>
      <c r="Y269" t="s">
        <v>139</v>
      </c>
      <c r="Z269" t="s">
        <v>139</v>
      </c>
      <c r="AA269" t="s">
        <v>139</v>
      </c>
      <c r="AB269" t="s">
        <v>139</v>
      </c>
      <c r="AC269" t="s">
        <v>139</v>
      </c>
      <c r="AD269" t="s">
        <v>139</v>
      </c>
      <c r="AE269" t="s">
        <v>139</v>
      </c>
      <c r="AF269" t="s">
        <v>139</v>
      </c>
      <c r="AG269" t="s">
        <v>139</v>
      </c>
      <c r="AH269" s="9" t="s">
        <v>139</v>
      </c>
      <c r="AI269" t="s">
        <v>139</v>
      </c>
      <c r="AJ269" t="s">
        <v>139</v>
      </c>
      <c r="AK269" t="s">
        <v>139</v>
      </c>
      <c r="AL269" t="s">
        <v>139</v>
      </c>
      <c r="AM269" t="s">
        <v>139</v>
      </c>
      <c r="AN269" t="s">
        <v>139</v>
      </c>
      <c r="AO269" s="9" t="s">
        <v>139</v>
      </c>
      <c r="AP269" t="s">
        <v>139</v>
      </c>
      <c r="AQ269" t="s">
        <v>139</v>
      </c>
      <c r="AR269" t="s">
        <v>139</v>
      </c>
    </row>
    <row r="270" spans="1:44" x14ac:dyDescent="0.4">
      <c r="A270" s="3" t="s">
        <v>401</v>
      </c>
      <c r="B270">
        <v>383938.2</v>
      </c>
      <c r="C270">
        <v>119323</v>
      </c>
      <c r="D270">
        <v>73640.600000000006</v>
      </c>
      <c r="E270" t="s">
        <v>139</v>
      </c>
      <c r="F270" t="s">
        <v>139</v>
      </c>
      <c r="G270">
        <v>45682.400000000001</v>
      </c>
      <c r="H270" t="s">
        <v>139</v>
      </c>
      <c r="I270" t="s">
        <v>139</v>
      </c>
      <c r="J270">
        <v>264615.2</v>
      </c>
      <c r="K270">
        <v>94470</v>
      </c>
      <c r="L270">
        <v>62661.599999999999</v>
      </c>
      <c r="M270" t="s">
        <v>139</v>
      </c>
      <c r="N270" t="s">
        <v>139</v>
      </c>
      <c r="O270" t="s">
        <v>139</v>
      </c>
      <c r="P270" t="s">
        <v>139</v>
      </c>
      <c r="Q270" t="s">
        <v>139</v>
      </c>
      <c r="R270" t="s">
        <v>139</v>
      </c>
      <c r="S270" t="s">
        <v>139</v>
      </c>
      <c r="T270" t="s">
        <v>139</v>
      </c>
      <c r="U270">
        <v>57144</v>
      </c>
      <c r="V270" s="6" t="s">
        <v>139</v>
      </c>
      <c r="W270" t="s">
        <v>139</v>
      </c>
      <c r="X270" t="s">
        <v>139</v>
      </c>
      <c r="Y270" t="s">
        <v>139</v>
      </c>
      <c r="Z270" t="s">
        <v>139</v>
      </c>
      <c r="AA270" t="s">
        <v>139</v>
      </c>
      <c r="AB270" t="s">
        <v>139</v>
      </c>
      <c r="AC270" t="s">
        <v>139</v>
      </c>
      <c r="AD270" t="s">
        <v>139</v>
      </c>
      <c r="AE270" t="s">
        <v>139</v>
      </c>
      <c r="AF270" t="s">
        <v>139</v>
      </c>
      <c r="AG270" t="s">
        <v>139</v>
      </c>
      <c r="AH270" s="9" t="s">
        <v>139</v>
      </c>
      <c r="AI270" t="s">
        <v>139</v>
      </c>
      <c r="AJ270" t="s">
        <v>139</v>
      </c>
      <c r="AK270" t="s">
        <v>139</v>
      </c>
      <c r="AL270" t="s">
        <v>139</v>
      </c>
      <c r="AM270" t="s">
        <v>139</v>
      </c>
      <c r="AN270" t="s">
        <v>139</v>
      </c>
      <c r="AO270" s="9" t="s">
        <v>139</v>
      </c>
      <c r="AP270" t="s">
        <v>139</v>
      </c>
      <c r="AQ270" t="s">
        <v>139</v>
      </c>
      <c r="AR270" t="s">
        <v>139</v>
      </c>
    </row>
    <row r="271" spans="1:44" x14ac:dyDescent="0.4">
      <c r="A271" s="3" t="s">
        <v>402</v>
      </c>
      <c r="B271">
        <v>390746.9</v>
      </c>
      <c r="C271">
        <v>121577.4</v>
      </c>
      <c r="D271">
        <v>74777.899999999994</v>
      </c>
      <c r="E271" t="s">
        <v>139</v>
      </c>
      <c r="F271" t="s">
        <v>139</v>
      </c>
      <c r="G271">
        <v>46799.5</v>
      </c>
      <c r="H271" t="s">
        <v>139</v>
      </c>
      <c r="I271" t="s">
        <v>139</v>
      </c>
      <c r="J271">
        <v>269169.5</v>
      </c>
      <c r="K271">
        <v>96206.5</v>
      </c>
      <c r="L271">
        <v>63281.8</v>
      </c>
      <c r="M271" t="s">
        <v>139</v>
      </c>
      <c r="N271" t="s">
        <v>139</v>
      </c>
      <c r="O271" t="s">
        <v>139</v>
      </c>
      <c r="P271" t="s">
        <v>139</v>
      </c>
      <c r="Q271" t="s">
        <v>139</v>
      </c>
      <c r="R271" t="s">
        <v>139</v>
      </c>
      <c r="S271" t="s">
        <v>139</v>
      </c>
      <c r="T271" t="s">
        <v>139</v>
      </c>
      <c r="U271">
        <v>57679.6</v>
      </c>
      <c r="V271" s="6" t="s">
        <v>139</v>
      </c>
      <c r="W271" t="s">
        <v>139</v>
      </c>
      <c r="X271" t="s">
        <v>139</v>
      </c>
      <c r="Y271" t="s">
        <v>139</v>
      </c>
      <c r="Z271" t="s">
        <v>139</v>
      </c>
      <c r="AA271" t="s">
        <v>139</v>
      </c>
      <c r="AB271" t="s">
        <v>139</v>
      </c>
      <c r="AC271" t="s">
        <v>139</v>
      </c>
      <c r="AD271" t="s">
        <v>139</v>
      </c>
      <c r="AE271" t="s">
        <v>139</v>
      </c>
      <c r="AF271" t="s">
        <v>139</v>
      </c>
      <c r="AG271" t="s">
        <v>139</v>
      </c>
      <c r="AH271" s="9" t="s">
        <v>139</v>
      </c>
      <c r="AI271" t="s">
        <v>139</v>
      </c>
      <c r="AJ271" t="s">
        <v>139</v>
      </c>
      <c r="AK271" t="s">
        <v>139</v>
      </c>
      <c r="AL271" t="s">
        <v>139</v>
      </c>
      <c r="AM271" t="s">
        <v>139</v>
      </c>
      <c r="AN271" t="s">
        <v>139</v>
      </c>
      <c r="AO271" s="9" t="s">
        <v>139</v>
      </c>
      <c r="AP271" t="s">
        <v>139</v>
      </c>
      <c r="AQ271" t="s">
        <v>139</v>
      </c>
      <c r="AR271" t="s">
        <v>139</v>
      </c>
    </row>
    <row r="272" spans="1:44" x14ac:dyDescent="0.4">
      <c r="A272" s="3" t="s">
        <v>403</v>
      </c>
      <c r="B272">
        <v>390270.4</v>
      </c>
      <c r="C272">
        <v>120411.7</v>
      </c>
      <c r="D272">
        <v>73625.5</v>
      </c>
      <c r="E272" t="s">
        <v>139</v>
      </c>
      <c r="F272" t="s">
        <v>139</v>
      </c>
      <c r="G272">
        <v>46786.3</v>
      </c>
      <c r="H272" t="s">
        <v>139</v>
      </c>
      <c r="I272" t="s">
        <v>139</v>
      </c>
      <c r="J272">
        <v>269858.59999999998</v>
      </c>
      <c r="K272">
        <v>97148.1</v>
      </c>
      <c r="L272">
        <v>63930.3</v>
      </c>
      <c r="M272" t="s">
        <v>139</v>
      </c>
      <c r="N272" t="s">
        <v>139</v>
      </c>
      <c r="O272" t="s">
        <v>139</v>
      </c>
      <c r="P272" t="s">
        <v>139</v>
      </c>
      <c r="Q272" t="s">
        <v>139</v>
      </c>
      <c r="R272" t="s">
        <v>139</v>
      </c>
      <c r="S272" t="s">
        <v>139</v>
      </c>
      <c r="T272" t="s">
        <v>139</v>
      </c>
      <c r="U272">
        <v>58259.8</v>
      </c>
      <c r="V272" s="6" t="s">
        <v>139</v>
      </c>
      <c r="W272" t="s">
        <v>139</v>
      </c>
      <c r="X272" t="s">
        <v>139</v>
      </c>
      <c r="Y272" t="s">
        <v>139</v>
      </c>
      <c r="Z272" t="s">
        <v>139</v>
      </c>
      <c r="AA272" t="s">
        <v>139</v>
      </c>
      <c r="AB272" t="s">
        <v>139</v>
      </c>
      <c r="AC272" t="s">
        <v>139</v>
      </c>
      <c r="AD272" t="s">
        <v>139</v>
      </c>
      <c r="AE272" t="s">
        <v>139</v>
      </c>
      <c r="AF272" t="s">
        <v>139</v>
      </c>
      <c r="AG272" t="s">
        <v>139</v>
      </c>
      <c r="AH272" s="9" t="s">
        <v>139</v>
      </c>
      <c r="AI272" t="s">
        <v>139</v>
      </c>
      <c r="AJ272" t="s">
        <v>139</v>
      </c>
      <c r="AK272" t="s">
        <v>139</v>
      </c>
      <c r="AL272" t="s">
        <v>139</v>
      </c>
      <c r="AM272" t="s">
        <v>139</v>
      </c>
      <c r="AN272" t="s">
        <v>139</v>
      </c>
      <c r="AO272" s="9" t="s">
        <v>139</v>
      </c>
      <c r="AP272" t="s">
        <v>139</v>
      </c>
      <c r="AQ272" t="s">
        <v>139</v>
      </c>
      <c r="AR272" t="s">
        <v>139</v>
      </c>
    </row>
    <row r="273" spans="1:44" x14ac:dyDescent="0.4">
      <c r="A273" s="3" t="s">
        <v>404</v>
      </c>
      <c r="B273">
        <v>389631.1</v>
      </c>
      <c r="C273">
        <v>117994.4</v>
      </c>
      <c r="D273">
        <v>70977.2</v>
      </c>
      <c r="E273" t="s">
        <v>139</v>
      </c>
      <c r="F273" t="s">
        <v>139</v>
      </c>
      <c r="G273">
        <v>47017.2</v>
      </c>
      <c r="H273" t="s">
        <v>139</v>
      </c>
      <c r="I273" t="s">
        <v>139</v>
      </c>
      <c r="J273">
        <v>271636.7</v>
      </c>
      <c r="K273">
        <v>98296.3</v>
      </c>
      <c r="L273">
        <v>64650.1</v>
      </c>
      <c r="M273" t="s">
        <v>139</v>
      </c>
      <c r="N273" t="s">
        <v>139</v>
      </c>
      <c r="O273" t="s">
        <v>139</v>
      </c>
      <c r="P273" t="s">
        <v>139</v>
      </c>
      <c r="Q273" t="s">
        <v>139</v>
      </c>
      <c r="R273" t="s">
        <v>139</v>
      </c>
      <c r="S273" t="s">
        <v>139</v>
      </c>
      <c r="T273" t="s">
        <v>139</v>
      </c>
      <c r="U273">
        <v>58771.199999999997</v>
      </c>
      <c r="V273" s="6" t="s">
        <v>139</v>
      </c>
      <c r="W273" t="s">
        <v>139</v>
      </c>
      <c r="X273" t="s">
        <v>139</v>
      </c>
      <c r="Y273" t="s">
        <v>139</v>
      </c>
      <c r="Z273" t="s">
        <v>139</v>
      </c>
      <c r="AA273" t="s">
        <v>139</v>
      </c>
      <c r="AB273" t="s">
        <v>139</v>
      </c>
      <c r="AC273" t="s">
        <v>139</v>
      </c>
      <c r="AD273" t="s">
        <v>139</v>
      </c>
      <c r="AE273" t="s">
        <v>139</v>
      </c>
      <c r="AF273" t="s">
        <v>139</v>
      </c>
      <c r="AG273" t="s">
        <v>139</v>
      </c>
      <c r="AH273" s="9" t="s">
        <v>139</v>
      </c>
      <c r="AI273" t="s">
        <v>139</v>
      </c>
      <c r="AJ273" t="s">
        <v>139</v>
      </c>
      <c r="AK273" t="s">
        <v>139</v>
      </c>
      <c r="AL273" t="s">
        <v>139</v>
      </c>
      <c r="AM273" t="s">
        <v>139</v>
      </c>
      <c r="AN273" t="s">
        <v>139</v>
      </c>
      <c r="AO273" s="9" t="s">
        <v>139</v>
      </c>
      <c r="AP273" t="s">
        <v>139</v>
      </c>
      <c r="AQ273" t="s">
        <v>139</v>
      </c>
      <c r="AR273" t="s">
        <v>139</v>
      </c>
    </row>
    <row r="274" spans="1:44" x14ac:dyDescent="0.4">
      <c r="A274" s="3" t="s">
        <v>405</v>
      </c>
      <c r="B274">
        <v>390410.8</v>
      </c>
      <c r="C274">
        <v>116727</v>
      </c>
      <c r="D274">
        <v>69409.899999999994</v>
      </c>
      <c r="E274" t="s">
        <v>139</v>
      </c>
      <c r="F274" t="s">
        <v>139</v>
      </c>
      <c r="G274">
        <v>47317.1</v>
      </c>
      <c r="H274" t="s">
        <v>139</v>
      </c>
      <c r="I274" t="s">
        <v>139</v>
      </c>
      <c r="J274">
        <v>273683.8</v>
      </c>
      <c r="K274">
        <v>99238.3</v>
      </c>
      <c r="L274">
        <v>65311.7</v>
      </c>
      <c r="M274" t="s">
        <v>139</v>
      </c>
      <c r="N274" t="s">
        <v>139</v>
      </c>
      <c r="O274" t="s">
        <v>139</v>
      </c>
      <c r="P274" t="s">
        <v>139</v>
      </c>
      <c r="Q274" t="s">
        <v>139</v>
      </c>
      <c r="R274" t="s">
        <v>139</v>
      </c>
      <c r="S274" t="s">
        <v>139</v>
      </c>
      <c r="T274" t="s">
        <v>139</v>
      </c>
      <c r="U274">
        <v>59380.2</v>
      </c>
      <c r="V274" s="6" t="s">
        <v>139</v>
      </c>
      <c r="W274" t="s">
        <v>139</v>
      </c>
      <c r="X274" t="s">
        <v>139</v>
      </c>
      <c r="Y274" t="s">
        <v>139</v>
      </c>
      <c r="Z274" t="s">
        <v>139</v>
      </c>
      <c r="AA274" t="s">
        <v>139</v>
      </c>
      <c r="AB274" t="s">
        <v>139</v>
      </c>
      <c r="AC274" t="s">
        <v>139</v>
      </c>
      <c r="AD274" t="s">
        <v>139</v>
      </c>
      <c r="AE274" t="s">
        <v>139</v>
      </c>
      <c r="AF274" t="s">
        <v>139</v>
      </c>
      <c r="AG274" t="s">
        <v>139</v>
      </c>
      <c r="AH274" s="9" t="s">
        <v>139</v>
      </c>
      <c r="AI274" t="s">
        <v>139</v>
      </c>
      <c r="AJ274" t="s">
        <v>139</v>
      </c>
      <c r="AK274" t="s">
        <v>139</v>
      </c>
      <c r="AL274" t="s">
        <v>139</v>
      </c>
      <c r="AM274" t="s">
        <v>139</v>
      </c>
      <c r="AN274" t="s">
        <v>139</v>
      </c>
      <c r="AO274" s="9" t="s">
        <v>139</v>
      </c>
      <c r="AP274" t="s">
        <v>139</v>
      </c>
      <c r="AQ274" t="s">
        <v>139</v>
      </c>
      <c r="AR274" t="s">
        <v>139</v>
      </c>
    </row>
    <row r="275" spans="1:44" x14ac:dyDescent="0.4">
      <c r="A275" s="3" t="s">
        <v>406</v>
      </c>
      <c r="B275">
        <v>394469.6</v>
      </c>
      <c r="C275">
        <v>116853.4</v>
      </c>
      <c r="D275">
        <v>68987.8</v>
      </c>
      <c r="E275" t="s">
        <v>139</v>
      </c>
      <c r="F275" t="s">
        <v>139</v>
      </c>
      <c r="G275">
        <v>47865.599999999999</v>
      </c>
      <c r="H275" t="s">
        <v>139</v>
      </c>
      <c r="I275" t="s">
        <v>139</v>
      </c>
      <c r="J275">
        <v>277616.2</v>
      </c>
      <c r="K275">
        <v>100771.5</v>
      </c>
      <c r="L275">
        <v>65905.399999999994</v>
      </c>
      <c r="M275" t="s">
        <v>139</v>
      </c>
      <c r="N275" t="s">
        <v>139</v>
      </c>
      <c r="O275" t="s">
        <v>139</v>
      </c>
      <c r="P275" t="s">
        <v>139</v>
      </c>
      <c r="Q275" t="s">
        <v>139</v>
      </c>
      <c r="R275" t="s">
        <v>139</v>
      </c>
      <c r="S275" t="s">
        <v>139</v>
      </c>
      <c r="T275" t="s">
        <v>139</v>
      </c>
      <c r="U275">
        <v>59979.6</v>
      </c>
      <c r="V275" s="6" t="s">
        <v>139</v>
      </c>
      <c r="W275" t="s">
        <v>139</v>
      </c>
      <c r="X275" t="s">
        <v>139</v>
      </c>
      <c r="Y275" t="s">
        <v>139</v>
      </c>
      <c r="Z275" t="s">
        <v>139</v>
      </c>
      <c r="AA275" t="s">
        <v>139</v>
      </c>
      <c r="AB275" t="s">
        <v>139</v>
      </c>
      <c r="AC275" t="s">
        <v>139</v>
      </c>
      <c r="AD275" t="s">
        <v>139</v>
      </c>
      <c r="AE275" t="s">
        <v>139</v>
      </c>
      <c r="AF275" t="s">
        <v>139</v>
      </c>
      <c r="AG275" t="s">
        <v>139</v>
      </c>
      <c r="AH275" s="9" t="s">
        <v>139</v>
      </c>
      <c r="AI275" t="s">
        <v>139</v>
      </c>
      <c r="AJ275" t="s">
        <v>139</v>
      </c>
      <c r="AK275" t="s">
        <v>139</v>
      </c>
      <c r="AL275" t="s">
        <v>139</v>
      </c>
      <c r="AM275" t="s">
        <v>139</v>
      </c>
      <c r="AN275" t="s">
        <v>139</v>
      </c>
      <c r="AO275" s="9" t="s">
        <v>139</v>
      </c>
      <c r="AP275" t="s">
        <v>139</v>
      </c>
      <c r="AQ275" t="s">
        <v>139</v>
      </c>
      <c r="AR275" t="s">
        <v>139</v>
      </c>
    </row>
    <row r="276" spans="1:44" x14ac:dyDescent="0.4">
      <c r="A276" s="3" t="s">
        <v>407</v>
      </c>
      <c r="B276">
        <v>394810.6</v>
      </c>
      <c r="C276">
        <v>114335.7</v>
      </c>
      <c r="D276">
        <v>66376.100000000006</v>
      </c>
      <c r="E276" t="s">
        <v>139</v>
      </c>
      <c r="F276" t="s">
        <v>139</v>
      </c>
      <c r="G276">
        <v>47959.6</v>
      </c>
      <c r="H276" t="s">
        <v>139</v>
      </c>
      <c r="I276" t="s">
        <v>139</v>
      </c>
      <c r="J276">
        <v>280474.90000000002</v>
      </c>
      <c r="K276">
        <v>101945.4</v>
      </c>
      <c r="L276">
        <v>66436.3</v>
      </c>
      <c r="M276" t="s">
        <v>139</v>
      </c>
      <c r="N276" t="s">
        <v>139</v>
      </c>
      <c r="O276" t="s">
        <v>139</v>
      </c>
      <c r="P276" t="s">
        <v>139</v>
      </c>
      <c r="Q276" t="s">
        <v>139</v>
      </c>
      <c r="R276" t="s">
        <v>139</v>
      </c>
      <c r="S276" t="s">
        <v>139</v>
      </c>
      <c r="T276" t="s">
        <v>139</v>
      </c>
      <c r="U276">
        <v>60552.6</v>
      </c>
      <c r="V276" s="6" t="s">
        <v>139</v>
      </c>
      <c r="W276" t="s">
        <v>139</v>
      </c>
      <c r="X276" t="s">
        <v>139</v>
      </c>
      <c r="Y276" t="s">
        <v>139</v>
      </c>
      <c r="Z276" t="s">
        <v>139</v>
      </c>
      <c r="AA276" t="s">
        <v>139</v>
      </c>
      <c r="AB276" t="s">
        <v>139</v>
      </c>
      <c r="AC276" t="s">
        <v>139</v>
      </c>
      <c r="AD276" t="s">
        <v>139</v>
      </c>
      <c r="AE276" t="s">
        <v>139</v>
      </c>
      <c r="AF276" t="s">
        <v>139</v>
      </c>
      <c r="AG276" t="s">
        <v>139</v>
      </c>
      <c r="AH276" s="9" t="s">
        <v>139</v>
      </c>
      <c r="AI276" t="s">
        <v>139</v>
      </c>
      <c r="AJ276" t="s">
        <v>139</v>
      </c>
      <c r="AK276" t="s">
        <v>139</v>
      </c>
      <c r="AL276" t="s">
        <v>139</v>
      </c>
      <c r="AM276" t="s">
        <v>139</v>
      </c>
      <c r="AN276" t="s">
        <v>139</v>
      </c>
      <c r="AO276" s="9" t="s">
        <v>139</v>
      </c>
      <c r="AP276" t="s">
        <v>139</v>
      </c>
      <c r="AQ276" t="s">
        <v>139</v>
      </c>
      <c r="AR276" t="s">
        <v>139</v>
      </c>
    </row>
    <row r="277" spans="1:44" x14ac:dyDescent="0.4">
      <c r="A277" s="3" t="s">
        <v>408</v>
      </c>
      <c r="B277">
        <v>396070.40000000002</v>
      </c>
      <c r="C277">
        <v>113043.8</v>
      </c>
      <c r="D277">
        <v>64974.9</v>
      </c>
      <c r="E277" t="s">
        <v>139</v>
      </c>
      <c r="F277" t="s">
        <v>139</v>
      </c>
      <c r="G277">
        <v>48068.9</v>
      </c>
      <c r="H277" t="s">
        <v>139</v>
      </c>
      <c r="I277" t="s">
        <v>139</v>
      </c>
      <c r="J277">
        <v>283026.5</v>
      </c>
      <c r="K277">
        <v>102540.4</v>
      </c>
      <c r="L277">
        <v>66747.5</v>
      </c>
      <c r="M277" t="s">
        <v>139</v>
      </c>
      <c r="N277" t="s">
        <v>139</v>
      </c>
      <c r="O277" t="s">
        <v>139</v>
      </c>
      <c r="P277" t="s">
        <v>139</v>
      </c>
      <c r="Q277" t="s">
        <v>139</v>
      </c>
      <c r="R277" t="s">
        <v>139</v>
      </c>
      <c r="S277" t="s">
        <v>139</v>
      </c>
      <c r="T277" t="s">
        <v>139</v>
      </c>
      <c r="U277">
        <v>60760.3</v>
      </c>
      <c r="V277" s="6" t="s">
        <v>139</v>
      </c>
      <c r="W277" t="s">
        <v>139</v>
      </c>
      <c r="X277" t="s">
        <v>139</v>
      </c>
      <c r="Y277" t="s">
        <v>139</v>
      </c>
      <c r="Z277" t="s">
        <v>139</v>
      </c>
      <c r="AA277" t="s">
        <v>139</v>
      </c>
      <c r="AB277" t="s">
        <v>139</v>
      </c>
      <c r="AC277" t="s">
        <v>139</v>
      </c>
      <c r="AD277" t="s">
        <v>139</v>
      </c>
      <c r="AE277" t="s">
        <v>139</v>
      </c>
      <c r="AF277" t="s">
        <v>139</v>
      </c>
      <c r="AG277" t="s">
        <v>139</v>
      </c>
      <c r="AH277" s="9" t="s">
        <v>139</v>
      </c>
      <c r="AI277" t="s">
        <v>139</v>
      </c>
      <c r="AJ277" t="s">
        <v>139</v>
      </c>
      <c r="AK277" t="s">
        <v>139</v>
      </c>
      <c r="AL277" t="s">
        <v>139</v>
      </c>
      <c r="AM277" t="s">
        <v>139</v>
      </c>
      <c r="AN277" t="s">
        <v>139</v>
      </c>
      <c r="AO277" s="9" t="s">
        <v>139</v>
      </c>
      <c r="AP277" t="s">
        <v>139</v>
      </c>
      <c r="AQ277" t="s">
        <v>139</v>
      </c>
      <c r="AR277" t="s">
        <v>139</v>
      </c>
    </row>
    <row r="278" spans="1:44" x14ac:dyDescent="0.4">
      <c r="A278" s="3" t="s">
        <v>409</v>
      </c>
      <c r="B278">
        <v>394325.3</v>
      </c>
      <c r="C278">
        <v>112115.1</v>
      </c>
      <c r="D278">
        <v>64766</v>
      </c>
      <c r="E278" t="s">
        <v>139</v>
      </c>
      <c r="F278" t="s">
        <v>139</v>
      </c>
      <c r="G278">
        <v>47349</v>
      </c>
      <c r="H278" t="s">
        <v>139</v>
      </c>
      <c r="I278" t="s">
        <v>139</v>
      </c>
      <c r="J278">
        <v>282210.2</v>
      </c>
      <c r="K278">
        <v>103055.7</v>
      </c>
      <c r="L278">
        <v>67159.100000000006</v>
      </c>
      <c r="M278" t="s">
        <v>139</v>
      </c>
      <c r="N278" t="s">
        <v>139</v>
      </c>
      <c r="O278" t="s">
        <v>139</v>
      </c>
      <c r="P278" t="s">
        <v>139</v>
      </c>
      <c r="Q278" t="s">
        <v>139</v>
      </c>
      <c r="R278" t="s">
        <v>139</v>
      </c>
      <c r="S278" t="s">
        <v>139</v>
      </c>
      <c r="T278" t="s">
        <v>139</v>
      </c>
      <c r="U278">
        <v>61106.9</v>
      </c>
      <c r="V278" s="6" t="s">
        <v>139</v>
      </c>
      <c r="W278" t="s">
        <v>139</v>
      </c>
      <c r="X278" t="s">
        <v>139</v>
      </c>
      <c r="Y278" t="s">
        <v>139</v>
      </c>
      <c r="Z278" t="s">
        <v>139</v>
      </c>
      <c r="AA278" t="s">
        <v>139</v>
      </c>
      <c r="AB278" t="s">
        <v>139</v>
      </c>
      <c r="AC278" t="s">
        <v>139</v>
      </c>
      <c r="AD278" t="s">
        <v>139</v>
      </c>
      <c r="AE278" t="s">
        <v>139</v>
      </c>
      <c r="AF278" t="s">
        <v>139</v>
      </c>
      <c r="AG278" t="s">
        <v>139</v>
      </c>
      <c r="AH278" s="9" t="s">
        <v>139</v>
      </c>
      <c r="AI278" t="s">
        <v>139</v>
      </c>
      <c r="AJ278" t="s">
        <v>139</v>
      </c>
      <c r="AK278" t="s">
        <v>139</v>
      </c>
      <c r="AL278" t="s">
        <v>139</v>
      </c>
      <c r="AM278" t="s">
        <v>139</v>
      </c>
      <c r="AN278" t="s">
        <v>139</v>
      </c>
      <c r="AO278" s="9" t="s">
        <v>139</v>
      </c>
      <c r="AP278" t="s">
        <v>139</v>
      </c>
      <c r="AQ278" t="s">
        <v>139</v>
      </c>
      <c r="AR278" t="s">
        <v>139</v>
      </c>
    </row>
    <row r="279" spans="1:44" x14ac:dyDescent="0.4">
      <c r="A279" s="3" t="s">
        <v>410</v>
      </c>
      <c r="B279">
        <v>392315.5</v>
      </c>
      <c r="C279">
        <v>111025.4</v>
      </c>
      <c r="D279">
        <v>64296.4</v>
      </c>
      <c r="E279" t="s">
        <v>139</v>
      </c>
      <c r="F279" t="s">
        <v>139</v>
      </c>
      <c r="G279">
        <v>46729</v>
      </c>
      <c r="H279" t="s">
        <v>139</v>
      </c>
      <c r="I279" t="s">
        <v>139</v>
      </c>
      <c r="J279">
        <v>281290.09999999998</v>
      </c>
      <c r="K279">
        <v>103306.7</v>
      </c>
      <c r="L279">
        <v>67510.100000000006</v>
      </c>
      <c r="M279" t="s">
        <v>139</v>
      </c>
      <c r="N279" t="s">
        <v>139</v>
      </c>
      <c r="O279" t="s">
        <v>139</v>
      </c>
      <c r="P279" t="s">
        <v>139</v>
      </c>
      <c r="Q279" t="s">
        <v>139</v>
      </c>
      <c r="R279" t="s">
        <v>139</v>
      </c>
      <c r="S279" t="s">
        <v>139</v>
      </c>
      <c r="T279" t="s">
        <v>139</v>
      </c>
      <c r="U279">
        <v>61327.3</v>
      </c>
      <c r="V279" s="6" t="s">
        <v>139</v>
      </c>
      <c r="W279" t="s">
        <v>139</v>
      </c>
      <c r="X279" t="s">
        <v>139</v>
      </c>
      <c r="Y279" t="s">
        <v>139</v>
      </c>
      <c r="Z279" t="s">
        <v>139</v>
      </c>
      <c r="AA279" t="s">
        <v>139</v>
      </c>
      <c r="AB279" t="s">
        <v>139</v>
      </c>
      <c r="AC279" t="s">
        <v>139</v>
      </c>
      <c r="AD279" t="s">
        <v>139</v>
      </c>
      <c r="AE279" t="s">
        <v>139</v>
      </c>
      <c r="AF279" t="s">
        <v>139</v>
      </c>
      <c r="AG279" t="s">
        <v>139</v>
      </c>
      <c r="AH279" s="9" t="s">
        <v>139</v>
      </c>
      <c r="AI279" t="s">
        <v>139</v>
      </c>
      <c r="AJ279" t="s">
        <v>139</v>
      </c>
      <c r="AK279" t="s">
        <v>139</v>
      </c>
      <c r="AL279" t="s">
        <v>139</v>
      </c>
      <c r="AM279" t="s">
        <v>139</v>
      </c>
      <c r="AN279" t="s">
        <v>139</v>
      </c>
      <c r="AO279" s="9" t="s">
        <v>139</v>
      </c>
      <c r="AP279" t="s">
        <v>139</v>
      </c>
      <c r="AQ279" t="s">
        <v>139</v>
      </c>
      <c r="AR279" t="s">
        <v>139</v>
      </c>
    </row>
    <row r="280" spans="1:44" x14ac:dyDescent="0.4">
      <c r="A280" s="3" t="s">
        <v>411</v>
      </c>
      <c r="B280">
        <v>393625.7</v>
      </c>
      <c r="C280">
        <v>111035.4</v>
      </c>
      <c r="D280">
        <v>64169.9</v>
      </c>
      <c r="E280" t="s">
        <v>139</v>
      </c>
      <c r="F280" t="s">
        <v>139</v>
      </c>
      <c r="G280">
        <v>46865.599999999999</v>
      </c>
      <c r="H280" t="s">
        <v>139</v>
      </c>
      <c r="I280" t="s">
        <v>139</v>
      </c>
      <c r="J280">
        <v>282590.3</v>
      </c>
      <c r="K280">
        <v>103817.60000000001</v>
      </c>
      <c r="L280">
        <v>67771.100000000006</v>
      </c>
      <c r="M280" t="s">
        <v>139</v>
      </c>
      <c r="N280" t="s">
        <v>139</v>
      </c>
      <c r="O280" t="s">
        <v>139</v>
      </c>
      <c r="P280" t="s">
        <v>139</v>
      </c>
      <c r="Q280" t="s">
        <v>139</v>
      </c>
      <c r="R280" t="s">
        <v>139</v>
      </c>
      <c r="S280" t="s">
        <v>139</v>
      </c>
      <c r="T280" t="s">
        <v>139</v>
      </c>
      <c r="U280">
        <v>61671.6</v>
      </c>
      <c r="V280" s="6" t="s">
        <v>139</v>
      </c>
      <c r="W280" t="s">
        <v>139</v>
      </c>
      <c r="X280" t="s">
        <v>139</v>
      </c>
      <c r="Y280" t="s">
        <v>139</v>
      </c>
      <c r="Z280" t="s">
        <v>139</v>
      </c>
      <c r="AA280" t="s">
        <v>139</v>
      </c>
      <c r="AB280" t="s">
        <v>139</v>
      </c>
      <c r="AC280" t="s">
        <v>139</v>
      </c>
      <c r="AD280" t="s">
        <v>139</v>
      </c>
      <c r="AE280" t="s">
        <v>139</v>
      </c>
      <c r="AF280" t="s">
        <v>139</v>
      </c>
      <c r="AG280" t="s">
        <v>139</v>
      </c>
      <c r="AH280" s="9" t="s">
        <v>139</v>
      </c>
      <c r="AI280" t="s">
        <v>139</v>
      </c>
      <c r="AJ280" t="s">
        <v>139</v>
      </c>
      <c r="AK280" t="s">
        <v>139</v>
      </c>
      <c r="AL280" t="s">
        <v>139</v>
      </c>
      <c r="AM280" t="s">
        <v>139</v>
      </c>
      <c r="AN280" t="s">
        <v>139</v>
      </c>
      <c r="AO280" s="9" t="s">
        <v>139</v>
      </c>
      <c r="AP280" t="s">
        <v>139</v>
      </c>
      <c r="AQ280" t="s">
        <v>139</v>
      </c>
      <c r="AR280" t="s">
        <v>139</v>
      </c>
    </row>
    <row r="281" spans="1:44" x14ac:dyDescent="0.4">
      <c r="A281" s="3" t="s">
        <v>412</v>
      </c>
      <c r="B281">
        <v>393165</v>
      </c>
      <c r="C281">
        <v>110139.2</v>
      </c>
      <c r="D281">
        <v>63691.9</v>
      </c>
      <c r="E281" t="s">
        <v>139</v>
      </c>
      <c r="F281" t="s">
        <v>139</v>
      </c>
      <c r="G281">
        <v>46447.3</v>
      </c>
      <c r="H281" t="s">
        <v>139</v>
      </c>
      <c r="I281" t="s">
        <v>139</v>
      </c>
      <c r="J281">
        <v>283025.8</v>
      </c>
      <c r="K281">
        <v>104337.2</v>
      </c>
      <c r="L281">
        <v>68034.2</v>
      </c>
      <c r="M281" t="s">
        <v>139</v>
      </c>
      <c r="N281" t="s">
        <v>139</v>
      </c>
      <c r="O281" t="s">
        <v>139</v>
      </c>
      <c r="P281" t="s">
        <v>139</v>
      </c>
      <c r="Q281" t="s">
        <v>139</v>
      </c>
      <c r="R281" t="s">
        <v>139</v>
      </c>
      <c r="S281" t="s">
        <v>139</v>
      </c>
      <c r="T281" t="s">
        <v>139</v>
      </c>
      <c r="U281">
        <v>61993.5</v>
      </c>
      <c r="V281" s="6" t="s">
        <v>139</v>
      </c>
      <c r="W281" t="s">
        <v>139</v>
      </c>
      <c r="X281" t="s">
        <v>139</v>
      </c>
      <c r="Y281" t="s">
        <v>139</v>
      </c>
      <c r="Z281" t="s">
        <v>139</v>
      </c>
      <c r="AA281" t="s">
        <v>139</v>
      </c>
      <c r="AB281" t="s">
        <v>139</v>
      </c>
      <c r="AC281" t="s">
        <v>139</v>
      </c>
      <c r="AD281" t="s">
        <v>139</v>
      </c>
      <c r="AE281" t="s">
        <v>139</v>
      </c>
      <c r="AF281" t="s">
        <v>139</v>
      </c>
      <c r="AG281" t="s">
        <v>139</v>
      </c>
      <c r="AH281" s="9" t="s">
        <v>139</v>
      </c>
      <c r="AI281" t="s">
        <v>139</v>
      </c>
      <c r="AJ281" t="s">
        <v>139</v>
      </c>
      <c r="AK281" t="s">
        <v>139</v>
      </c>
      <c r="AL281" t="s">
        <v>139</v>
      </c>
      <c r="AM281" t="s">
        <v>139</v>
      </c>
      <c r="AN281" t="s">
        <v>139</v>
      </c>
      <c r="AO281" s="9" t="s">
        <v>139</v>
      </c>
      <c r="AP281" t="s">
        <v>139</v>
      </c>
      <c r="AQ281" t="s">
        <v>139</v>
      </c>
      <c r="AR281" t="s">
        <v>139</v>
      </c>
    </row>
    <row r="282" spans="1:44" x14ac:dyDescent="0.4">
      <c r="A282" s="3" t="s">
        <v>413</v>
      </c>
      <c r="B282">
        <v>396030.4</v>
      </c>
      <c r="C282">
        <v>111467.1</v>
      </c>
      <c r="D282">
        <v>64855.3</v>
      </c>
      <c r="E282" t="s">
        <v>139</v>
      </c>
      <c r="F282" t="s">
        <v>139</v>
      </c>
      <c r="G282">
        <v>46611.8</v>
      </c>
      <c r="H282" t="s">
        <v>139</v>
      </c>
      <c r="I282" t="s">
        <v>139</v>
      </c>
      <c r="J282">
        <v>284563.3</v>
      </c>
      <c r="K282">
        <v>105185.4</v>
      </c>
      <c r="L282">
        <v>68257.2</v>
      </c>
      <c r="M282" t="s">
        <v>139</v>
      </c>
      <c r="N282" t="s">
        <v>139</v>
      </c>
      <c r="O282" t="s">
        <v>139</v>
      </c>
      <c r="P282" t="s">
        <v>139</v>
      </c>
      <c r="Q282" t="s">
        <v>139</v>
      </c>
      <c r="R282" t="s">
        <v>139</v>
      </c>
      <c r="S282" t="s">
        <v>139</v>
      </c>
      <c r="T282" t="s">
        <v>139</v>
      </c>
      <c r="U282">
        <v>62242.8</v>
      </c>
      <c r="V282" s="6" t="s">
        <v>139</v>
      </c>
      <c r="W282" t="s">
        <v>139</v>
      </c>
      <c r="X282" t="s">
        <v>139</v>
      </c>
      <c r="Y282" t="s">
        <v>139</v>
      </c>
      <c r="Z282" t="s">
        <v>139</v>
      </c>
      <c r="AA282" t="s">
        <v>139</v>
      </c>
      <c r="AB282" t="s">
        <v>139</v>
      </c>
      <c r="AC282" t="s">
        <v>139</v>
      </c>
      <c r="AD282" t="s">
        <v>139</v>
      </c>
      <c r="AE282" t="s">
        <v>139</v>
      </c>
      <c r="AF282" t="s">
        <v>139</v>
      </c>
      <c r="AG282" t="s">
        <v>139</v>
      </c>
      <c r="AH282" s="9" t="s">
        <v>139</v>
      </c>
      <c r="AI282" t="s">
        <v>139</v>
      </c>
      <c r="AJ282" t="s">
        <v>139</v>
      </c>
      <c r="AK282" t="s">
        <v>139</v>
      </c>
      <c r="AL282" t="s">
        <v>139</v>
      </c>
      <c r="AM282" t="s">
        <v>139</v>
      </c>
      <c r="AN282" t="s">
        <v>139</v>
      </c>
      <c r="AO282" s="9" t="s">
        <v>139</v>
      </c>
      <c r="AP282" t="s">
        <v>139</v>
      </c>
      <c r="AQ282" t="s">
        <v>139</v>
      </c>
      <c r="AR282" t="s">
        <v>139</v>
      </c>
    </row>
    <row r="283" spans="1:44" x14ac:dyDescent="0.4">
      <c r="A283" s="3" t="s">
        <v>414</v>
      </c>
      <c r="B283">
        <v>400954.5</v>
      </c>
      <c r="C283">
        <v>112089.4</v>
      </c>
      <c r="D283">
        <v>65149.2</v>
      </c>
      <c r="E283" t="s">
        <v>139</v>
      </c>
      <c r="F283" t="s">
        <v>139</v>
      </c>
      <c r="G283">
        <v>46940.2</v>
      </c>
      <c r="H283" t="s">
        <v>139</v>
      </c>
      <c r="I283" t="s">
        <v>139</v>
      </c>
      <c r="J283">
        <v>288865.2</v>
      </c>
      <c r="K283">
        <v>106597.9</v>
      </c>
      <c r="L283">
        <v>68420.5</v>
      </c>
      <c r="M283" t="s">
        <v>139</v>
      </c>
      <c r="N283" t="s">
        <v>139</v>
      </c>
      <c r="O283" t="s">
        <v>139</v>
      </c>
      <c r="P283" t="s">
        <v>139</v>
      </c>
      <c r="Q283" t="s">
        <v>139</v>
      </c>
      <c r="R283" t="s">
        <v>139</v>
      </c>
      <c r="S283" t="s">
        <v>139</v>
      </c>
      <c r="T283" t="s">
        <v>139</v>
      </c>
      <c r="U283">
        <v>62506.5</v>
      </c>
      <c r="V283" s="6" t="s">
        <v>139</v>
      </c>
      <c r="W283" t="s">
        <v>139</v>
      </c>
      <c r="X283" t="s">
        <v>139</v>
      </c>
      <c r="Y283" t="s">
        <v>139</v>
      </c>
      <c r="Z283" t="s">
        <v>139</v>
      </c>
      <c r="AA283" t="s">
        <v>139</v>
      </c>
      <c r="AB283" t="s">
        <v>139</v>
      </c>
      <c r="AC283" t="s">
        <v>139</v>
      </c>
      <c r="AD283" t="s">
        <v>139</v>
      </c>
      <c r="AE283" t="s">
        <v>139</v>
      </c>
      <c r="AF283" t="s">
        <v>139</v>
      </c>
      <c r="AG283" t="s">
        <v>139</v>
      </c>
      <c r="AH283" s="9" t="s">
        <v>139</v>
      </c>
      <c r="AI283" t="s">
        <v>139</v>
      </c>
      <c r="AJ283" t="s">
        <v>139</v>
      </c>
      <c r="AK283" t="s">
        <v>139</v>
      </c>
      <c r="AL283" t="s">
        <v>139</v>
      </c>
      <c r="AM283" t="s">
        <v>139</v>
      </c>
      <c r="AN283" t="s">
        <v>139</v>
      </c>
      <c r="AO283" s="9" t="s">
        <v>139</v>
      </c>
      <c r="AP283" t="s">
        <v>139</v>
      </c>
      <c r="AQ283" t="s">
        <v>139</v>
      </c>
      <c r="AR283" t="s">
        <v>139</v>
      </c>
    </row>
    <row r="284" spans="1:44" x14ac:dyDescent="0.4">
      <c r="A284" s="3" t="s">
        <v>415</v>
      </c>
      <c r="B284">
        <v>398568.4</v>
      </c>
      <c r="C284">
        <v>110678.39999999999</v>
      </c>
      <c r="D284">
        <v>63994.1</v>
      </c>
      <c r="E284" t="s">
        <v>139</v>
      </c>
      <c r="F284" t="s">
        <v>139</v>
      </c>
      <c r="G284">
        <v>46684.3</v>
      </c>
      <c r="H284" t="s">
        <v>139</v>
      </c>
      <c r="I284" t="s">
        <v>139</v>
      </c>
      <c r="J284">
        <v>287890</v>
      </c>
      <c r="K284">
        <v>106297.9</v>
      </c>
      <c r="L284">
        <v>68943.5</v>
      </c>
      <c r="M284" t="s">
        <v>139</v>
      </c>
      <c r="N284" t="s">
        <v>139</v>
      </c>
      <c r="O284" t="s">
        <v>139</v>
      </c>
      <c r="P284" t="s">
        <v>139</v>
      </c>
      <c r="Q284" t="s">
        <v>139</v>
      </c>
      <c r="R284" t="s">
        <v>139</v>
      </c>
      <c r="S284" t="s">
        <v>139</v>
      </c>
      <c r="T284" t="s">
        <v>139</v>
      </c>
      <c r="U284">
        <v>62822</v>
      </c>
      <c r="V284" s="6" t="s">
        <v>139</v>
      </c>
      <c r="W284" t="s">
        <v>139</v>
      </c>
      <c r="X284" t="s">
        <v>139</v>
      </c>
      <c r="Y284" t="s">
        <v>139</v>
      </c>
      <c r="Z284" t="s">
        <v>139</v>
      </c>
      <c r="AA284" t="s">
        <v>139</v>
      </c>
      <c r="AB284" t="s">
        <v>139</v>
      </c>
      <c r="AC284" t="s">
        <v>139</v>
      </c>
      <c r="AD284" t="s">
        <v>139</v>
      </c>
      <c r="AE284" t="s">
        <v>139</v>
      </c>
      <c r="AF284" t="s">
        <v>139</v>
      </c>
      <c r="AG284" t="s">
        <v>139</v>
      </c>
      <c r="AH284" s="9" t="s">
        <v>139</v>
      </c>
      <c r="AI284" t="s">
        <v>139</v>
      </c>
      <c r="AJ284" t="s">
        <v>139</v>
      </c>
      <c r="AK284" t="s">
        <v>139</v>
      </c>
      <c r="AL284" t="s">
        <v>139</v>
      </c>
      <c r="AM284" t="s">
        <v>139</v>
      </c>
      <c r="AN284" t="s">
        <v>139</v>
      </c>
      <c r="AO284" s="9" t="s">
        <v>139</v>
      </c>
      <c r="AP284" t="s">
        <v>139</v>
      </c>
      <c r="AQ284" t="s">
        <v>139</v>
      </c>
      <c r="AR284" t="s">
        <v>139</v>
      </c>
    </row>
    <row r="285" spans="1:44" x14ac:dyDescent="0.4">
      <c r="A285" s="3" t="s">
        <v>416</v>
      </c>
      <c r="B285">
        <v>396201.1</v>
      </c>
      <c r="C285">
        <v>109017.7</v>
      </c>
      <c r="D285">
        <v>62239.5</v>
      </c>
      <c r="E285" t="s">
        <v>139</v>
      </c>
      <c r="F285" t="s">
        <v>139</v>
      </c>
      <c r="G285">
        <v>46778.2</v>
      </c>
      <c r="H285" t="s">
        <v>139</v>
      </c>
      <c r="I285" t="s">
        <v>139</v>
      </c>
      <c r="J285">
        <v>287183.40000000002</v>
      </c>
      <c r="K285">
        <v>105695.3</v>
      </c>
      <c r="L285">
        <v>69243.3</v>
      </c>
      <c r="M285" t="s">
        <v>139</v>
      </c>
      <c r="N285" t="s">
        <v>139</v>
      </c>
      <c r="O285" t="s">
        <v>139</v>
      </c>
      <c r="P285" t="s">
        <v>139</v>
      </c>
      <c r="Q285" t="s">
        <v>139</v>
      </c>
      <c r="R285" t="s">
        <v>139</v>
      </c>
      <c r="S285" t="s">
        <v>139</v>
      </c>
      <c r="T285" t="s">
        <v>139</v>
      </c>
      <c r="U285">
        <v>63030.8</v>
      </c>
      <c r="V285" s="6" t="s">
        <v>139</v>
      </c>
      <c r="W285" t="s">
        <v>139</v>
      </c>
      <c r="X285" t="s">
        <v>139</v>
      </c>
      <c r="Y285" t="s">
        <v>139</v>
      </c>
      <c r="Z285" t="s">
        <v>139</v>
      </c>
      <c r="AA285" t="s">
        <v>139</v>
      </c>
      <c r="AB285" t="s">
        <v>139</v>
      </c>
      <c r="AC285" t="s">
        <v>139</v>
      </c>
      <c r="AD285" t="s">
        <v>139</v>
      </c>
      <c r="AE285" t="s">
        <v>139</v>
      </c>
      <c r="AF285" t="s">
        <v>139</v>
      </c>
      <c r="AG285" t="s">
        <v>139</v>
      </c>
      <c r="AH285" s="9" t="s">
        <v>139</v>
      </c>
      <c r="AI285" t="s">
        <v>139</v>
      </c>
      <c r="AJ285" t="s">
        <v>139</v>
      </c>
      <c r="AK285" t="s">
        <v>139</v>
      </c>
      <c r="AL285" t="s">
        <v>139</v>
      </c>
      <c r="AM285" t="s">
        <v>139</v>
      </c>
      <c r="AN285" t="s">
        <v>139</v>
      </c>
      <c r="AO285" s="9" t="s">
        <v>139</v>
      </c>
      <c r="AP285" t="s">
        <v>139</v>
      </c>
      <c r="AQ285" t="s">
        <v>139</v>
      </c>
      <c r="AR285" t="s">
        <v>139</v>
      </c>
    </row>
    <row r="286" spans="1:44" x14ac:dyDescent="0.4">
      <c r="A286" s="3" t="s">
        <v>417</v>
      </c>
      <c r="B286">
        <v>398777.9</v>
      </c>
      <c r="C286">
        <v>110494.7</v>
      </c>
      <c r="D286">
        <v>62681.8</v>
      </c>
      <c r="E286" t="s">
        <v>139</v>
      </c>
      <c r="F286" t="s">
        <v>139</v>
      </c>
      <c r="G286">
        <v>47812.9</v>
      </c>
      <c r="H286" t="s">
        <v>139</v>
      </c>
      <c r="I286" t="s">
        <v>139</v>
      </c>
      <c r="J286">
        <v>288283.2</v>
      </c>
      <c r="K286">
        <v>105412.8</v>
      </c>
      <c r="L286">
        <v>69423.3</v>
      </c>
      <c r="M286" t="s">
        <v>139</v>
      </c>
      <c r="N286" t="s">
        <v>139</v>
      </c>
      <c r="O286" t="s">
        <v>139</v>
      </c>
      <c r="P286" t="s">
        <v>139</v>
      </c>
      <c r="Q286" t="s">
        <v>139</v>
      </c>
      <c r="R286" t="s">
        <v>139</v>
      </c>
      <c r="S286" t="s">
        <v>139</v>
      </c>
      <c r="T286" t="s">
        <v>139</v>
      </c>
      <c r="U286">
        <v>63204</v>
      </c>
      <c r="V286" s="6" t="s">
        <v>139</v>
      </c>
      <c r="W286" t="s">
        <v>139</v>
      </c>
      <c r="X286" t="s">
        <v>139</v>
      </c>
      <c r="Y286" t="s">
        <v>139</v>
      </c>
      <c r="Z286" t="s">
        <v>139</v>
      </c>
      <c r="AA286" t="s">
        <v>139</v>
      </c>
      <c r="AB286" t="s">
        <v>139</v>
      </c>
      <c r="AC286" t="s">
        <v>139</v>
      </c>
      <c r="AD286" t="s">
        <v>139</v>
      </c>
      <c r="AE286" t="s">
        <v>139</v>
      </c>
      <c r="AF286" t="s">
        <v>139</v>
      </c>
      <c r="AG286" t="s">
        <v>139</v>
      </c>
      <c r="AH286" s="9" t="s">
        <v>139</v>
      </c>
      <c r="AI286" t="s">
        <v>139</v>
      </c>
      <c r="AJ286" t="s">
        <v>139</v>
      </c>
      <c r="AK286" t="s">
        <v>139</v>
      </c>
      <c r="AL286" t="s">
        <v>139</v>
      </c>
      <c r="AM286" t="s">
        <v>139</v>
      </c>
      <c r="AN286" t="s">
        <v>139</v>
      </c>
      <c r="AO286" s="9" t="s">
        <v>139</v>
      </c>
      <c r="AP286" t="s">
        <v>139</v>
      </c>
      <c r="AQ286" t="s">
        <v>139</v>
      </c>
      <c r="AR286" t="s">
        <v>139</v>
      </c>
    </row>
    <row r="287" spans="1:44" x14ac:dyDescent="0.4">
      <c r="A287" s="3" t="s">
        <v>418</v>
      </c>
      <c r="B287">
        <v>402505.8</v>
      </c>
      <c r="C287">
        <v>112435.9</v>
      </c>
      <c r="D287">
        <v>63453.599999999999</v>
      </c>
      <c r="E287" t="s">
        <v>139</v>
      </c>
      <c r="F287" t="s">
        <v>139</v>
      </c>
      <c r="G287">
        <v>48982.3</v>
      </c>
      <c r="H287" t="s">
        <v>139</v>
      </c>
      <c r="I287" t="s">
        <v>139</v>
      </c>
      <c r="J287">
        <v>290069.8</v>
      </c>
      <c r="K287">
        <v>105676.6</v>
      </c>
      <c r="L287">
        <v>69544.5</v>
      </c>
      <c r="M287" t="s">
        <v>139</v>
      </c>
      <c r="N287" t="s">
        <v>139</v>
      </c>
      <c r="O287" t="s">
        <v>139</v>
      </c>
      <c r="P287" t="s">
        <v>139</v>
      </c>
      <c r="Q287" t="s">
        <v>139</v>
      </c>
      <c r="R287" t="s">
        <v>139</v>
      </c>
      <c r="S287" t="s">
        <v>139</v>
      </c>
      <c r="T287" t="s">
        <v>139</v>
      </c>
      <c r="U287">
        <v>63314.7</v>
      </c>
      <c r="V287" s="6" t="s">
        <v>139</v>
      </c>
      <c r="W287" t="s">
        <v>139</v>
      </c>
      <c r="X287" t="s">
        <v>139</v>
      </c>
      <c r="Y287" t="s">
        <v>139</v>
      </c>
      <c r="Z287" t="s">
        <v>139</v>
      </c>
      <c r="AA287" t="s">
        <v>139</v>
      </c>
      <c r="AB287" t="s">
        <v>139</v>
      </c>
      <c r="AC287" t="s">
        <v>139</v>
      </c>
      <c r="AD287" t="s">
        <v>139</v>
      </c>
      <c r="AE287" t="s">
        <v>139</v>
      </c>
      <c r="AF287" t="s">
        <v>139</v>
      </c>
      <c r="AG287" t="s">
        <v>139</v>
      </c>
      <c r="AH287" s="9" t="s">
        <v>139</v>
      </c>
      <c r="AI287" t="s">
        <v>139</v>
      </c>
      <c r="AJ287" t="s">
        <v>139</v>
      </c>
      <c r="AK287" t="s">
        <v>139</v>
      </c>
      <c r="AL287" t="s">
        <v>139</v>
      </c>
      <c r="AM287" t="s">
        <v>139</v>
      </c>
      <c r="AN287" t="s">
        <v>139</v>
      </c>
      <c r="AO287" s="9" t="s">
        <v>139</v>
      </c>
      <c r="AP287" t="s">
        <v>139</v>
      </c>
      <c r="AQ287" t="s">
        <v>139</v>
      </c>
      <c r="AR287" t="s">
        <v>139</v>
      </c>
    </row>
    <row r="288" spans="1:44" x14ac:dyDescent="0.4">
      <c r="A288" s="3" t="s">
        <v>419</v>
      </c>
      <c r="B288">
        <v>402417.9</v>
      </c>
      <c r="C288">
        <v>112218.9</v>
      </c>
      <c r="D288">
        <v>62827.8</v>
      </c>
      <c r="E288" t="s">
        <v>139</v>
      </c>
      <c r="F288" t="s">
        <v>139</v>
      </c>
      <c r="G288">
        <v>49391.1</v>
      </c>
      <c r="H288" t="s">
        <v>139</v>
      </c>
      <c r="I288" t="s">
        <v>139</v>
      </c>
      <c r="J288">
        <v>290199</v>
      </c>
      <c r="K288">
        <v>106011.8</v>
      </c>
      <c r="L288">
        <v>69592.2</v>
      </c>
      <c r="M288" t="s">
        <v>139</v>
      </c>
      <c r="N288" t="s">
        <v>139</v>
      </c>
      <c r="O288" t="s">
        <v>139</v>
      </c>
      <c r="P288" t="s">
        <v>139</v>
      </c>
      <c r="Q288" t="s">
        <v>139</v>
      </c>
      <c r="R288" t="s">
        <v>139</v>
      </c>
      <c r="S288" t="s">
        <v>139</v>
      </c>
      <c r="T288" t="s">
        <v>139</v>
      </c>
      <c r="U288">
        <v>63432.6</v>
      </c>
      <c r="V288" s="6" t="s">
        <v>139</v>
      </c>
      <c r="W288" t="s">
        <v>139</v>
      </c>
      <c r="X288" t="s">
        <v>139</v>
      </c>
      <c r="Y288" t="s">
        <v>139</v>
      </c>
      <c r="Z288" t="s">
        <v>139</v>
      </c>
      <c r="AA288" t="s">
        <v>139</v>
      </c>
      <c r="AB288" t="s">
        <v>139</v>
      </c>
      <c r="AC288" t="s">
        <v>139</v>
      </c>
      <c r="AD288" t="s">
        <v>139</v>
      </c>
      <c r="AE288" t="s">
        <v>139</v>
      </c>
      <c r="AF288" t="s">
        <v>139</v>
      </c>
      <c r="AG288" t="s">
        <v>139</v>
      </c>
      <c r="AH288" s="9" t="s">
        <v>139</v>
      </c>
      <c r="AI288" t="s">
        <v>139</v>
      </c>
      <c r="AJ288" t="s">
        <v>139</v>
      </c>
      <c r="AK288" t="s">
        <v>139</v>
      </c>
      <c r="AL288" t="s">
        <v>139</v>
      </c>
      <c r="AM288" t="s">
        <v>139</v>
      </c>
      <c r="AN288" t="s">
        <v>139</v>
      </c>
      <c r="AO288" s="9" t="s">
        <v>139</v>
      </c>
      <c r="AP288" t="s">
        <v>139</v>
      </c>
      <c r="AQ288" t="s">
        <v>139</v>
      </c>
      <c r="AR288" t="s">
        <v>139</v>
      </c>
    </row>
    <row r="289" spans="1:44" x14ac:dyDescent="0.4">
      <c r="A289" s="3" t="s">
        <v>420</v>
      </c>
      <c r="B289">
        <v>404402.4</v>
      </c>
      <c r="C289">
        <v>112483.9</v>
      </c>
      <c r="D289">
        <v>62580.1</v>
      </c>
      <c r="E289" t="s">
        <v>139</v>
      </c>
      <c r="F289" t="s">
        <v>139</v>
      </c>
      <c r="G289">
        <v>49903.8</v>
      </c>
      <c r="H289" t="s">
        <v>139</v>
      </c>
      <c r="I289" t="s">
        <v>139</v>
      </c>
      <c r="J289">
        <v>291918.5</v>
      </c>
      <c r="K289">
        <v>106835.8</v>
      </c>
      <c r="L289">
        <v>69472</v>
      </c>
      <c r="M289" t="s">
        <v>139</v>
      </c>
      <c r="N289" t="s">
        <v>139</v>
      </c>
      <c r="O289" t="s">
        <v>139</v>
      </c>
      <c r="P289" t="s">
        <v>139</v>
      </c>
      <c r="Q289" t="s">
        <v>139</v>
      </c>
      <c r="R289" t="s">
        <v>139</v>
      </c>
      <c r="S289" t="s">
        <v>139</v>
      </c>
      <c r="T289" t="s">
        <v>139</v>
      </c>
      <c r="U289">
        <v>63401.8</v>
      </c>
      <c r="V289" s="6" t="s">
        <v>139</v>
      </c>
      <c r="W289" t="s">
        <v>139</v>
      </c>
      <c r="X289" t="s">
        <v>139</v>
      </c>
      <c r="Y289" t="s">
        <v>139</v>
      </c>
      <c r="Z289" t="s">
        <v>139</v>
      </c>
      <c r="AA289" t="s">
        <v>139</v>
      </c>
      <c r="AB289" t="s">
        <v>139</v>
      </c>
      <c r="AC289" t="s">
        <v>139</v>
      </c>
      <c r="AD289" t="s">
        <v>139</v>
      </c>
      <c r="AE289" t="s">
        <v>139</v>
      </c>
      <c r="AF289" t="s">
        <v>139</v>
      </c>
      <c r="AG289" t="s">
        <v>139</v>
      </c>
      <c r="AH289" s="9" t="s">
        <v>139</v>
      </c>
      <c r="AI289" t="s">
        <v>139</v>
      </c>
      <c r="AJ289" t="s">
        <v>139</v>
      </c>
      <c r="AK289" t="s">
        <v>139</v>
      </c>
      <c r="AL289" t="s">
        <v>139</v>
      </c>
      <c r="AM289" t="s">
        <v>139</v>
      </c>
      <c r="AN289" t="s">
        <v>139</v>
      </c>
      <c r="AO289" s="9" t="s">
        <v>139</v>
      </c>
      <c r="AP289" t="s">
        <v>139</v>
      </c>
      <c r="AQ289" t="s">
        <v>139</v>
      </c>
      <c r="AR289" t="s">
        <v>139</v>
      </c>
    </row>
    <row r="290" spans="1:44" x14ac:dyDescent="0.4">
      <c r="A290" s="3" t="s">
        <v>421</v>
      </c>
      <c r="B290">
        <v>409037.7</v>
      </c>
      <c r="C290">
        <v>113809.60000000001</v>
      </c>
      <c r="D290">
        <v>63769.4</v>
      </c>
      <c r="E290" t="s">
        <v>139</v>
      </c>
      <c r="F290" t="s">
        <v>139</v>
      </c>
      <c r="G290">
        <v>50040.3</v>
      </c>
      <c r="H290" t="s">
        <v>139</v>
      </c>
      <c r="I290" t="s">
        <v>139</v>
      </c>
      <c r="J290">
        <v>295228</v>
      </c>
      <c r="K290">
        <v>107677</v>
      </c>
      <c r="L290">
        <v>69676.2</v>
      </c>
      <c r="M290" t="s">
        <v>139</v>
      </c>
      <c r="N290" t="s">
        <v>139</v>
      </c>
      <c r="O290" t="s">
        <v>139</v>
      </c>
      <c r="P290" t="s">
        <v>139</v>
      </c>
      <c r="Q290" t="s">
        <v>139</v>
      </c>
      <c r="R290" t="s">
        <v>139</v>
      </c>
      <c r="S290" t="s">
        <v>139</v>
      </c>
      <c r="T290" t="s">
        <v>139</v>
      </c>
      <c r="U290">
        <v>63900.2</v>
      </c>
      <c r="V290" s="6" t="s">
        <v>139</v>
      </c>
      <c r="W290" t="s">
        <v>139</v>
      </c>
      <c r="X290" t="s">
        <v>139</v>
      </c>
      <c r="Y290" t="s">
        <v>139</v>
      </c>
      <c r="Z290" t="s">
        <v>139</v>
      </c>
      <c r="AA290" t="s">
        <v>139</v>
      </c>
      <c r="AB290" t="s">
        <v>139</v>
      </c>
      <c r="AC290" t="s">
        <v>139</v>
      </c>
      <c r="AD290" t="s">
        <v>139</v>
      </c>
      <c r="AE290" t="s">
        <v>139</v>
      </c>
      <c r="AF290" t="s">
        <v>139</v>
      </c>
      <c r="AG290" t="s">
        <v>139</v>
      </c>
      <c r="AH290" s="9" t="s">
        <v>139</v>
      </c>
      <c r="AI290" t="s">
        <v>139</v>
      </c>
      <c r="AJ290" t="s">
        <v>139</v>
      </c>
      <c r="AK290" t="s">
        <v>139</v>
      </c>
      <c r="AL290" t="s">
        <v>139</v>
      </c>
      <c r="AM290" t="s">
        <v>139</v>
      </c>
      <c r="AN290" t="s">
        <v>139</v>
      </c>
      <c r="AO290" s="9" t="s">
        <v>139</v>
      </c>
      <c r="AP290" t="s">
        <v>139</v>
      </c>
      <c r="AQ290" t="s">
        <v>139</v>
      </c>
      <c r="AR290" t="s">
        <v>139</v>
      </c>
    </row>
    <row r="291" spans="1:44" x14ac:dyDescent="0.4">
      <c r="A291" s="3" t="s">
        <v>422</v>
      </c>
      <c r="B291">
        <v>412968.5</v>
      </c>
      <c r="C291">
        <v>116663.4</v>
      </c>
      <c r="D291">
        <v>65923.600000000006</v>
      </c>
      <c r="E291" t="s">
        <v>139</v>
      </c>
      <c r="F291" t="s">
        <v>139</v>
      </c>
      <c r="G291">
        <v>50739.8</v>
      </c>
      <c r="H291" t="s">
        <v>139</v>
      </c>
      <c r="I291" t="s">
        <v>139</v>
      </c>
      <c r="J291">
        <v>296305.09999999998</v>
      </c>
      <c r="K291">
        <v>108540.7</v>
      </c>
      <c r="L291">
        <v>69887.399999999994</v>
      </c>
      <c r="M291" t="s">
        <v>139</v>
      </c>
      <c r="N291" t="s">
        <v>139</v>
      </c>
      <c r="O291" t="s">
        <v>139</v>
      </c>
      <c r="P291" t="s">
        <v>139</v>
      </c>
      <c r="Q291" t="s">
        <v>139</v>
      </c>
      <c r="R291" t="s">
        <v>139</v>
      </c>
      <c r="S291" t="s">
        <v>139</v>
      </c>
      <c r="T291" t="s">
        <v>139</v>
      </c>
      <c r="U291">
        <v>64311.4</v>
      </c>
      <c r="V291" s="6" t="s">
        <v>139</v>
      </c>
      <c r="W291" t="s">
        <v>139</v>
      </c>
      <c r="X291" t="s">
        <v>139</v>
      </c>
      <c r="Y291" t="s">
        <v>139</v>
      </c>
      <c r="Z291" t="s">
        <v>139</v>
      </c>
      <c r="AA291" t="s">
        <v>139</v>
      </c>
      <c r="AB291" t="s">
        <v>139</v>
      </c>
      <c r="AC291" t="s">
        <v>139</v>
      </c>
      <c r="AD291" t="s">
        <v>139</v>
      </c>
      <c r="AE291" t="s">
        <v>139</v>
      </c>
      <c r="AF291" t="s">
        <v>139</v>
      </c>
      <c r="AG291" t="s">
        <v>139</v>
      </c>
      <c r="AH291" s="9" t="s">
        <v>139</v>
      </c>
      <c r="AI291" t="s">
        <v>139</v>
      </c>
      <c r="AJ291" t="s">
        <v>139</v>
      </c>
      <c r="AK291" t="s">
        <v>139</v>
      </c>
      <c r="AL291" t="s">
        <v>139</v>
      </c>
      <c r="AM291" t="s">
        <v>139</v>
      </c>
      <c r="AN291" t="s">
        <v>139</v>
      </c>
      <c r="AO291" s="9" t="s">
        <v>139</v>
      </c>
      <c r="AP291" t="s">
        <v>139</v>
      </c>
      <c r="AQ291" t="s">
        <v>139</v>
      </c>
      <c r="AR291" t="s">
        <v>139</v>
      </c>
    </row>
    <row r="292" spans="1:44" x14ac:dyDescent="0.4">
      <c r="A292" s="3" t="s">
        <v>423</v>
      </c>
      <c r="B292">
        <v>417477.6</v>
      </c>
      <c r="C292">
        <v>119062.1</v>
      </c>
      <c r="D292">
        <v>67416.800000000003</v>
      </c>
      <c r="E292" t="s">
        <v>139</v>
      </c>
      <c r="F292" t="s">
        <v>139</v>
      </c>
      <c r="G292">
        <v>51645.3</v>
      </c>
      <c r="H292" t="s">
        <v>139</v>
      </c>
      <c r="I292" t="s">
        <v>139</v>
      </c>
      <c r="J292">
        <v>298415.5</v>
      </c>
      <c r="K292">
        <v>109528.9</v>
      </c>
      <c r="L292">
        <v>70157.8</v>
      </c>
      <c r="M292" t="s">
        <v>139</v>
      </c>
      <c r="N292" t="s">
        <v>139</v>
      </c>
      <c r="O292" t="s">
        <v>139</v>
      </c>
      <c r="P292" t="s">
        <v>139</v>
      </c>
      <c r="Q292" t="s">
        <v>139</v>
      </c>
      <c r="R292" t="s">
        <v>139</v>
      </c>
      <c r="S292" t="s">
        <v>139</v>
      </c>
      <c r="T292" t="s">
        <v>139</v>
      </c>
      <c r="U292">
        <v>64638.3</v>
      </c>
      <c r="V292" s="6" t="s">
        <v>139</v>
      </c>
      <c r="W292" t="s">
        <v>139</v>
      </c>
      <c r="X292" t="s">
        <v>139</v>
      </c>
      <c r="Y292" t="s">
        <v>139</v>
      </c>
      <c r="Z292" t="s">
        <v>139</v>
      </c>
      <c r="AA292" t="s">
        <v>139</v>
      </c>
      <c r="AB292" t="s">
        <v>139</v>
      </c>
      <c r="AC292" t="s">
        <v>139</v>
      </c>
      <c r="AD292" t="s">
        <v>139</v>
      </c>
      <c r="AE292" t="s">
        <v>139</v>
      </c>
      <c r="AF292" t="s">
        <v>139</v>
      </c>
      <c r="AG292" t="s">
        <v>139</v>
      </c>
      <c r="AH292" s="9" t="s">
        <v>139</v>
      </c>
      <c r="AI292" t="s">
        <v>139</v>
      </c>
      <c r="AJ292" t="s">
        <v>139</v>
      </c>
      <c r="AK292" t="s">
        <v>139</v>
      </c>
      <c r="AL292" t="s">
        <v>139</v>
      </c>
      <c r="AM292" t="s">
        <v>139</v>
      </c>
      <c r="AN292" t="s">
        <v>139</v>
      </c>
      <c r="AO292" s="9" t="s">
        <v>139</v>
      </c>
      <c r="AP292" t="s">
        <v>139</v>
      </c>
      <c r="AQ292" t="s">
        <v>139</v>
      </c>
      <c r="AR292" t="s">
        <v>139</v>
      </c>
    </row>
    <row r="293" spans="1:44" x14ac:dyDescent="0.4">
      <c r="A293" s="3" t="s">
        <v>424</v>
      </c>
      <c r="B293">
        <v>421837.1</v>
      </c>
      <c r="C293">
        <v>121916.3</v>
      </c>
      <c r="D293">
        <v>69185.600000000006</v>
      </c>
      <c r="E293" t="s">
        <v>139</v>
      </c>
      <c r="F293" t="s">
        <v>139</v>
      </c>
      <c r="G293">
        <v>52730.7</v>
      </c>
      <c r="H293" t="s">
        <v>139</v>
      </c>
      <c r="I293" t="s">
        <v>139</v>
      </c>
      <c r="J293">
        <v>299920.8</v>
      </c>
      <c r="K293">
        <v>109774</v>
      </c>
      <c r="L293">
        <v>70483.100000000006</v>
      </c>
      <c r="M293" t="s">
        <v>139</v>
      </c>
      <c r="N293" t="s">
        <v>139</v>
      </c>
      <c r="O293" t="s">
        <v>139</v>
      </c>
      <c r="P293" t="s">
        <v>139</v>
      </c>
      <c r="Q293" t="s">
        <v>139</v>
      </c>
      <c r="R293" t="s">
        <v>139</v>
      </c>
      <c r="S293" t="s">
        <v>139</v>
      </c>
      <c r="T293" t="s">
        <v>139</v>
      </c>
      <c r="U293">
        <v>64806.400000000001</v>
      </c>
      <c r="V293" s="6" t="s">
        <v>139</v>
      </c>
      <c r="W293" t="s">
        <v>139</v>
      </c>
      <c r="X293" t="s">
        <v>139</v>
      </c>
      <c r="Y293" t="s">
        <v>139</v>
      </c>
      <c r="Z293" t="s">
        <v>139</v>
      </c>
      <c r="AA293" t="s">
        <v>139</v>
      </c>
      <c r="AB293" t="s">
        <v>139</v>
      </c>
      <c r="AC293" t="s">
        <v>139</v>
      </c>
      <c r="AD293" t="s">
        <v>139</v>
      </c>
      <c r="AE293" t="s">
        <v>139</v>
      </c>
      <c r="AF293" t="s">
        <v>139</v>
      </c>
      <c r="AG293" t="s">
        <v>139</v>
      </c>
      <c r="AH293" s="9" t="s">
        <v>139</v>
      </c>
      <c r="AI293" t="s">
        <v>139</v>
      </c>
      <c r="AJ293" t="s">
        <v>139</v>
      </c>
      <c r="AK293" t="s">
        <v>139</v>
      </c>
      <c r="AL293" t="s">
        <v>139</v>
      </c>
      <c r="AM293" t="s">
        <v>139</v>
      </c>
      <c r="AN293" t="s">
        <v>139</v>
      </c>
      <c r="AO293" s="9" t="s">
        <v>139</v>
      </c>
      <c r="AP293" t="s">
        <v>139</v>
      </c>
      <c r="AQ293" t="s">
        <v>139</v>
      </c>
      <c r="AR293" t="s">
        <v>139</v>
      </c>
    </row>
    <row r="294" spans="1:44" x14ac:dyDescent="0.4">
      <c r="A294" s="3" t="s">
        <v>425</v>
      </c>
      <c r="B294">
        <v>426594.9</v>
      </c>
      <c r="C294">
        <v>124957</v>
      </c>
      <c r="D294">
        <v>71454.899999999994</v>
      </c>
      <c r="E294" t="s">
        <v>139</v>
      </c>
      <c r="F294" t="s">
        <v>139</v>
      </c>
      <c r="G294">
        <v>53502</v>
      </c>
      <c r="H294" t="s">
        <v>139</v>
      </c>
      <c r="I294" t="s">
        <v>139</v>
      </c>
      <c r="J294">
        <v>301637.90000000002</v>
      </c>
      <c r="K294">
        <v>110174.39999999999</v>
      </c>
      <c r="L294">
        <v>70755.8</v>
      </c>
      <c r="M294" t="s">
        <v>139</v>
      </c>
      <c r="N294" t="s">
        <v>139</v>
      </c>
      <c r="O294" t="s">
        <v>139</v>
      </c>
      <c r="P294" t="s">
        <v>139</v>
      </c>
      <c r="Q294" t="s">
        <v>139</v>
      </c>
      <c r="R294" t="s">
        <v>139</v>
      </c>
      <c r="S294" t="s">
        <v>139</v>
      </c>
      <c r="T294" t="s">
        <v>139</v>
      </c>
      <c r="U294">
        <v>64867</v>
      </c>
      <c r="V294" s="6" t="s">
        <v>139</v>
      </c>
      <c r="W294" t="s">
        <v>139</v>
      </c>
      <c r="X294" t="s">
        <v>139</v>
      </c>
      <c r="Y294" t="s">
        <v>139</v>
      </c>
      <c r="Z294" t="s">
        <v>139</v>
      </c>
      <c r="AA294" t="s">
        <v>139</v>
      </c>
      <c r="AB294" t="s">
        <v>139</v>
      </c>
      <c r="AC294" t="s">
        <v>139</v>
      </c>
      <c r="AD294" t="s">
        <v>139</v>
      </c>
      <c r="AE294" t="s">
        <v>139</v>
      </c>
      <c r="AF294" t="s">
        <v>139</v>
      </c>
      <c r="AG294" t="s">
        <v>139</v>
      </c>
      <c r="AH294" s="9" t="s">
        <v>139</v>
      </c>
      <c r="AI294" t="s">
        <v>139</v>
      </c>
      <c r="AJ294" t="s">
        <v>139</v>
      </c>
      <c r="AK294" t="s">
        <v>139</v>
      </c>
      <c r="AL294" t="s">
        <v>139</v>
      </c>
      <c r="AM294" t="s">
        <v>139</v>
      </c>
      <c r="AN294" t="s">
        <v>139</v>
      </c>
      <c r="AO294" s="9" t="s">
        <v>139</v>
      </c>
      <c r="AP294" t="s">
        <v>139</v>
      </c>
      <c r="AQ294" t="s">
        <v>139</v>
      </c>
      <c r="AR294" t="s">
        <v>139</v>
      </c>
    </row>
    <row r="295" spans="1:44" x14ac:dyDescent="0.4">
      <c r="A295" s="3" t="s">
        <v>426</v>
      </c>
      <c r="B295">
        <v>433997.1</v>
      </c>
      <c r="C295">
        <v>129297.7</v>
      </c>
      <c r="D295">
        <v>74507.3</v>
      </c>
      <c r="E295" t="s">
        <v>139</v>
      </c>
      <c r="F295" t="s">
        <v>139</v>
      </c>
      <c r="G295">
        <v>54790.5</v>
      </c>
      <c r="H295" t="s">
        <v>139</v>
      </c>
      <c r="I295" t="s">
        <v>139</v>
      </c>
      <c r="J295">
        <v>304699.40000000002</v>
      </c>
      <c r="K295">
        <v>111357.8</v>
      </c>
      <c r="L295">
        <v>71343.8</v>
      </c>
      <c r="M295" t="s">
        <v>139</v>
      </c>
      <c r="N295" t="s">
        <v>139</v>
      </c>
      <c r="O295" t="s">
        <v>139</v>
      </c>
      <c r="P295" t="s">
        <v>139</v>
      </c>
      <c r="Q295" t="s">
        <v>139</v>
      </c>
      <c r="R295" t="s">
        <v>139</v>
      </c>
      <c r="S295" t="s">
        <v>139</v>
      </c>
      <c r="T295" t="s">
        <v>139</v>
      </c>
      <c r="U295">
        <v>65207.7</v>
      </c>
      <c r="V295" s="6" t="s">
        <v>139</v>
      </c>
      <c r="W295" t="s">
        <v>139</v>
      </c>
      <c r="X295" t="s">
        <v>139</v>
      </c>
      <c r="Y295" t="s">
        <v>139</v>
      </c>
      <c r="Z295" t="s">
        <v>139</v>
      </c>
      <c r="AA295" t="s">
        <v>139</v>
      </c>
      <c r="AB295" t="s">
        <v>139</v>
      </c>
      <c r="AC295" t="s">
        <v>139</v>
      </c>
      <c r="AD295" t="s">
        <v>139</v>
      </c>
      <c r="AE295" t="s">
        <v>139</v>
      </c>
      <c r="AF295" t="s">
        <v>139</v>
      </c>
      <c r="AG295" t="s">
        <v>139</v>
      </c>
      <c r="AH295" s="9" t="s">
        <v>139</v>
      </c>
      <c r="AI295" t="s">
        <v>139</v>
      </c>
      <c r="AJ295" t="s">
        <v>139</v>
      </c>
      <c r="AK295" t="s">
        <v>139</v>
      </c>
      <c r="AL295" t="s">
        <v>139</v>
      </c>
      <c r="AM295" t="s">
        <v>139</v>
      </c>
      <c r="AN295" t="s">
        <v>139</v>
      </c>
      <c r="AO295" s="9" t="s">
        <v>139</v>
      </c>
      <c r="AP295" t="s">
        <v>139</v>
      </c>
      <c r="AQ295" t="s">
        <v>139</v>
      </c>
      <c r="AR295" t="s">
        <v>139</v>
      </c>
    </row>
    <row r="296" spans="1:44" x14ac:dyDescent="0.4">
      <c r="A296" s="3" t="s">
        <v>427</v>
      </c>
      <c r="B296">
        <v>437832.1</v>
      </c>
      <c r="C296">
        <v>132323.9</v>
      </c>
      <c r="D296">
        <v>76230.899999999994</v>
      </c>
      <c r="E296" t="s">
        <v>139</v>
      </c>
      <c r="F296" t="s">
        <v>139</v>
      </c>
      <c r="G296">
        <v>56093.1</v>
      </c>
      <c r="H296" t="s">
        <v>139</v>
      </c>
      <c r="I296" t="s">
        <v>139</v>
      </c>
      <c r="J296">
        <v>305508.2</v>
      </c>
      <c r="K296">
        <v>111547.9</v>
      </c>
      <c r="L296">
        <v>71734.100000000006</v>
      </c>
      <c r="M296" t="s">
        <v>139</v>
      </c>
      <c r="N296" t="s">
        <v>139</v>
      </c>
      <c r="O296" t="s">
        <v>139</v>
      </c>
      <c r="P296" t="s">
        <v>139</v>
      </c>
      <c r="Q296" t="s">
        <v>139</v>
      </c>
      <c r="R296" t="s">
        <v>139</v>
      </c>
      <c r="S296" t="s">
        <v>139</v>
      </c>
      <c r="T296" t="s">
        <v>139</v>
      </c>
      <c r="U296">
        <v>65526.5</v>
      </c>
      <c r="V296" s="6" t="s">
        <v>139</v>
      </c>
      <c r="W296" t="s">
        <v>139</v>
      </c>
      <c r="X296" t="s">
        <v>139</v>
      </c>
      <c r="Y296" t="s">
        <v>139</v>
      </c>
      <c r="Z296" t="s">
        <v>139</v>
      </c>
      <c r="AA296" t="s">
        <v>139</v>
      </c>
      <c r="AB296" t="s">
        <v>139</v>
      </c>
      <c r="AC296" t="s">
        <v>139</v>
      </c>
      <c r="AD296" t="s">
        <v>139</v>
      </c>
      <c r="AE296" t="s">
        <v>139</v>
      </c>
      <c r="AF296" t="s">
        <v>139</v>
      </c>
      <c r="AG296" t="s">
        <v>139</v>
      </c>
      <c r="AH296" s="9" t="s">
        <v>139</v>
      </c>
      <c r="AI296" t="s">
        <v>139</v>
      </c>
      <c r="AJ296" t="s">
        <v>139</v>
      </c>
      <c r="AK296" t="s">
        <v>139</v>
      </c>
      <c r="AL296" t="s">
        <v>139</v>
      </c>
      <c r="AM296" t="s">
        <v>139</v>
      </c>
      <c r="AN296" t="s">
        <v>139</v>
      </c>
      <c r="AO296" s="9" t="s">
        <v>139</v>
      </c>
      <c r="AP296" t="s">
        <v>139</v>
      </c>
      <c r="AQ296" t="s">
        <v>139</v>
      </c>
      <c r="AR296" t="s">
        <v>139</v>
      </c>
    </row>
    <row r="297" spans="1:44" x14ac:dyDescent="0.4">
      <c r="A297" s="3" t="s">
        <v>428</v>
      </c>
      <c r="B297">
        <v>441535.3</v>
      </c>
      <c r="C297">
        <v>133644.9</v>
      </c>
      <c r="D297">
        <v>76507.100000000006</v>
      </c>
      <c r="E297" t="s">
        <v>139</v>
      </c>
      <c r="F297" t="s">
        <v>139</v>
      </c>
      <c r="G297">
        <v>57137.7</v>
      </c>
      <c r="H297" t="s">
        <v>139</v>
      </c>
      <c r="I297" t="s">
        <v>139</v>
      </c>
      <c r="J297">
        <v>307890.40000000002</v>
      </c>
      <c r="K297">
        <v>111895.1</v>
      </c>
      <c r="L297">
        <v>72165.2</v>
      </c>
      <c r="M297" t="s">
        <v>139</v>
      </c>
      <c r="N297" t="s">
        <v>139</v>
      </c>
      <c r="O297" t="s">
        <v>139</v>
      </c>
      <c r="P297" t="s">
        <v>139</v>
      </c>
      <c r="Q297" t="s">
        <v>139</v>
      </c>
      <c r="R297" t="s">
        <v>139</v>
      </c>
      <c r="S297" t="s">
        <v>139</v>
      </c>
      <c r="T297" t="s">
        <v>139</v>
      </c>
      <c r="U297">
        <v>65906.8</v>
      </c>
      <c r="V297" s="6" t="s">
        <v>139</v>
      </c>
      <c r="W297" t="s">
        <v>139</v>
      </c>
      <c r="X297" t="s">
        <v>139</v>
      </c>
      <c r="Y297" t="s">
        <v>139</v>
      </c>
      <c r="Z297" t="s">
        <v>139</v>
      </c>
      <c r="AA297" t="s">
        <v>139</v>
      </c>
      <c r="AB297" t="s">
        <v>139</v>
      </c>
      <c r="AC297" t="s">
        <v>139</v>
      </c>
      <c r="AD297" t="s">
        <v>139</v>
      </c>
      <c r="AE297" t="s">
        <v>139</v>
      </c>
      <c r="AF297" t="s">
        <v>139</v>
      </c>
      <c r="AG297" t="s">
        <v>139</v>
      </c>
      <c r="AH297" s="9" t="s">
        <v>139</v>
      </c>
      <c r="AI297" t="s">
        <v>139</v>
      </c>
      <c r="AJ297" t="s">
        <v>139</v>
      </c>
      <c r="AK297" t="s">
        <v>139</v>
      </c>
      <c r="AL297" t="s">
        <v>139</v>
      </c>
      <c r="AM297" t="s">
        <v>139</v>
      </c>
      <c r="AN297" t="s">
        <v>139</v>
      </c>
      <c r="AO297" s="9" t="s">
        <v>139</v>
      </c>
      <c r="AP297" t="s">
        <v>139</v>
      </c>
      <c r="AQ297" t="s">
        <v>139</v>
      </c>
      <c r="AR297" t="s">
        <v>139</v>
      </c>
    </row>
    <row r="298" spans="1:44" x14ac:dyDescent="0.4">
      <c r="A298" s="3" t="s">
        <v>429</v>
      </c>
      <c r="B298">
        <v>445431.6</v>
      </c>
      <c r="C298">
        <v>135397.29999999999</v>
      </c>
      <c r="D298">
        <v>76850.3</v>
      </c>
      <c r="E298" t="s">
        <v>139</v>
      </c>
      <c r="F298" t="s">
        <v>139</v>
      </c>
      <c r="G298">
        <v>58547</v>
      </c>
      <c r="H298" t="s">
        <v>139</v>
      </c>
      <c r="I298" t="s">
        <v>139</v>
      </c>
      <c r="J298">
        <v>310034.3</v>
      </c>
      <c r="K298">
        <v>111987.7</v>
      </c>
      <c r="L298">
        <v>72817.7</v>
      </c>
      <c r="M298" t="s">
        <v>139</v>
      </c>
      <c r="N298" t="s">
        <v>139</v>
      </c>
      <c r="O298" t="s">
        <v>139</v>
      </c>
      <c r="P298" t="s">
        <v>139</v>
      </c>
      <c r="Q298" t="s">
        <v>139</v>
      </c>
      <c r="R298" t="s">
        <v>139</v>
      </c>
      <c r="S298" t="s">
        <v>139</v>
      </c>
      <c r="T298" t="s">
        <v>139</v>
      </c>
      <c r="U298">
        <v>66540.3</v>
      </c>
      <c r="V298" s="6" t="s">
        <v>139</v>
      </c>
      <c r="W298" t="s">
        <v>139</v>
      </c>
      <c r="X298" t="s">
        <v>139</v>
      </c>
      <c r="Y298" t="s">
        <v>139</v>
      </c>
      <c r="Z298" t="s">
        <v>139</v>
      </c>
      <c r="AA298" t="s">
        <v>139</v>
      </c>
      <c r="AB298" t="s">
        <v>139</v>
      </c>
      <c r="AC298" t="s">
        <v>139</v>
      </c>
      <c r="AD298" t="s">
        <v>139</v>
      </c>
      <c r="AE298" t="s">
        <v>139</v>
      </c>
      <c r="AF298" t="s">
        <v>139</v>
      </c>
      <c r="AG298" t="s">
        <v>139</v>
      </c>
      <c r="AH298" s="9" t="s">
        <v>139</v>
      </c>
      <c r="AI298" t="s">
        <v>139</v>
      </c>
      <c r="AJ298" t="s">
        <v>139</v>
      </c>
      <c r="AK298" t="s">
        <v>139</v>
      </c>
      <c r="AL298" t="s">
        <v>139</v>
      </c>
      <c r="AM298" t="s">
        <v>139</v>
      </c>
      <c r="AN298" t="s">
        <v>139</v>
      </c>
      <c r="AO298" s="9" t="s">
        <v>139</v>
      </c>
      <c r="AP298" t="s">
        <v>139</v>
      </c>
      <c r="AQ298" t="s">
        <v>139</v>
      </c>
      <c r="AR298" t="s">
        <v>139</v>
      </c>
    </row>
    <row r="299" spans="1:44" x14ac:dyDescent="0.4">
      <c r="A299" s="3" t="s">
        <v>430</v>
      </c>
      <c r="B299">
        <v>450651.7</v>
      </c>
      <c r="C299">
        <v>137401</v>
      </c>
      <c r="D299">
        <v>77099.5</v>
      </c>
      <c r="E299" t="s">
        <v>139</v>
      </c>
      <c r="F299" t="s">
        <v>139</v>
      </c>
      <c r="G299">
        <v>60301.5</v>
      </c>
      <c r="H299" t="s">
        <v>139</v>
      </c>
      <c r="I299" t="s">
        <v>139</v>
      </c>
      <c r="J299">
        <v>313250.7</v>
      </c>
      <c r="K299">
        <v>112149.6</v>
      </c>
      <c r="L299">
        <v>73550.7</v>
      </c>
      <c r="M299" t="s">
        <v>139</v>
      </c>
      <c r="N299" t="s">
        <v>139</v>
      </c>
      <c r="O299" t="s">
        <v>139</v>
      </c>
      <c r="P299" t="s">
        <v>139</v>
      </c>
      <c r="Q299" t="s">
        <v>139</v>
      </c>
      <c r="R299" t="s">
        <v>139</v>
      </c>
      <c r="S299" t="s">
        <v>139</v>
      </c>
      <c r="T299" t="s">
        <v>139</v>
      </c>
      <c r="U299">
        <v>67261.8</v>
      </c>
      <c r="V299" s="6" t="s">
        <v>139</v>
      </c>
      <c r="W299" t="s">
        <v>139</v>
      </c>
      <c r="X299" t="s">
        <v>139</v>
      </c>
      <c r="Y299" t="s">
        <v>139</v>
      </c>
      <c r="Z299" t="s">
        <v>139</v>
      </c>
      <c r="AA299" t="s">
        <v>139</v>
      </c>
      <c r="AB299" t="s">
        <v>139</v>
      </c>
      <c r="AC299" t="s">
        <v>139</v>
      </c>
      <c r="AD299" t="s">
        <v>139</v>
      </c>
      <c r="AE299" t="s">
        <v>139</v>
      </c>
      <c r="AF299" t="s">
        <v>139</v>
      </c>
      <c r="AG299" t="s">
        <v>139</v>
      </c>
      <c r="AH299" s="9" t="s">
        <v>139</v>
      </c>
      <c r="AI299" t="s">
        <v>139</v>
      </c>
      <c r="AJ299" t="s">
        <v>139</v>
      </c>
      <c r="AK299" t="s">
        <v>139</v>
      </c>
      <c r="AL299" t="s">
        <v>139</v>
      </c>
      <c r="AM299" t="s">
        <v>139</v>
      </c>
      <c r="AN299" t="s">
        <v>139</v>
      </c>
      <c r="AO299" s="9" t="s">
        <v>139</v>
      </c>
      <c r="AP299" t="s">
        <v>139</v>
      </c>
      <c r="AQ299" t="s">
        <v>139</v>
      </c>
      <c r="AR299" t="s">
        <v>139</v>
      </c>
    </row>
    <row r="300" spans="1:44" x14ac:dyDescent="0.4">
      <c r="A300" s="3" t="s">
        <v>431</v>
      </c>
      <c r="B300">
        <v>453647.8</v>
      </c>
      <c r="C300">
        <v>135967.5</v>
      </c>
      <c r="D300">
        <v>74924.5</v>
      </c>
      <c r="E300" t="s">
        <v>139</v>
      </c>
      <c r="F300" t="s">
        <v>139</v>
      </c>
      <c r="G300">
        <v>61043.1</v>
      </c>
      <c r="H300" t="s">
        <v>139</v>
      </c>
      <c r="I300" t="s">
        <v>139</v>
      </c>
      <c r="J300">
        <v>317680.3</v>
      </c>
      <c r="K300">
        <v>113061.5</v>
      </c>
      <c r="L300">
        <v>74296</v>
      </c>
      <c r="M300" t="s">
        <v>139</v>
      </c>
      <c r="N300" t="s">
        <v>139</v>
      </c>
      <c r="O300" t="s">
        <v>139</v>
      </c>
      <c r="P300" t="s">
        <v>139</v>
      </c>
      <c r="Q300" t="s">
        <v>139</v>
      </c>
      <c r="R300" t="s">
        <v>139</v>
      </c>
      <c r="S300" t="s">
        <v>139</v>
      </c>
      <c r="T300" t="s">
        <v>139</v>
      </c>
      <c r="U300">
        <v>67941.8</v>
      </c>
      <c r="V300" s="6" t="s">
        <v>139</v>
      </c>
      <c r="W300" t="s">
        <v>139</v>
      </c>
      <c r="X300" t="s">
        <v>139</v>
      </c>
      <c r="Y300" t="s">
        <v>139</v>
      </c>
      <c r="Z300" t="s">
        <v>139</v>
      </c>
      <c r="AA300" t="s">
        <v>139</v>
      </c>
      <c r="AB300" t="s">
        <v>139</v>
      </c>
      <c r="AC300" t="s">
        <v>139</v>
      </c>
      <c r="AD300" t="s">
        <v>139</v>
      </c>
      <c r="AE300" t="s">
        <v>139</v>
      </c>
      <c r="AF300" t="s">
        <v>139</v>
      </c>
      <c r="AG300" t="s">
        <v>139</v>
      </c>
      <c r="AH300" s="9" t="s">
        <v>139</v>
      </c>
      <c r="AI300" t="s">
        <v>139</v>
      </c>
      <c r="AJ300" t="s">
        <v>139</v>
      </c>
      <c r="AK300" t="s">
        <v>139</v>
      </c>
      <c r="AL300" t="s">
        <v>139</v>
      </c>
      <c r="AM300" t="s">
        <v>139</v>
      </c>
      <c r="AN300" t="s">
        <v>139</v>
      </c>
      <c r="AO300" s="9" t="s">
        <v>139</v>
      </c>
      <c r="AP300" t="s">
        <v>139</v>
      </c>
      <c r="AQ300" t="s">
        <v>139</v>
      </c>
      <c r="AR300" t="s">
        <v>139</v>
      </c>
    </row>
    <row r="301" spans="1:44" x14ac:dyDescent="0.4">
      <c r="A301" s="3" t="s">
        <v>432</v>
      </c>
      <c r="B301">
        <v>458544.6</v>
      </c>
      <c r="C301">
        <v>137014.20000000001</v>
      </c>
      <c r="D301">
        <v>75052.7</v>
      </c>
      <c r="E301" t="s">
        <v>139</v>
      </c>
      <c r="F301" t="s">
        <v>139</v>
      </c>
      <c r="G301">
        <v>61961.5</v>
      </c>
      <c r="H301" t="s">
        <v>139</v>
      </c>
      <c r="I301" t="s">
        <v>139</v>
      </c>
      <c r="J301">
        <v>321530.40000000002</v>
      </c>
      <c r="K301">
        <v>114126.5</v>
      </c>
      <c r="L301">
        <v>75039.100000000006</v>
      </c>
      <c r="M301" t="s">
        <v>139</v>
      </c>
      <c r="N301" t="s">
        <v>139</v>
      </c>
      <c r="O301" t="s">
        <v>139</v>
      </c>
      <c r="P301" t="s">
        <v>139</v>
      </c>
      <c r="Q301" t="s">
        <v>139</v>
      </c>
      <c r="R301" t="s">
        <v>139</v>
      </c>
      <c r="S301" t="s">
        <v>139</v>
      </c>
      <c r="T301" t="s">
        <v>139</v>
      </c>
      <c r="U301">
        <v>68561.600000000006</v>
      </c>
      <c r="V301" s="6" t="s">
        <v>139</v>
      </c>
      <c r="W301" t="s">
        <v>139</v>
      </c>
      <c r="X301" t="s">
        <v>139</v>
      </c>
      <c r="Y301" t="s">
        <v>139</v>
      </c>
      <c r="Z301" t="s">
        <v>139</v>
      </c>
      <c r="AA301" t="s">
        <v>139</v>
      </c>
      <c r="AB301" t="s">
        <v>139</v>
      </c>
      <c r="AC301" t="s">
        <v>139</v>
      </c>
      <c r="AD301" t="s">
        <v>139</v>
      </c>
      <c r="AE301" t="s">
        <v>139</v>
      </c>
      <c r="AF301" t="s">
        <v>139</v>
      </c>
      <c r="AG301" t="s">
        <v>139</v>
      </c>
      <c r="AH301" s="9" t="s">
        <v>139</v>
      </c>
      <c r="AI301" t="s">
        <v>139</v>
      </c>
      <c r="AJ301" t="s">
        <v>139</v>
      </c>
      <c r="AK301" t="s">
        <v>139</v>
      </c>
      <c r="AL301" t="s">
        <v>139</v>
      </c>
      <c r="AM301" t="s">
        <v>139</v>
      </c>
      <c r="AN301" t="s">
        <v>139</v>
      </c>
      <c r="AO301" s="9" t="s">
        <v>139</v>
      </c>
      <c r="AP301" t="s">
        <v>139</v>
      </c>
      <c r="AQ301" t="s">
        <v>139</v>
      </c>
      <c r="AR301" t="s">
        <v>139</v>
      </c>
    </row>
    <row r="302" spans="1:44" x14ac:dyDescent="0.4">
      <c r="A302" s="3" t="s">
        <v>433</v>
      </c>
      <c r="B302">
        <v>462864.3</v>
      </c>
      <c r="C302">
        <v>139254.39999999999</v>
      </c>
      <c r="D302">
        <v>76637.600000000006</v>
      </c>
      <c r="E302" t="s">
        <v>139</v>
      </c>
      <c r="F302" t="s">
        <v>139</v>
      </c>
      <c r="G302">
        <v>62616.800000000003</v>
      </c>
      <c r="H302" t="s">
        <v>139</v>
      </c>
      <c r="I302" t="s">
        <v>139</v>
      </c>
      <c r="J302">
        <v>323609.90000000002</v>
      </c>
      <c r="K302">
        <v>114377.2</v>
      </c>
      <c r="L302">
        <v>76285.3</v>
      </c>
      <c r="M302" t="s">
        <v>139</v>
      </c>
      <c r="N302" t="s">
        <v>139</v>
      </c>
      <c r="O302" t="s">
        <v>139</v>
      </c>
      <c r="P302" t="s">
        <v>139</v>
      </c>
      <c r="Q302" t="s">
        <v>139</v>
      </c>
      <c r="R302" t="s">
        <v>139</v>
      </c>
      <c r="S302" t="s">
        <v>139</v>
      </c>
      <c r="T302" t="s">
        <v>139</v>
      </c>
      <c r="U302">
        <v>69246.5</v>
      </c>
      <c r="V302" s="6" t="s">
        <v>139</v>
      </c>
      <c r="W302" t="s">
        <v>139</v>
      </c>
      <c r="X302" t="s">
        <v>139</v>
      </c>
      <c r="Y302" t="s">
        <v>139</v>
      </c>
      <c r="Z302" t="s">
        <v>139</v>
      </c>
      <c r="AA302" t="s">
        <v>139</v>
      </c>
      <c r="AB302" t="s">
        <v>139</v>
      </c>
      <c r="AC302" t="s">
        <v>139</v>
      </c>
      <c r="AD302" t="s">
        <v>139</v>
      </c>
      <c r="AE302" t="s">
        <v>139</v>
      </c>
      <c r="AF302" t="s">
        <v>139</v>
      </c>
      <c r="AG302" t="s">
        <v>139</v>
      </c>
      <c r="AH302" s="9" t="s">
        <v>139</v>
      </c>
      <c r="AI302" t="s">
        <v>139</v>
      </c>
      <c r="AJ302" t="s">
        <v>139</v>
      </c>
      <c r="AK302" t="s">
        <v>139</v>
      </c>
      <c r="AL302" t="s">
        <v>139</v>
      </c>
      <c r="AM302" t="s">
        <v>139</v>
      </c>
      <c r="AN302" t="s">
        <v>139</v>
      </c>
      <c r="AO302" s="9" t="s">
        <v>139</v>
      </c>
      <c r="AP302" t="s">
        <v>139</v>
      </c>
      <c r="AQ302" t="s">
        <v>139</v>
      </c>
      <c r="AR302" t="s">
        <v>139</v>
      </c>
    </row>
    <row r="303" spans="1:44" x14ac:dyDescent="0.4">
      <c r="A303" s="3" t="s">
        <v>434</v>
      </c>
      <c r="B303">
        <v>464958.3</v>
      </c>
      <c r="C303">
        <v>138527.20000000001</v>
      </c>
      <c r="D303">
        <v>75589.7</v>
      </c>
      <c r="E303" t="s">
        <v>139</v>
      </c>
      <c r="F303" t="s">
        <v>139</v>
      </c>
      <c r="G303">
        <v>62937.5</v>
      </c>
      <c r="H303" t="s">
        <v>139</v>
      </c>
      <c r="I303" t="s">
        <v>139</v>
      </c>
      <c r="J303">
        <v>326431.2</v>
      </c>
      <c r="K303">
        <v>115680.2</v>
      </c>
      <c r="L303">
        <v>77042.7</v>
      </c>
      <c r="M303" t="s">
        <v>139</v>
      </c>
      <c r="N303" t="s">
        <v>139</v>
      </c>
      <c r="O303" t="s">
        <v>139</v>
      </c>
      <c r="P303" t="s">
        <v>139</v>
      </c>
      <c r="Q303" t="s">
        <v>139</v>
      </c>
      <c r="R303" t="s">
        <v>139</v>
      </c>
      <c r="S303" t="s">
        <v>139</v>
      </c>
      <c r="T303" t="s">
        <v>139</v>
      </c>
      <c r="U303">
        <v>69905.2</v>
      </c>
      <c r="V303" s="6" t="s">
        <v>139</v>
      </c>
      <c r="W303" t="s">
        <v>139</v>
      </c>
      <c r="X303" t="s">
        <v>139</v>
      </c>
      <c r="Y303" t="s">
        <v>139</v>
      </c>
      <c r="Z303" t="s">
        <v>139</v>
      </c>
      <c r="AA303" t="s">
        <v>139</v>
      </c>
      <c r="AB303" t="s">
        <v>139</v>
      </c>
      <c r="AC303" t="s">
        <v>139</v>
      </c>
      <c r="AD303" t="s">
        <v>139</v>
      </c>
      <c r="AE303" t="s">
        <v>139</v>
      </c>
      <c r="AF303" t="s">
        <v>139</v>
      </c>
      <c r="AG303" t="s">
        <v>139</v>
      </c>
      <c r="AH303" s="9" t="s">
        <v>139</v>
      </c>
      <c r="AI303" t="s">
        <v>139</v>
      </c>
      <c r="AJ303" t="s">
        <v>139</v>
      </c>
      <c r="AK303" t="s">
        <v>139</v>
      </c>
      <c r="AL303" t="s">
        <v>139</v>
      </c>
      <c r="AM303" t="s">
        <v>139</v>
      </c>
      <c r="AN303" t="s">
        <v>139</v>
      </c>
      <c r="AO303" s="9" t="s">
        <v>139</v>
      </c>
      <c r="AP303" t="s">
        <v>139</v>
      </c>
      <c r="AQ303" t="s">
        <v>139</v>
      </c>
      <c r="AR303" t="s">
        <v>139</v>
      </c>
    </row>
    <row r="304" spans="1:44" x14ac:dyDescent="0.4">
      <c r="A304" s="3" t="s">
        <v>435</v>
      </c>
      <c r="B304">
        <v>469772.79999999999</v>
      </c>
      <c r="C304">
        <v>139743.20000000001</v>
      </c>
      <c r="D304">
        <v>76113.899999999994</v>
      </c>
      <c r="E304" t="s">
        <v>139</v>
      </c>
      <c r="F304" t="s">
        <v>139</v>
      </c>
      <c r="G304">
        <v>63629.3</v>
      </c>
      <c r="H304" t="s">
        <v>139</v>
      </c>
      <c r="I304" t="s">
        <v>139</v>
      </c>
      <c r="J304">
        <v>330029.59999999998</v>
      </c>
      <c r="K304">
        <v>116674.5</v>
      </c>
      <c r="L304">
        <v>77989.600000000006</v>
      </c>
      <c r="M304" t="s">
        <v>139</v>
      </c>
      <c r="N304" t="s">
        <v>139</v>
      </c>
      <c r="O304" t="s">
        <v>139</v>
      </c>
      <c r="P304" t="s">
        <v>139</v>
      </c>
      <c r="Q304" t="s">
        <v>139</v>
      </c>
      <c r="R304" t="s">
        <v>139</v>
      </c>
      <c r="S304" t="s">
        <v>139</v>
      </c>
      <c r="T304" t="s">
        <v>139</v>
      </c>
      <c r="U304">
        <v>70795.199999999997</v>
      </c>
      <c r="V304" s="6" t="s">
        <v>139</v>
      </c>
      <c r="W304" t="s">
        <v>139</v>
      </c>
      <c r="X304" t="s">
        <v>139</v>
      </c>
      <c r="Y304" t="s">
        <v>139</v>
      </c>
      <c r="Z304" t="s">
        <v>139</v>
      </c>
      <c r="AA304" t="s">
        <v>139</v>
      </c>
      <c r="AB304" t="s">
        <v>139</v>
      </c>
      <c r="AC304" t="s">
        <v>139</v>
      </c>
      <c r="AD304" t="s">
        <v>139</v>
      </c>
      <c r="AE304" t="s">
        <v>139</v>
      </c>
      <c r="AF304" t="s">
        <v>139</v>
      </c>
      <c r="AG304" t="s">
        <v>139</v>
      </c>
      <c r="AH304" s="9" t="s">
        <v>139</v>
      </c>
      <c r="AI304" t="s">
        <v>139</v>
      </c>
      <c r="AJ304" t="s">
        <v>139</v>
      </c>
      <c r="AK304" t="s">
        <v>139</v>
      </c>
      <c r="AL304" t="s">
        <v>139</v>
      </c>
      <c r="AM304" t="s">
        <v>139</v>
      </c>
      <c r="AN304" t="s">
        <v>139</v>
      </c>
      <c r="AO304" s="9" t="s">
        <v>139</v>
      </c>
      <c r="AP304" t="s">
        <v>139</v>
      </c>
      <c r="AQ304" t="s">
        <v>139</v>
      </c>
      <c r="AR304" t="s">
        <v>139</v>
      </c>
    </row>
    <row r="305" spans="1:46" x14ac:dyDescent="0.4">
      <c r="A305" s="3" t="s">
        <v>436</v>
      </c>
      <c r="B305">
        <v>473487.7</v>
      </c>
      <c r="C305">
        <v>141110.39999999999</v>
      </c>
      <c r="D305">
        <v>76674.600000000006</v>
      </c>
      <c r="E305" t="s">
        <v>139</v>
      </c>
      <c r="F305" t="s">
        <v>139</v>
      </c>
      <c r="G305">
        <v>64435.7</v>
      </c>
      <c r="H305" t="s">
        <v>139</v>
      </c>
      <c r="I305" t="s">
        <v>139</v>
      </c>
      <c r="J305">
        <v>332377.3</v>
      </c>
      <c r="K305">
        <v>117268</v>
      </c>
      <c r="L305">
        <v>78977.3</v>
      </c>
      <c r="M305" t="s">
        <v>139</v>
      </c>
      <c r="N305" t="s">
        <v>139</v>
      </c>
      <c r="O305" t="s">
        <v>139</v>
      </c>
      <c r="P305" t="s">
        <v>139</v>
      </c>
      <c r="Q305" t="s">
        <v>139</v>
      </c>
      <c r="R305" t="s">
        <v>139</v>
      </c>
      <c r="S305" t="s">
        <v>139</v>
      </c>
      <c r="T305" t="s">
        <v>139</v>
      </c>
      <c r="U305">
        <v>71570.8</v>
      </c>
      <c r="V305" s="6" t="s">
        <v>139</v>
      </c>
      <c r="W305" t="s">
        <v>139</v>
      </c>
      <c r="X305" t="s">
        <v>139</v>
      </c>
      <c r="Y305" t="s">
        <v>139</v>
      </c>
      <c r="Z305" t="s">
        <v>139</v>
      </c>
      <c r="AA305" t="s">
        <v>139</v>
      </c>
      <c r="AB305" t="s">
        <v>139</v>
      </c>
      <c r="AC305" t="s">
        <v>139</v>
      </c>
      <c r="AD305" t="s">
        <v>139</v>
      </c>
      <c r="AE305" t="s">
        <v>139</v>
      </c>
      <c r="AF305" t="s">
        <v>139</v>
      </c>
      <c r="AG305" t="s">
        <v>139</v>
      </c>
      <c r="AH305" s="9" t="s">
        <v>139</v>
      </c>
      <c r="AI305" t="s">
        <v>139</v>
      </c>
      <c r="AJ305" t="s">
        <v>139</v>
      </c>
      <c r="AK305" t="s">
        <v>139</v>
      </c>
      <c r="AL305" t="s">
        <v>139</v>
      </c>
      <c r="AM305" t="s">
        <v>139</v>
      </c>
      <c r="AN305" t="s">
        <v>139</v>
      </c>
      <c r="AO305" s="9" t="s">
        <v>139</v>
      </c>
      <c r="AP305" t="s">
        <v>139</v>
      </c>
      <c r="AQ305" t="s">
        <v>139</v>
      </c>
      <c r="AR305" t="s">
        <v>139</v>
      </c>
    </row>
    <row r="306" spans="1:46" x14ac:dyDescent="0.4">
      <c r="A306" s="3" t="s">
        <v>437</v>
      </c>
      <c r="B306">
        <v>479615.9</v>
      </c>
      <c r="C306">
        <v>143901.9</v>
      </c>
      <c r="D306">
        <v>78968.2</v>
      </c>
      <c r="E306" t="s">
        <v>139</v>
      </c>
      <c r="F306" t="s">
        <v>139</v>
      </c>
      <c r="G306">
        <v>64933.7</v>
      </c>
      <c r="H306" t="s">
        <v>139</v>
      </c>
      <c r="I306" t="s">
        <v>139</v>
      </c>
      <c r="J306">
        <v>335714</v>
      </c>
      <c r="K306">
        <v>117810.4</v>
      </c>
      <c r="L306">
        <v>79879.100000000006</v>
      </c>
      <c r="M306" t="s">
        <v>139</v>
      </c>
      <c r="N306" t="s">
        <v>139</v>
      </c>
      <c r="O306" t="s">
        <v>139</v>
      </c>
      <c r="P306" t="s">
        <v>139</v>
      </c>
      <c r="Q306" t="s">
        <v>139</v>
      </c>
      <c r="R306" t="s">
        <v>139</v>
      </c>
      <c r="S306" t="s">
        <v>139</v>
      </c>
      <c r="T306" t="s">
        <v>139</v>
      </c>
      <c r="U306">
        <v>72494.2</v>
      </c>
      <c r="V306" s="6" t="s">
        <v>139</v>
      </c>
      <c r="W306" t="s">
        <v>139</v>
      </c>
      <c r="X306" t="s">
        <v>139</v>
      </c>
      <c r="Y306" t="s">
        <v>139</v>
      </c>
      <c r="Z306" t="s">
        <v>139</v>
      </c>
      <c r="AA306" t="s">
        <v>139</v>
      </c>
      <c r="AB306" t="s">
        <v>139</v>
      </c>
      <c r="AC306" t="s">
        <v>139</v>
      </c>
      <c r="AD306" t="s">
        <v>139</v>
      </c>
      <c r="AE306" t="s">
        <v>139</v>
      </c>
      <c r="AF306" t="s">
        <v>139</v>
      </c>
      <c r="AG306" t="s">
        <v>139</v>
      </c>
      <c r="AH306" s="9" t="s">
        <v>139</v>
      </c>
      <c r="AI306" t="s">
        <v>139</v>
      </c>
      <c r="AJ306" t="s">
        <v>139</v>
      </c>
      <c r="AK306" t="s">
        <v>139</v>
      </c>
      <c r="AL306" t="s">
        <v>139</v>
      </c>
      <c r="AM306" t="s">
        <v>139</v>
      </c>
      <c r="AN306" t="s">
        <v>139</v>
      </c>
      <c r="AO306" s="9" t="s">
        <v>139</v>
      </c>
      <c r="AP306" t="s">
        <v>139</v>
      </c>
      <c r="AQ306" t="s">
        <v>139</v>
      </c>
      <c r="AR306" t="s">
        <v>139</v>
      </c>
    </row>
    <row r="307" spans="1:46" x14ac:dyDescent="0.4">
      <c r="A307" s="3" t="s">
        <v>438</v>
      </c>
      <c r="B307">
        <v>487509.9</v>
      </c>
      <c r="C307">
        <v>147347.70000000001</v>
      </c>
      <c r="D307">
        <v>81527.8</v>
      </c>
      <c r="E307" t="s">
        <v>139</v>
      </c>
      <c r="F307" t="s">
        <v>139</v>
      </c>
      <c r="G307">
        <v>65819.899999999994</v>
      </c>
      <c r="H307" t="s">
        <v>139</v>
      </c>
      <c r="I307" t="s">
        <v>139</v>
      </c>
      <c r="J307">
        <v>340162.2</v>
      </c>
      <c r="K307">
        <v>117796.1</v>
      </c>
      <c r="L307">
        <v>79984.3</v>
      </c>
      <c r="M307" t="s">
        <v>139</v>
      </c>
      <c r="N307" t="s">
        <v>139</v>
      </c>
      <c r="O307" t="s">
        <v>139</v>
      </c>
      <c r="P307" t="s">
        <v>139</v>
      </c>
      <c r="Q307" t="s">
        <v>139</v>
      </c>
      <c r="R307" t="s">
        <v>139</v>
      </c>
      <c r="S307" t="s">
        <v>139</v>
      </c>
      <c r="T307" t="s">
        <v>139</v>
      </c>
      <c r="U307">
        <v>73166.899999999994</v>
      </c>
      <c r="V307" s="6" t="s">
        <v>139</v>
      </c>
      <c r="W307" t="s">
        <v>139</v>
      </c>
      <c r="X307" t="s">
        <v>139</v>
      </c>
      <c r="Y307" t="s">
        <v>139</v>
      </c>
      <c r="Z307" t="s">
        <v>139</v>
      </c>
      <c r="AA307" t="s">
        <v>139</v>
      </c>
      <c r="AB307" t="s">
        <v>139</v>
      </c>
      <c r="AC307" t="s">
        <v>139</v>
      </c>
      <c r="AD307" t="s">
        <v>139</v>
      </c>
      <c r="AE307" t="s">
        <v>139</v>
      </c>
      <c r="AF307" t="s">
        <v>139</v>
      </c>
      <c r="AG307" t="s">
        <v>139</v>
      </c>
      <c r="AH307" s="9" t="s">
        <v>139</v>
      </c>
      <c r="AI307" t="s">
        <v>139</v>
      </c>
      <c r="AJ307" t="s">
        <v>139</v>
      </c>
      <c r="AK307" t="s">
        <v>139</v>
      </c>
      <c r="AL307" t="s">
        <v>139</v>
      </c>
      <c r="AM307" t="s">
        <v>139</v>
      </c>
      <c r="AN307" t="s">
        <v>139</v>
      </c>
      <c r="AO307" s="9" t="s">
        <v>139</v>
      </c>
      <c r="AP307" t="s">
        <v>139</v>
      </c>
      <c r="AQ307" t="s">
        <v>139</v>
      </c>
      <c r="AR307" t="s">
        <v>139</v>
      </c>
    </row>
    <row r="308" spans="1:46" x14ac:dyDescent="0.4">
      <c r="A308" s="3" t="s">
        <v>439</v>
      </c>
      <c r="B308">
        <v>490729.6</v>
      </c>
      <c r="C308">
        <v>148575.20000000001</v>
      </c>
      <c r="D308">
        <v>82013.100000000006</v>
      </c>
      <c r="E308" t="s">
        <v>139</v>
      </c>
      <c r="F308" t="s">
        <v>139</v>
      </c>
      <c r="G308">
        <v>66562.100000000006</v>
      </c>
      <c r="H308" t="s">
        <v>139</v>
      </c>
      <c r="I308" t="s">
        <v>139</v>
      </c>
      <c r="J308">
        <v>342154.5</v>
      </c>
      <c r="K308">
        <v>118164.5</v>
      </c>
      <c r="L308">
        <v>81262.5</v>
      </c>
      <c r="M308" t="s">
        <v>139</v>
      </c>
      <c r="N308" t="s">
        <v>139</v>
      </c>
      <c r="O308" t="s">
        <v>139</v>
      </c>
      <c r="P308" t="s">
        <v>139</v>
      </c>
      <c r="Q308" t="s">
        <v>139</v>
      </c>
      <c r="R308" t="s">
        <v>139</v>
      </c>
      <c r="S308" t="s">
        <v>139</v>
      </c>
      <c r="T308" t="s">
        <v>139</v>
      </c>
      <c r="U308">
        <v>73949.100000000006</v>
      </c>
      <c r="V308" s="6" t="s">
        <v>139</v>
      </c>
      <c r="W308" t="s">
        <v>139</v>
      </c>
      <c r="X308" t="s">
        <v>139</v>
      </c>
      <c r="Y308" t="s">
        <v>139</v>
      </c>
      <c r="Z308" t="s">
        <v>139</v>
      </c>
      <c r="AA308" t="s">
        <v>139</v>
      </c>
      <c r="AB308" t="s">
        <v>139</v>
      </c>
      <c r="AC308" t="s">
        <v>139</v>
      </c>
      <c r="AD308" t="s">
        <v>139</v>
      </c>
      <c r="AE308" t="s">
        <v>139</v>
      </c>
      <c r="AF308" t="s">
        <v>139</v>
      </c>
      <c r="AG308" t="s">
        <v>139</v>
      </c>
      <c r="AH308" s="9" t="s">
        <v>139</v>
      </c>
      <c r="AI308" t="s">
        <v>139</v>
      </c>
      <c r="AJ308" t="s">
        <v>139</v>
      </c>
      <c r="AK308" t="s">
        <v>139</v>
      </c>
      <c r="AL308" t="s">
        <v>139</v>
      </c>
      <c r="AM308" t="s">
        <v>139</v>
      </c>
      <c r="AN308" t="s">
        <v>139</v>
      </c>
      <c r="AO308" s="9" t="s">
        <v>139</v>
      </c>
      <c r="AP308" t="s">
        <v>139</v>
      </c>
      <c r="AQ308" t="s">
        <v>139</v>
      </c>
      <c r="AR308" t="s">
        <v>139</v>
      </c>
    </row>
    <row r="309" spans="1:46" x14ac:dyDescent="0.4">
      <c r="A309" s="3" t="s">
        <v>440</v>
      </c>
      <c r="B309">
        <v>493992.2</v>
      </c>
      <c r="C309">
        <v>148414.6</v>
      </c>
      <c r="D309">
        <v>81046.3</v>
      </c>
      <c r="E309" t="s">
        <v>139</v>
      </c>
      <c r="F309" t="s">
        <v>139</v>
      </c>
      <c r="G309">
        <v>67368.2</v>
      </c>
      <c r="H309" t="s">
        <v>139</v>
      </c>
      <c r="I309" t="s">
        <v>139</v>
      </c>
      <c r="J309">
        <v>345577.7</v>
      </c>
      <c r="K309">
        <v>118898.2</v>
      </c>
      <c r="L309">
        <v>83094.7</v>
      </c>
      <c r="M309" t="s">
        <v>139</v>
      </c>
      <c r="N309" t="s">
        <v>139</v>
      </c>
      <c r="O309" t="s">
        <v>139</v>
      </c>
      <c r="P309" t="s">
        <v>139</v>
      </c>
      <c r="Q309" t="s">
        <v>139</v>
      </c>
      <c r="R309" t="s">
        <v>139</v>
      </c>
      <c r="S309" t="s">
        <v>139</v>
      </c>
      <c r="T309" t="s">
        <v>139</v>
      </c>
      <c r="U309">
        <v>74970.2</v>
      </c>
      <c r="V309" s="6" t="s">
        <v>139</v>
      </c>
      <c r="W309" t="s">
        <v>139</v>
      </c>
      <c r="X309" t="s">
        <v>139</v>
      </c>
      <c r="Y309" t="s">
        <v>139</v>
      </c>
      <c r="Z309" t="s">
        <v>139</v>
      </c>
      <c r="AA309" t="s">
        <v>139</v>
      </c>
      <c r="AB309" t="s">
        <v>139</v>
      </c>
      <c r="AC309" t="s">
        <v>139</v>
      </c>
      <c r="AD309" t="s">
        <v>139</v>
      </c>
      <c r="AE309" t="s">
        <v>139</v>
      </c>
      <c r="AF309" t="s">
        <v>139</v>
      </c>
      <c r="AG309" t="s">
        <v>139</v>
      </c>
      <c r="AH309" s="9" t="s">
        <v>139</v>
      </c>
      <c r="AI309" t="s">
        <v>139</v>
      </c>
      <c r="AJ309" t="s">
        <v>139</v>
      </c>
      <c r="AK309" t="s">
        <v>139</v>
      </c>
      <c r="AL309" t="s">
        <v>139</v>
      </c>
      <c r="AM309" t="s">
        <v>139</v>
      </c>
      <c r="AN309" t="s">
        <v>139</v>
      </c>
      <c r="AO309" s="9" t="s">
        <v>139</v>
      </c>
      <c r="AP309" t="s">
        <v>139</v>
      </c>
      <c r="AQ309" t="s">
        <v>139</v>
      </c>
      <c r="AR309" t="s">
        <v>139</v>
      </c>
    </row>
    <row r="310" spans="1:46" x14ac:dyDescent="0.4">
      <c r="A310" s="3" t="s">
        <v>441</v>
      </c>
      <c r="B310">
        <v>502059</v>
      </c>
      <c r="C310">
        <v>151310.6</v>
      </c>
      <c r="D310">
        <v>82654.5</v>
      </c>
      <c r="E310" t="s">
        <v>139</v>
      </c>
      <c r="F310" t="s">
        <v>139</v>
      </c>
      <c r="G310">
        <v>68656.2</v>
      </c>
      <c r="H310" t="s">
        <v>139</v>
      </c>
      <c r="I310" t="s">
        <v>139</v>
      </c>
      <c r="J310">
        <v>350748.4</v>
      </c>
      <c r="K310">
        <v>119691</v>
      </c>
      <c r="L310">
        <v>84428.9</v>
      </c>
      <c r="M310" t="s">
        <v>139</v>
      </c>
      <c r="N310" t="s">
        <v>139</v>
      </c>
      <c r="O310" t="s">
        <v>139</v>
      </c>
      <c r="P310" t="s">
        <v>139</v>
      </c>
      <c r="Q310" t="s">
        <v>139</v>
      </c>
      <c r="R310" t="s">
        <v>139</v>
      </c>
      <c r="S310" t="s">
        <v>139</v>
      </c>
      <c r="T310" t="s">
        <v>139</v>
      </c>
      <c r="U310">
        <v>76114.5</v>
      </c>
      <c r="V310" s="6" t="s">
        <v>139</v>
      </c>
      <c r="W310" t="s">
        <v>139</v>
      </c>
      <c r="X310" t="s">
        <v>139</v>
      </c>
      <c r="Y310" t="s">
        <v>139</v>
      </c>
      <c r="Z310" t="s">
        <v>139</v>
      </c>
      <c r="AA310" t="s">
        <v>139</v>
      </c>
      <c r="AB310" t="s">
        <v>139</v>
      </c>
      <c r="AC310" t="s">
        <v>139</v>
      </c>
      <c r="AD310" t="s">
        <v>139</v>
      </c>
      <c r="AE310" t="s">
        <v>139</v>
      </c>
      <c r="AF310" t="s">
        <v>139</v>
      </c>
      <c r="AG310" t="s">
        <v>139</v>
      </c>
      <c r="AH310" s="9" t="s">
        <v>139</v>
      </c>
      <c r="AI310" t="s">
        <v>139</v>
      </c>
      <c r="AJ310" t="s">
        <v>139</v>
      </c>
      <c r="AK310" t="s">
        <v>139</v>
      </c>
      <c r="AL310" t="s">
        <v>139</v>
      </c>
      <c r="AM310" t="s">
        <v>139</v>
      </c>
      <c r="AN310" t="s">
        <v>139</v>
      </c>
      <c r="AO310" s="9" t="s">
        <v>139</v>
      </c>
      <c r="AP310" t="s">
        <v>139</v>
      </c>
      <c r="AQ310" t="s">
        <v>139</v>
      </c>
      <c r="AR310" t="s">
        <v>139</v>
      </c>
    </row>
    <row r="311" spans="1:46" x14ac:dyDescent="0.4">
      <c r="A311" s="3" t="s">
        <v>442</v>
      </c>
      <c r="B311">
        <v>508719.7</v>
      </c>
      <c r="C311">
        <v>152536.1</v>
      </c>
      <c r="D311">
        <v>82953.100000000006</v>
      </c>
      <c r="E311" t="s">
        <v>139</v>
      </c>
      <c r="F311" t="s">
        <v>139</v>
      </c>
      <c r="G311">
        <v>69583</v>
      </c>
      <c r="H311" t="s">
        <v>139</v>
      </c>
      <c r="I311" t="s">
        <v>139</v>
      </c>
      <c r="J311">
        <v>356183.6</v>
      </c>
      <c r="K311">
        <v>121231.9</v>
      </c>
      <c r="L311">
        <v>85836</v>
      </c>
      <c r="M311" t="s">
        <v>139</v>
      </c>
      <c r="N311" t="s">
        <v>139</v>
      </c>
      <c r="O311" t="s">
        <v>139</v>
      </c>
      <c r="P311" t="s">
        <v>139</v>
      </c>
      <c r="Q311" t="s">
        <v>139</v>
      </c>
      <c r="R311" t="s">
        <v>139</v>
      </c>
      <c r="S311" t="s">
        <v>139</v>
      </c>
      <c r="T311" t="s">
        <v>139</v>
      </c>
      <c r="U311">
        <v>77056.7</v>
      </c>
      <c r="V311" s="6" t="s">
        <v>139</v>
      </c>
      <c r="W311" t="s">
        <v>139</v>
      </c>
      <c r="X311" t="s">
        <v>139</v>
      </c>
      <c r="Y311" t="s">
        <v>139</v>
      </c>
      <c r="Z311" t="s">
        <v>139</v>
      </c>
      <c r="AA311" t="s">
        <v>139</v>
      </c>
      <c r="AB311" t="s">
        <v>139</v>
      </c>
      <c r="AC311" t="s">
        <v>139</v>
      </c>
      <c r="AD311" t="s">
        <v>139</v>
      </c>
      <c r="AE311" t="s">
        <v>139</v>
      </c>
      <c r="AF311" t="s">
        <v>139</v>
      </c>
      <c r="AG311" t="s">
        <v>139</v>
      </c>
      <c r="AH311" s="9" t="s">
        <v>139</v>
      </c>
      <c r="AI311" t="s">
        <v>139</v>
      </c>
      <c r="AJ311" t="s">
        <v>139</v>
      </c>
      <c r="AK311" t="s">
        <v>139</v>
      </c>
      <c r="AL311" t="s">
        <v>139</v>
      </c>
      <c r="AM311" t="s">
        <v>139</v>
      </c>
      <c r="AN311" t="s">
        <v>139</v>
      </c>
      <c r="AO311" s="9" t="s">
        <v>139</v>
      </c>
      <c r="AP311" t="s">
        <v>139</v>
      </c>
      <c r="AQ311" t="s">
        <v>139</v>
      </c>
      <c r="AR311" t="s">
        <v>139</v>
      </c>
    </row>
    <row r="312" spans="1:46" x14ac:dyDescent="0.4">
      <c r="A312" s="3" t="s">
        <v>443</v>
      </c>
      <c r="B312">
        <v>513156</v>
      </c>
      <c r="C312">
        <v>151749.1</v>
      </c>
      <c r="D312">
        <v>81571</v>
      </c>
      <c r="E312" t="s">
        <v>139</v>
      </c>
      <c r="F312" t="s">
        <v>139</v>
      </c>
      <c r="G312">
        <v>70178</v>
      </c>
      <c r="H312" t="s">
        <v>139</v>
      </c>
      <c r="I312" t="s">
        <v>139</v>
      </c>
      <c r="J312">
        <v>361406.9</v>
      </c>
      <c r="K312">
        <v>122692</v>
      </c>
      <c r="L312">
        <v>87194.9</v>
      </c>
      <c r="M312" t="s">
        <v>139</v>
      </c>
      <c r="N312" t="s">
        <v>139</v>
      </c>
      <c r="O312" t="s">
        <v>139</v>
      </c>
      <c r="P312" t="s">
        <v>139</v>
      </c>
      <c r="Q312" t="s">
        <v>139</v>
      </c>
      <c r="R312" t="s">
        <v>139</v>
      </c>
      <c r="S312" t="s">
        <v>139</v>
      </c>
      <c r="T312" t="s">
        <v>139</v>
      </c>
      <c r="U312">
        <v>78110</v>
      </c>
      <c r="V312" s="6" t="s">
        <v>139</v>
      </c>
      <c r="W312" t="s">
        <v>139</v>
      </c>
      <c r="X312" t="s">
        <v>139</v>
      </c>
      <c r="Y312" t="s">
        <v>139</v>
      </c>
      <c r="Z312" t="s">
        <v>139</v>
      </c>
      <c r="AA312" t="s">
        <v>139</v>
      </c>
      <c r="AB312" t="s">
        <v>139</v>
      </c>
      <c r="AC312" t="s">
        <v>139</v>
      </c>
      <c r="AD312" t="s">
        <v>139</v>
      </c>
      <c r="AE312" t="s">
        <v>139</v>
      </c>
      <c r="AF312" t="s">
        <v>139</v>
      </c>
      <c r="AG312" t="s">
        <v>139</v>
      </c>
      <c r="AH312" s="9" t="s">
        <v>139</v>
      </c>
      <c r="AI312" t="s">
        <v>139</v>
      </c>
      <c r="AJ312" t="s">
        <v>139</v>
      </c>
      <c r="AK312" t="s">
        <v>139</v>
      </c>
      <c r="AL312" t="s">
        <v>139</v>
      </c>
      <c r="AM312" t="s">
        <v>139</v>
      </c>
      <c r="AN312" t="s">
        <v>139</v>
      </c>
      <c r="AO312" s="9" t="s">
        <v>139</v>
      </c>
      <c r="AP312" t="s">
        <v>139</v>
      </c>
      <c r="AQ312" t="s">
        <v>139</v>
      </c>
      <c r="AR312" t="s">
        <v>139</v>
      </c>
    </row>
    <row r="313" spans="1:46" x14ac:dyDescent="0.4">
      <c r="A313" s="3" t="s">
        <v>444</v>
      </c>
      <c r="B313">
        <v>518106.3</v>
      </c>
      <c r="C313">
        <v>151387.6</v>
      </c>
      <c r="D313">
        <v>80760.100000000006</v>
      </c>
      <c r="E313" t="s">
        <v>139</v>
      </c>
      <c r="F313" t="s">
        <v>139</v>
      </c>
      <c r="G313">
        <v>70627.5</v>
      </c>
      <c r="H313" t="s">
        <v>139</v>
      </c>
      <c r="I313" t="s">
        <v>139</v>
      </c>
      <c r="J313">
        <v>366718.7</v>
      </c>
      <c r="K313">
        <v>123767.2</v>
      </c>
      <c r="L313">
        <v>88249.8</v>
      </c>
      <c r="M313" t="s">
        <v>139</v>
      </c>
      <c r="N313" t="s">
        <v>139</v>
      </c>
      <c r="O313" t="s">
        <v>139</v>
      </c>
      <c r="P313" t="s">
        <v>139</v>
      </c>
      <c r="Q313" t="s">
        <v>139</v>
      </c>
      <c r="R313" t="s">
        <v>139</v>
      </c>
      <c r="S313" t="s">
        <v>139</v>
      </c>
      <c r="T313" t="s">
        <v>139</v>
      </c>
      <c r="U313">
        <v>78954.8</v>
      </c>
      <c r="V313" s="6" t="s">
        <v>139</v>
      </c>
      <c r="W313" t="s">
        <v>139</v>
      </c>
      <c r="X313" t="s">
        <v>139</v>
      </c>
      <c r="Y313" t="s">
        <v>139</v>
      </c>
      <c r="Z313" t="s">
        <v>139</v>
      </c>
      <c r="AA313" t="s">
        <v>139</v>
      </c>
      <c r="AB313" t="s">
        <v>139</v>
      </c>
      <c r="AC313" t="s">
        <v>139</v>
      </c>
      <c r="AD313" t="s">
        <v>139</v>
      </c>
      <c r="AE313" t="s">
        <v>139</v>
      </c>
      <c r="AF313" t="s">
        <v>139</v>
      </c>
      <c r="AG313" t="s">
        <v>139</v>
      </c>
      <c r="AH313" s="9" t="s">
        <v>139</v>
      </c>
      <c r="AI313" t="s">
        <v>139</v>
      </c>
      <c r="AJ313" t="s">
        <v>139</v>
      </c>
      <c r="AK313" t="s">
        <v>139</v>
      </c>
      <c r="AL313" t="s">
        <v>139</v>
      </c>
      <c r="AM313" t="s">
        <v>139</v>
      </c>
      <c r="AN313" t="s">
        <v>139</v>
      </c>
      <c r="AO313" s="9" t="s">
        <v>139</v>
      </c>
      <c r="AP313" t="s">
        <v>139</v>
      </c>
      <c r="AQ313" t="s">
        <v>139</v>
      </c>
      <c r="AR313" t="s">
        <v>139</v>
      </c>
    </row>
    <row r="314" spans="1:46" x14ac:dyDescent="0.4">
      <c r="A314" s="3" t="s">
        <v>445</v>
      </c>
      <c r="B314">
        <v>522171</v>
      </c>
      <c r="C314">
        <v>150710.29999999999</v>
      </c>
      <c r="D314">
        <v>79781.899999999994</v>
      </c>
      <c r="E314" t="s">
        <v>139</v>
      </c>
      <c r="F314" t="s">
        <v>139</v>
      </c>
      <c r="G314">
        <v>70928.399999999994</v>
      </c>
      <c r="H314" t="s">
        <v>139</v>
      </c>
      <c r="I314" t="s">
        <v>139</v>
      </c>
      <c r="J314">
        <v>371460.7</v>
      </c>
      <c r="K314">
        <v>124681.7</v>
      </c>
      <c r="L314">
        <v>89795.5</v>
      </c>
      <c r="M314" t="s">
        <v>139</v>
      </c>
      <c r="N314" t="s">
        <v>139</v>
      </c>
      <c r="O314" t="s">
        <v>139</v>
      </c>
      <c r="P314" t="s">
        <v>139</v>
      </c>
      <c r="Q314" t="s">
        <v>139</v>
      </c>
      <c r="R314" t="s">
        <v>139</v>
      </c>
      <c r="S314" t="s">
        <v>139</v>
      </c>
      <c r="T314" t="s">
        <v>139</v>
      </c>
      <c r="U314">
        <v>80119.199999999997</v>
      </c>
      <c r="V314" s="6" t="s">
        <v>139</v>
      </c>
      <c r="W314" t="s">
        <v>139</v>
      </c>
      <c r="X314" t="s">
        <v>139</v>
      </c>
      <c r="Y314" t="s">
        <v>139</v>
      </c>
      <c r="Z314" t="s">
        <v>139</v>
      </c>
      <c r="AA314" t="s">
        <v>139</v>
      </c>
      <c r="AB314" t="s">
        <v>139</v>
      </c>
      <c r="AC314" t="s">
        <v>139</v>
      </c>
      <c r="AD314" t="s">
        <v>139</v>
      </c>
      <c r="AE314" t="s">
        <v>139</v>
      </c>
      <c r="AF314" t="s">
        <v>139</v>
      </c>
      <c r="AG314" t="s">
        <v>139</v>
      </c>
      <c r="AH314" s="9" t="s">
        <v>139</v>
      </c>
      <c r="AI314" t="s">
        <v>139</v>
      </c>
      <c r="AJ314" t="s">
        <v>139</v>
      </c>
      <c r="AK314" t="s">
        <v>139</v>
      </c>
      <c r="AL314" t="s">
        <v>139</v>
      </c>
      <c r="AM314" t="s">
        <v>139</v>
      </c>
      <c r="AN314" t="s">
        <v>139</v>
      </c>
      <c r="AO314" s="9" t="s">
        <v>139</v>
      </c>
      <c r="AP314" t="s">
        <v>139</v>
      </c>
      <c r="AQ314" t="s">
        <v>139</v>
      </c>
      <c r="AR314" t="s">
        <v>139</v>
      </c>
    </row>
    <row r="315" spans="1:46" x14ac:dyDescent="0.4">
      <c r="A315" s="3" t="s">
        <v>446</v>
      </c>
      <c r="B315">
        <v>526600.30000000005</v>
      </c>
      <c r="C315">
        <v>151374.5</v>
      </c>
      <c r="D315">
        <v>79846.7</v>
      </c>
      <c r="E315" t="s">
        <v>139</v>
      </c>
      <c r="F315" t="s">
        <v>139</v>
      </c>
      <c r="G315">
        <v>71527.7</v>
      </c>
      <c r="H315" t="s">
        <v>139</v>
      </c>
      <c r="I315" t="s">
        <v>139</v>
      </c>
      <c r="J315">
        <v>375225.8</v>
      </c>
      <c r="K315">
        <v>126008.3</v>
      </c>
      <c r="L315">
        <v>91426</v>
      </c>
      <c r="M315" t="s">
        <v>139</v>
      </c>
      <c r="N315" t="s">
        <v>139</v>
      </c>
      <c r="O315" t="s">
        <v>139</v>
      </c>
      <c r="P315" t="s">
        <v>139</v>
      </c>
      <c r="Q315" t="s">
        <v>139</v>
      </c>
      <c r="R315" t="s">
        <v>139</v>
      </c>
      <c r="S315" t="s">
        <v>139</v>
      </c>
      <c r="T315" t="s">
        <v>139</v>
      </c>
      <c r="U315">
        <v>81402.2</v>
      </c>
      <c r="V315" s="6" t="s">
        <v>139</v>
      </c>
      <c r="W315" t="s">
        <v>139</v>
      </c>
      <c r="X315" t="s">
        <v>139</v>
      </c>
      <c r="Y315" t="s">
        <v>139</v>
      </c>
      <c r="Z315" t="s">
        <v>139</v>
      </c>
      <c r="AA315" t="s">
        <v>139</v>
      </c>
      <c r="AB315" t="s">
        <v>139</v>
      </c>
      <c r="AC315" t="s">
        <v>139</v>
      </c>
      <c r="AD315" t="s">
        <v>139</v>
      </c>
      <c r="AE315" t="s">
        <v>139</v>
      </c>
      <c r="AF315" t="s">
        <v>139</v>
      </c>
      <c r="AG315" t="s">
        <v>139</v>
      </c>
      <c r="AH315" s="9" t="s">
        <v>139</v>
      </c>
      <c r="AI315" t="s">
        <v>139</v>
      </c>
      <c r="AJ315" t="s">
        <v>139</v>
      </c>
      <c r="AK315" t="s">
        <v>139</v>
      </c>
      <c r="AL315" t="s">
        <v>139</v>
      </c>
      <c r="AM315" t="s">
        <v>139</v>
      </c>
      <c r="AN315" t="s">
        <v>139</v>
      </c>
      <c r="AO315" s="9" t="s">
        <v>139</v>
      </c>
      <c r="AP315" t="s">
        <v>139</v>
      </c>
      <c r="AQ315" t="s">
        <v>139</v>
      </c>
      <c r="AR315" t="s">
        <v>139</v>
      </c>
    </row>
    <row r="316" spans="1:46" x14ac:dyDescent="0.4">
      <c r="A316" s="3" t="s">
        <v>447</v>
      </c>
      <c r="B316">
        <v>533120.9</v>
      </c>
      <c r="C316">
        <v>153523</v>
      </c>
      <c r="D316">
        <v>81508.100000000006</v>
      </c>
      <c r="E316" t="s">
        <v>139</v>
      </c>
      <c r="F316" t="s">
        <v>139</v>
      </c>
      <c r="G316">
        <v>72014.899999999994</v>
      </c>
      <c r="H316" t="s">
        <v>139</v>
      </c>
      <c r="I316" t="s">
        <v>139</v>
      </c>
      <c r="J316">
        <v>379597.9</v>
      </c>
      <c r="K316">
        <v>126957.4</v>
      </c>
      <c r="L316">
        <v>92849.4</v>
      </c>
      <c r="M316" t="s">
        <v>139</v>
      </c>
      <c r="N316" t="s">
        <v>139</v>
      </c>
      <c r="O316" t="s">
        <v>139</v>
      </c>
      <c r="P316" t="s">
        <v>139</v>
      </c>
      <c r="Q316" t="s">
        <v>139</v>
      </c>
      <c r="R316" t="s">
        <v>139</v>
      </c>
      <c r="S316" t="s">
        <v>139</v>
      </c>
      <c r="T316" t="s">
        <v>139</v>
      </c>
      <c r="U316">
        <v>82446.899999999994</v>
      </c>
      <c r="V316" s="6" t="s">
        <v>139</v>
      </c>
      <c r="W316" t="s">
        <v>139</v>
      </c>
      <c r="X316" t="s">
        <v>139</v>
      </c>
      <c r="Y316" t="s">
        <v>139</v>
      </c>
      <c r="Z316" t="s">
        <v>139</v>
      </c>
      <c r="AA316" t="s">
        <v>139</v>
      </c>
      <c r="AB316" t="s">
        <v>139</v>
      </c>
      <c r="AC316" t="s">
        <v>139</v>
      </c>
      <c r="AD316" t="s">
        <v>139</v>
      </c>
      <c r="AE316" t="s">
        <v>139</v>
      </c>
      <c r="AF316" t="s">
        <v>139</v>
      </c>
      <c r="AG316" t="s">
        <v>139</v>
      </c>
      <c r="AH316" s="9" t="s">
        <v>139</v>
      </c>
      <c r="AI316" t="s">
        <v>139</v>
      </c>
      <c r="AJ316" t="s">
        <v>139</v>
      </c>
      <c r="AK316" t="s">
        <v>139</v>
      </c>
      <c r="AL316" t="s">
        <v>139</v>
      </c>
      <c r="AM316" t="s">
        <v>139</v>
      </c>
      <c r="AN316" t="s">
        <v>139</v>
      </c>
      <c r="AO316" s="9" t="s">
        <v>139</v>
      </c>
      <c r="AP316" t="s">
        <v>139</v>
      </c>
      <c r="AQ316" t="s">
        <v>139</v>
      </c>
      <c r="AR316" t="s">
        <v>139</v>
      </c>
    </row>
    <row r="317" spans="1:46" x14ac:dyDescent="0.4">
      <c r="A317" s="3" t="s">
        <v>448</v>
      </c>
      <c r="B317">
        <v>540477.6</v>
      </c>
      <c r="C317">
        <v>154108.9</v>
      </c>
      <c r="D317">
        <v>81802.8</v>
      </c>
      <c r="E317" t="s">
        <v>139</v>
      </c>
      <c r="F317" t="s">
        <v>139</v>
      </c>
      <c r="G317">
        <v>72306</v>
      </c>
      <c r="H317" t="s">
        <v>139</v>
      </c>
      <c r="I317" t="s">
        <v>139</v>
      </c>
      <c r="J317">
        <v>386368.8</v>
      </c>
      <c r="K317">
        <v>129090.8</v>
      </c>
      <c r="L317">
        <v>94277.3</v>
      </c>
      <c r="M317" t="s">
        <v>139</v>
      </c>
      <c r="N317" t="s">
        <v>139</v>
      </c>
      <c r="O317" t="s">
        <v>139</v>
      </c>
      <c r="P317" t="s">
        <v>139</v>
      </c>
      <c r="Q317" t="s">
        <v>139</v>
      </c>
      <c r="R317" t="s">
        <v>139</v>
      </c>
      <c r="S317" t="s">
        <v>139</v>
      </c>
      <c r="T317" t="s">
        <v>139</v>
      </c>
      <c r="U317">
        <v>83515.899999999994</v>
      </c>
      <c r="V317" s="6" t="s">
        <v>139</v>
      </c>
      <c r="W317" t="s">
        <v>139</v>
      </c>
      <c r="X317" t="s">
        <v>139</v>
      </c>
      <c r="Y317" t="s">
        <v>139</v>
      </c>
      <c r="Z317" t="s">
        <v>139</v>
      </c>
      <c r="AA317" t="s">
        <v>139</v>
      </c>
      <c r="AB317" t="s">
        <v>139</v>
      </c>
      <c r="AC317" t="s">
        <v>139</v>
      </c>
      <c r="AD317" t="s">
        <v>139</v>
      </c>
      <c r="AE317" t="s">
        <v>139</v>
      </c>
      <c r="AF317" t="s">
        <v>139</v>
      </c>
      <c r="AG317" t="s">
        <v>139</v>
      </c>
      <c r="AH317" s="9" t="s">
        <v>139</v>
      </c>
      <c r="AI317" t="s">
        <v>139</v>
      </c>
      <c r="AJ317" t="s">
        <v>139</v>
      </c>
      <c r="AK317" t="s">
        <v>139</v>
      </c>
      <c r="AL317" t="s">
        <v>139</v>
      </c>
      <c r="AM317" t="s">
        <v>139</v>
      </c>
      <c r="AN317" t="s">
        <v>139</v>
      </c>
      <c r="AO317" s="9" t="s">
        <v>139</v>
      </c>
      <c r="AP317" t="s">
        <v>139</v>
      </c>
      <c r="AQ317" t="s">
        <v>139</v>
      </c>
      <c r="AR317" t="s">
        <v>139</v>
      </c>
    </row>
    <row r="318" spans="1:46" x14ac:dyDescent="0.4">
      <c r="A318" s="3" t="s">
        <v>449</v>
      </c>
      <c r="B318">
        <v>548930</v>
      </c>
      <c r="C318">
        <v>155934.6</v>
      </c>
      <c r="D318">
        <v>83373.5</v>
      </c>
      <c r="E318" t="s">
        <v>139</v>
      </c>
      <c r="F318" t="s">
        <v>139</v>
      </c>
      <c r="G318">
        <v>72561.100000000006</v>
      </c>
      <c r="H318" t="s">
        <v>139</v>
      </c>
      <c r="I318" t="s">
        <v>139</v>
      </c>
      <c r="J318">
        <v>392995.4</v>
      </c>
      <c r="K318">
        <v>131590.1</v>
      </c>
      <c r="L318">
        <v>95834.2</v>
      </c>
      <c r="M318" t="s">
        <v>139</v>
      </c>
      <c r="N318" t="s">
        <v>139</v>
      </c>
      <c r="O318" t="s">
        <v>139</v>
      </c>
      <c r="P318" t="s">
        <v>139</v>
      </c>
      <c r="Q318" t="s">
        <v>139</v>
      </c>
      <c r="R318" t="s">
        <v>139</v>
      </c>
      <c r="S318" t="s">
        <v>139</v>
      </c>
      <c r="T318" t="s">
        <v>139</v>
      </c>
      <c r="U318">
        <v>84645.9</v>
      </c>
      <c r="V318" s="6" t="s">
        <v>139</v>
      </c>
      <c r="W318" t="s">
        <v>139</v>
      </c>
      <c r="X318" t="s">
        <v>139</v>
      </c>
      <c r="Y318" t="s">
        <v>139</v>
      </c>
      <c r="Z318" t="s">
        <v>139</v>
      </c>
      <c r="AA318" t="s">
        <v>139</v>
      </c>
      <c r="AB318" t="s">
        <v>139</v>
      </c>
      <c r="AC318" t="s">
        <v>139</v>
      </c>
      <c r="AD318" t="s">
        <v>139</v>
      </c>
      <c r="AE318" t="s">
        <v>139</v>
      </c>
      <c r="AF318" t="s">
        <v>139</v>
      </c>
      <c r="AG318" t="s">
        <v>139</v>
      </c>
      <c r="AH318" s="9" t="s">
        <v>139</v>
      </c>
      <c r="AI318" t="s">
        <v>139</v>
      </c>
      <c r="AJ318" t="s">
        <v>139</v>
      </c>
      <c r="AK318" t="s">
        <v>139</v>
      </c>
      <c r="AL318" t="s">
        <v>139</v>
      </c>
      <c r="AM318" t="s">
        <v>139</v>
      </c>
      <c r="AN318" t="s">
        <v>139</v>
      </c>
      <c r="AO318" s="9" t="s">
        <v>139</v>
      </c>
      <c r="AP318" t="s">
        <v>139</v>
      </c>
      <c r="AQ318" t="s">
        <v>139</v>
      </c>
      <c r="AR318" t="s">
        <v>139</v>
      </c>
    </row>
    <row r="319" spans="1:46" x14ac:dyDescent="0.4">
      <c r="A319" s="3" t="s">
        <v>450</v>
      </c>
      <c r="B319">
        <v>560125.1</v>
      </c>
      <c r="C319">
        <v>159746.79999999999</v>
      </c>
      <c r="D319">
        <v>86939.3</v>
      </c>
      <c r="E319" t="s">
        <v>139</v>
      </c>
      <c r="F319" t="s">
        <v>139</v>
      </c>
      <c r="G319">
        <v>72807.5</v>
      </c>
      <c r="H319" t="s">
        <v>139</v>
      </c>
      <c r="I319" t="s">
        <v>139</v>
      </c>
      <c r="J319">
        <v>400378.3</v>
      </c>
      <c r="K319">
        <v>133109.29999999999</v>
      </c>
      <c r="L319">
        <v>96869.5</v>
      </c>
      <c r="M319" t="s">
        <v>139</v>
      </c>
      <c r="N319" t="s">
        <v>139</v>
      </c>
      <c r="O319" t="s">
        <v>139</v>
      </c>
      <c r="P319" t="s">
        <v>139</v>
      </c>
      <c r="Q319" t="s">
        <v>139</v>
      </c>
      <c r="R319" t="s">
        <v>139</v>
      </c>
      <c r="S319" t="s">
        <v>139</v>
      </c>
      <c r="T319" t="s">
        <v>139</v>
      </c>
      <c r="U319">
        <v>85260.1</v>
      </c>
      <c r="V319" s="6" t="s">
        <v>139</v>
      </c>
      <c r="W319" t="s">
        <v>139</v>
      </c>
      <c r="X319" t="s">
        <v>139</v>
      </c>
      <c r="Y319" t="s">
        <v>139</v>
      </c>
      <c r="Z319" t="s">
        <v>139</v>
      </c>
      <c r="AA319" t="s">
        <v>139</v>
      </c>
      <c r="AB319" t="s">
        <v>139</v>
      </c>
      <c r="AC319" t="s">
        <v>139</v>
      </c>
      <c r="AD319" t="s">
        <v>139</v>
      </c>
      <c r="AE319" t="s">
        <v>139</v>
      </c>
      <c r="AF319" t="s">
        <v>139</v>
      </c>
      <c r="AG319" t="s">
        <v>139</v>
      </c>
      <c r="AH319" s="9" t="s">
        <v>139</v>
      </c>
      <c r="AI319" t="s">
        <v>139</v>
      </c>
      <c r="AJ319" t="s">
        <v>139</v>
      </c>
      <c r="AK319" t="s">
        <v>139</v>
      </c>
      <c r="AL319" t="s">
        <v>139</v>
      </c>
      <c r="AM319" t="s">
        <v>139</v>
      </c>
      <c r="AN319" t="s">
        <v>139</v>
      </c>
      <c r="AO319" s="9" t="s">
        <v>139</v>
      </c>
      <c r="AP319" t="s">
        <v>139</v>
      </c>
      <c r="AQ319" t="s">
        <v>139</v>
      </c>
      <c r="AR319" t="s">
        <v>139</v>
      </c>
    </row>
    <row r="320" spans="1:46" x14ac:dyDescent="0.4">
      <c r="A320" s="3" t="s">
        <v>451</v>
      </c>
      <c r="B320">
        <v>566513.4</v>
      </c>
      <c r="C320">
        <v>161359.5</v>
      </c>
      <c r="D320">
        <v>89971.8</v>
      </c>
      <c r="E320" t="s">
        <v>139</v>
      </c>
      <c r="F320" t="s">
        <v>139</v>
      </c>
      <c r="G320">
        <v>71387.7</v>
      </c>
      <c r="H320" t="s">
        <v>139</v>
      </c>
      <c r="I320" t="s">
        <v>139</v>
      </c>
      <c r="J320">
        <v>405153.9</v>
      </c>
      <c r="K320">
        <v>135413.5</v>
      </c>
      <c r="L320">
        <v>98701.1</v>
      </c>
      <c r="M320" t="s">
        <v>139</v>
      </c>
      <c r="N320" t="s">
        <v>139</v>
      </c>
      <c r="O320" t="s">
        <v>139</v>
      </c>
      <c r="P320" t="s">
        <v>139</v>
      </c>
      <c r="Q320" t="s">
        <v>139</v>
      </c>
      <c r="R320" t="s">
        <v>139</v>
      </c>
      <c r="S320" t="s">
        <v>139</v>
      </c>
      <c r="T320" t="s">
        <v>139</v>
      </c>
      <c r="U320">
        <v>86477.4</v>
      </c>
      <c r="V320" s="6" t="s">
        <v>139</v>
      </c>
      <c r="W320" t="s">
        <v>139</v>
      </c>
      <c r="X320" t="s">
        <v>139</v>
      </c>
      <c r="Y320" t="s">
        <v>139</v>
      </c>
      <c r="Z320">
        <v>84561.9</v>
      </c>
      <c r="AA320" t="s">
        <v>139</v>
      </c>
      <c r="AB320" t="s">
        <v>139</v>
      </c>
      <c r="AC320" t="s">
        <v>139</v>
      </c>
      <c r="AD320">
        <v>84468.7</v>
      </c>
      <c r="AE320" t="s">
        <v>139</v>
      </c>
      <c r="AF320">
        <v>3621.2</v>
      </c>
      <c r="AG320">
        <v>29552.400000000001</v>
      </c>
      <c r="AH320" s="9">
        <v>702318.8</v>
      </c>
      <c r="AI320">
        <v>596878.69999999995</v>
      </c>
      <c r="AJ320">
        <v>94393.3</v>
      </c>
      <c r="AK320" t="s">
        <v>139</v>
      </c>
      <c r="AL320">
        <v>7546.4</v>
      </c>
      <c r="AM320" t="s">
        <v>139</v>
      </c>
      <c r="AN320">
        <v>21037.200000000001</v>
      </c>
      <c r="AO320" s="9">
        <v>626069.9</v>
      </c>
      <c r="AP320">
        <v>76248.899999999994</v>
      </c>
      <c r="AQ320" t="s">
        <v>139</v>
      </c>
      <c r="AR320" t="s">
        <v>139</v>
      </c>
      <c r="AS320">
        <f t="shared" ref="AS320:AS328" si="0">SUM(AI320:AK320)</f>
        <v>691272</v>
      </c>
      <c r="AT320">
        <f>AH320/AS320</f>
        <v>1.0159803955606477</v>
      </c>
    </row>
    <row r="321" spans="1:46" x14ac:dyDescent="0.4">
      <c r="A321" s="3" t="s">
        <v>452</v>
      </c>
      <c r="B321">
        <v>574254.80000000005</v>
      </c>
      <c r="C321">
        <v>158635.20000000001</v>
      </c>
      <c r="D321">
        <v>86578.8</v>
      </c>
      <c r="E321" t="s">
        <v>139</v>
      </c>
      <c r="F321" t="s">
        <v>139</v>
      </c>
      <c r="G321">
        <v>72056.5</v>
      </c>
      <c r="H321" t="s">
        <v>139</v>
      </c>
      <c r="I321" t="s">
        <v>139</v>
      </c>
      <c r="J321">
        <v>415619.6</v>
      </c>
      <c r="K321">
        <v>140798.29999999999</v>
      </c>
      <c r="L321">
        <v>100456.1</v>
      </c>
      <c r="M321" t="s">
        <v>139</v>
      </c>
      <c r="N321" t="s">
        <v>139</v>
      </c>
      <c r="O321" t="s">
        <v>139</v>
      </c>
      <c r="P321" t="s">
        <v>139</v>
      </c>
      <c r="Q321" t="s">
        <v>139</v>
      </c>
      <c r="R321" t="s">
        <v>139</v>
      </c>
      <c r="S321" t="s">
        <v>139</v>
      </c>
      <c r="T321" t="s">
        <v>139</v>
      </c>
      <c r="U321">
        <v>88258.7</v>
      </c>
      <c r="V321" s="6" t="s">
        <v>139</v>
      </c>
      <c r="W321" t="s">
        <v>139</v>
      </c>
      <c r="X321" t="s">
        <v>139</v>
      </c>
      <c r="Y321" t="s">
        <v>139</v>
      </c>
      <c r="Z321">
        <v>86106.5</v>
      </c>
      <c r="AA321" t="s">
        <v>139</v>
      </c>
      <c r="AB321" t="s">
        <v>139</v>
      </c>
      <c r="AC321" t="s">
        <v>139</v>
      </c>
      <c r="AD321">
        <v>83623.600000000006</v>
      </c>
      <c r="AE321" t="s">
        <v>139</v>
      </c>
      <c r="AF321">
        <v>3950.2</v>
      </c>
      <c r="AG321">
        <v>30689.599999999999</v>
      </c>
      <c r="AH321" s="9">
        <v>710763.2</v>
      </c>
      <c r="AI321">
        <v>598920.69999999995</v>
      </c>
      <c r="AJ321">
        <v>97452.2</v>
      </c>
      <c r="AK321" t="s">
        <v>139</v>
      </c>
      <c r="AL321">
        <v>9121.2999999999993</v>
      </c>
      <c r="AM321" t="s">
        <v>139</v>
      </c>
      <c r="AN321">
        <v>21832.7</v>
      </c>
      <c r="AO321" s="9">
        <v>629659.80000000005</v>
      </c>
      <c r="AP321">
        <v>81103.399999999994</v>
      </c>
      <c r="AQ321" t="s">
        <v>139</v>
      </c>
      <c r="AR321" t="s">
        <v>139</v>
      </c>
      <c r="AS321">
        <f t="shared" si="0"/>
        <v>696372.89999999991</v>
      </c>
      <c r="AT321">
        <f t="shared" ref="AT321:AT384" si="1">AH321/AS321</f>
        <v>1.0206646467718661</v>
      </c>
    </row>
    <row r="322" spans="1:46" x14ac:dyDescent="0.4">
      <c r="A322" s="3" t="s">
        <v>453</v>
      </c>
      <c r="B322">
        <v>584043.9</v>
      </c>
      <c r="C322">
        <v>158098.1</v>
      </c>
      <c r="D322">
        <v>85320.9</v>
      </c>
      <c r="E322" t="s">
        <v>139</v>
      </c>
      <c r="F322" t="s">
        <v>139</v>
      </c>
      <c r="G322">
        <v>72777.2</v>
      </c>
      <c r="H322" t="s">
        <v>139</v>
      </c>
      <c r="I322" t="s">
        <v>139</v>
      </c>
      <c r="J322">
        <v>425945.8</v>
      </c>
      <c r="K322">
        <v>144957.6</v>
      </c>
      <c r="L322">
        <v>102460.6</v>
      </c>
      <c r="M322" t="s">
        <v>139</v>
      </c>
      <c r="N322" t="s">
        <v>139</v>
      </c>
      <c r="O322" t="s">
        <v>139</v>
      </c>
      <c r="P322" t="s">
        <v>139</v>
      </c>
      <c r="Q322" t="s">
        <v>139</v>
      </c>
      <c r="R322" t="s">
        <v>139</v>
      </c>
      <c r="S322" t="s">
        <v>139</v>
      </c>
      <c r="T322" t="s">
        <v>139</v>
      </c>
      <c r="U322">
        <v>89855.5</v>
      </c>
      <c r="V322" s="6" t="s">
        <v>139</v>
      </c>
      <c r="W322" t="s">
        <v>139</v>
      </c>
      <c r="X322" t="s">
        <v>139</v>
      </c>
      <c r="Y322" t="s">
        <v>139</v>
      </c>
      <c r="Z322">
        <v>88672.2</v>
      </c>
      <c r="AA322" t="s">
        <v>139</v>
      </c>
      <c r="AB322" t="s">
        <v>139</v>
      </c>
      <c r="AC322" t="s">
        <v>139</v>
      </c>
      <c r="AD322">
        <v>81888.399999999994</v>
      </c>
      <c r="AE322" t="s">
        <v>139</v>
      </c>
      <c r="AF322">
        <v>4321.3999999999996</v>
      </c>
      <c r="AG322">
        <v>31653.3</v>
      </c>
      <c r="AH322" s="9">
        <v>719914</v>
      </c>
      <c r="AI322">
        <v>602988.9</v>
      </c>
      <c r="AJ322">
        <v>101766.9</v>
      </c>
      <c r="AK322" t="s">
        <v>139</v>
      </c>
      <c r="AL322">
        <v>10524.6</v>
      </c>
      <c r="AM322" t="s">
        <v>139</v>
      </c>
      <c r="AN322">
        <v>22585.4</v>
      </c>
      <c r="AO322" s="9">
        <v>635251.69999999995</v>
      </c>
      <c r="AP322">
        <v>84662.2</v>
      </c>
      <c r="AQ322" t="s">
        <v>139</v>
      </c>
      <c r="AR322" t="s">
        <v>139</v>
      </c>
      <c r="AS322">
        <f t="shared" si="0"/>
        <v>704755.8</v>
      </c>
      <c r="AT322">
        <f t="shared" si="1"/>
        <v>1.0215084430663783</v>
      </c>
    </row>
    <row r="323" spans="1:46" x14ac:dyDescent="0.4">
      <c r="A323" s="3" t="s">
        <v>454</v>
      </c>
      <c r="B323">
        <v>590109</v>
      </c>
      <c r="C323">
        <v>158342.5</v>
      </c>
      <c r="D323">
        <v>85348.2</v>
      </c>
      <c r="E323" t="s">
        <v>139</v>
      </c>
      <c r="F323" t="s">
        <v>139</v>
      </c>
      <c r="G323">
        <v>72994.2</v>
      </c>
      <c r="H323" t="s">
        <v>139</v>
      </c>
      <c r="I323" t="s">
        <v>139</v>
      </c>
      <c r="J323">
        <v>431766.5</v>
      </c>
      <c r="K323">
        <v>147534.29999999999</v>
      </c>
      <c r="L323">
        <v>104303.2</v>
      </c>
      <c r="M323" t="s">
        <v>139</v>
      </c>
      <c r="N323" t="s">
        <v>139</v>
      </c>
      <c r="O323" t="s">
        <v>139</v>
      </c>
      <c r="P323" t="s">
        <v>139</v>
      </c>
      <c r="Q323" t="s">
        <v>139</v>
      </c>
      <c r="R323" t="s">
        <v>139</v>
      </c>
      <c r="S323" t="s">
        <v>139</v>
      </c>
      <c r="T323" t="s">
        <v>139</v>
      </c>
      <c r="U323">
        <v>91127.8</v>
      </c>
      <c r="V323" s="6" t="s">
        <v>139</v>
      </c>
      <c r="W323" t="s">
        <v>139</v>
      </c>
      <c r="X323" t="s">
        <v>139</v>
      </c>
      <c r="Y323" t="s">
        <v>139</v>
      </c>
      <c r="Z323">
        <v>88801.3</v>
      </c>
      <c r="AA323" t="s">
        <v>139</v>
      </c>
      <c r="AB323" t="s">
        <v>139</v>
      </c>
      <c r="AC323" t="s">
        <v>139</v>
      </c>
      <c r="AD323">
        <v>83097.8</v>
      </c>
      <c r="AE323" t="s">
        <v>139</v>
      </c>
      <c r="AF323">
        <v>4343.3999999999996</v>
      </c>
      <c r="AG323">
        <v>32503</v>
      </c>
      <c r="AH323" s="9">
        <v>728455.9</v>
      </c>
      <c r="AI323">
        <v>612431.69999999995</v>
      </c>
      <c r="AJ323">
        <v>104024.9</v>
      </c>
      <c r="AK323" t="s">
        <v>139</v>
      </c>
      <c r="AL323">
        <v>10693.7</v>
      </c>
      <c r="AM323" t="s">
        <v>139</v>
      </c>
      <c r="AN323">
        <v>23314</v>
      </c>
      <c r="AO323" s="9">
        <v>645630.4</v>
      </c>
      <c r="AP323">
        <v>82825.5</v>
      </c>
      <c r="AQ323" t="s">
        <v>139</v>
      </c>
      <c r="AR323" t="s">
        <v>139</v>
      </c>
      <c r="AS323">
        <f t="shared" si="0"/>
        <v>716456.6</v>
      </c>
      <c r="AT323">
        <f t="shared" si="1"/>
        <v>1.0167481184484868</v>
      </c>
    </row>
    <row r="324" spans="1:46" x14ac:dyDescent="0.4">
      <c r="A324" s="3" t="s">
        <v>455</v>
      </c>
      <c r="B324">
        <v>595891.1</v>
      </c>
      <c r="C324">
        <v>157084.20000000001</v>
      </c>
      <c r="D324">
        <v>83157</v>
      </c>
      <c r="E324" t="s">
        <v>139</v>
      </c>
      <c r="F324" t="s">
        <v>139</v>
      </c>
      <c r="G324">
        <v>73927.199999999997</v>
      </c>
      <c r="H324" t="s">
        <v>139</v>
      </c>
      <c r="I324" t="s">
        <v>139</v>
      </c>
      <c r="J324">
        <v>438806.8</v>
      </c>
      <c r="K324">
        <v>149965.9</v>
      </c>
      <c r="L324">
        <v>105816.3</v>
      </c>
      <c r="M324" t="s">
        <v>139</v>
      </c>
      <c r="N324" t="s">
        <v>139</v>
      </c>
      <c r="O324" t="s">
        <v>139</v>
      </c>
      <c r="P324" t="s">
        <v>139</v>
      </c>
      <c r="Q324" t="s">
        <v>139</v>
      </c>
      <c r="R324" t="s">
        <v>139</v>
      </c>
      <c r="S324" t="s">
        <v>139</v>
      </c>
      <c r="T324" t="s">
        <v>139</v>
      </c>
      <c r="U324">
        <v>92158.8</v>
      </c>
      <c r="V324" s="6" t="s">
        <v>139</v>
      </c>
      <c r="W324" t="s">
        <v>139</v>
      </c>
      <c r="X324" t="s">
        <v>139</v>
      </c>
      <c r="Y324" t="s">
        <v>139</v>
      </c>
      <c r="Z324">
        <v>90865.8</v>
      </c>
      <c r="AA324" t="s">
        <v>139</v>
      </c>
      <c r="AB324" t="s">
        <v>139</v>
      </c>
      <c r="AC324" t="s">
        <v>139</v>
      </c>
      <c r="AD324">
        <v>84324.9</v>
      </c>
      <c r="AE324" t="s">
        <v>139</v>
      </c>
      <c r="AF324">
        <v>4809.6000000000004</v>
      </c>
      <c r="AG324">
        <v>32864.400000000001</v>
      </c>
      <c r="AH324" s="9">
        <v>737316.4</v>
      </c>
      <c r="AI324">
        <v>614374.1</v>
      </c>
      <c r="AJ324">
        <v>106421.6</v>
      </c>
      <c r="AK324" t="s">
        <v>139</v>
      </c>
      <c r="AL324">
        <v>11464.4</v>
      </c>
      <c r="AM324" t="s">
        <v>139</v>
      </c>
      <c r="AN324">
        <v>24319.9</v>
      </c>
      <c r="AO324" s="9">
        <v>649692.4</v>
      </c>
      <c r="AP324">
        <v>87624</v>
      </c>
      <c r="AQ324" t="s">
        <v>139</v>
      </c>
      <c r="AR324" t="s">
        <v>139</v>
      </c>
      <c r="AS324">
        <f t="shared" si="0"/>
        <v>720795.7</v>
      </c>
      <c r="AT324">
        <f t="shared" si="1"/>
        <v>1.0229200867874213</v>
      </c>
    </row>
    <row r="325" spans="1:46" x14ac:dyDescent="0.4">
      <c r="A325" s="3" t="s">
        <v>456</v>
      </c>
      <c r="B325">
        <v>603759</v>
      </c>
      <c r="C325">
        <v>157686.5</v>
      </c>
      <c r="D325">
        <v>83142.7</v>
      </c>
      <c r="E325" t="s">
        <v>139</v>
      </c>
      <c r="F325" t="s">
        <v>139</v>
      </c>
      <c r="G325">
        <v>74543.7</v>
      </c>
      <c r="H325" t="s">
        <v>139</v>
      </c>
      <c r="I325" t="s">
        <v>139</v>
      </c>
      <c r="J325">
        <v>446072.6</v>
      </c>
      <c r="K325">
        <v>152829.20000000001</v>
      </c>
      <c r="L325">
        <v>107511.3</v>
      </c>
      <c r="M325" t="s">
        <v>139</v>
      </c>
      <c r="N325" t="s">
        <v>139</v>
      </c>
      <c r="O325" t="s">
        <v>139</v>
      </c>
      <c r="P325" t="s">
        <v>139</v>
      </c>
      <c r="Q325" t="s">
        <v>139</v>
      </c>
      <c r="R325" t="s">
        <v>139</v>
      </c>
      <c r="S325" t="s">
        <v>139</v>
      </c>
      <c r="T325" t="s">
        <v>139</v>
      </c>
      <c r="U325">
        <v>93248.6</v>
      </c>
      <c r="V325" s="6" t="s">
        <v>139</v>
      </c>
      <c r="W325" t="s">
        <v>139</v>
      </c>
      <c r="X325" t="s">
        <v>139</v>
      </c>
      <c r="Y325" t="s">
        <v>139</v>
      </c>
      <c r="Z325">
        <v>92483.4</v>
      </c>
      <c r="AA325" t="s">
        <v>139</v>
      </c>
      <c r="AB325" t="s">
        <v>139</v>
      </c>
      <c r="AC325" t="s">
        <v>139</v>
      </c>
      <c r="AD325">
        <v>85793.4</v>
      </c>
      <c r="AE325" t="s">
        <v>139</v>
      </c>
      <c r="AF325">
        <v>5083.6000000000004</v>
      </c>
      <c r="AG325">
        <v>33553.4</v>
      </c>
      <c r="AH325" s="9">
        <v>748128</v>
      </c>
      <c r="AI325">
        <v>623141.1</v>
      </c>
      <c r="AJ325">
        <v>107138.9</v>
      </c>
      <c r="AK325" t="s">
        <v>139</v>
      </c>
      <c r="AL325">
        <v>12303.6</v>
      </c>
      <c r="AM325" t="s">
        <v>139</v>
      </c>
      <c r="AN325">
        <v>24523.7</v>
      </c>
      <c r="AO325" s="9">
        <v>659303.19999999995</v>
      </c>
      <c r="AP325">
        <v>88824.8</v>
      </c>
      <c r="AQ325" t="s">
        <v>139</v>
      </c>
      <c r="AR325" t="s">
        <v>139</v>
      </c>
      <c r="AS325">
        <f t="shared" si="0"/>
        <v>730280</v>
      </c>
      <c r="AT325">
        <f t="shared" si="1"/>
        <v>1.0244399408446077</v>
      </c>
    </row>
    <row r="326" spans="1:46" x14ac:dyDescent="0.4">
      <c r="A326" s="3" t="s">
        <v>457</v>
      </c>
      <c r="B326">
        <v>610141.6</v>
      </c>
      <c r="C326">
        <v>157329.70000000001</v>
      </c>
      <c r="D326">
        <v>82198.5</v>
      </c>
      <c r="E326" t="s">
        <v>139</v>
      </c>
      <c r="F326" t="s">
        <v>139</v>
      </c>
      <c r="G326">
        <v>75131.199999999997</v>
      </c>
      <c r="H326" t="s">
        <v>139</v>
      </c>
      <c r="I326" t="s">
        <v>139</v>
      </c>
      <c r="J326">
        <v>452811.9</v>
      </c>
      <c r="K326">
        <v>155329.1</v>
      </c>
      <c r="L326">
        <v>109238.7</v>
      </c>
      <c r="M326" t="s">
        <v>139</v>
      </c>
      <c r="N326" t="s">
        <v>139</v>
      </c>
      <c r="O326" t="s">
        <v>139</v>
      </c>
      <c r="P326" t="s">
        <v>139</v>
      </c>
      <c r="Q326" t="s">
        <v>139</v>
      </c>
      <c r="R326" t="s">
        <v>139</v>
      </c>
      <c r="S326" t="s">
        <v>139</v>
      </c>
      <c r="T326" t="s">
        <v>139</v>
      </c>
      <c r="U326">
        <v>94325.2</v>
      </c>
      <c r="V326" s="6" t="s">
        <v>139</v>
      </c>
      <c r="W326" t="s">
        <v>139</v>
      </c>
      <c r="X326" t="s">
        <v>139</v>
      </c>
      <c r="Y326" t="s">
        <v>139</v>
      </c>
      <c r="Z326">
        <v>93918.9</v>
      </c>
      <c r="AA326" t="s">
        <v>139</v>
      </c>
      <c r="AB326" t="s">
        <v>139</v>
      </c>
      <c r="AC326" t="s">
        <v>139</v>
      </c>
      <c r="AD326">
        <v>88236.9</v>
      </c>
      <c r="AE326" t="s">
        <v>139</v>
      </c>
      <c r="AF326">
        <v>5374.3</v>
      </c>
      <c r="AG326">
        <v>33806.1</v>
      </c>
      <c r="AH326" s="9">
        <v>758057.8</v>
      </c>
      <c r="AI326">
        <v>630928.1</v>
      </c>
      <c r="AJ326">
        <v>109100.7</v>
      </c>
      <c r="AK326" t="s">
        <v>139</v>
      </c>
      <c r="AL326">
        <v>13618.1</v>
      </c>
      <c r="AM326" t="s">
        <v>139</v>
      </c>
      <c r="AN326">
        <v>24269.9</v>
      </c>
      <c r="AO326" s="9">
        <v>667897.9</v>
      </c>
      <c r="AP326">
        <v>90159.9</v>
      </c>
      <c r="AQ326" t="s">
        <v>139</v>
      </c>
      <c r="AR326" t="s">
        <v>139</v>
      </c>
      <c r="AS326">
        <f t="shared" si="0"/>
        <v>740028.79999999993</v>
      </c>
      <c r="AT326">
        <f t="shared" si="1"/>
        <v>1.0243625653488082</v>
      </c>
    </row>
    <row r="327" spans="1:46" x14ac:dyDescent="0.4">
      <c r="A327" s="3" t="s">
        <v>458</v>
      </c>
      <c r="B327">
        <v>616517.19999999995</v>
      </c>
      <c r="C327">
        <v>157733.20000000001</v>
      </c>
      <c r="D327">
        <v>81396.5</v>
      </c>
      <c r="E327" t="s">
        <v>139</v>
      </c>
      <c r="F327" t="s">
        <v>139</v>
      </c>
      <c r="G327">
        <v>76336.7</v>
      </c>
      <c r="H327" t="s">
        <v>139</v>
      </c>
      <c r="I327" t="s">
        <v>139</v>
      </c>
      <c r="J327">
        <v>458784</v>
      </c>
      <c r="K327">
        <v>158068.1</v>
      </c>
      <c r="L327">
        <v>110902.39999999999</v>
      </c>
      <c r="M327" t="s">
        <v>139</v>
      </c>
      <c r="N327" t="s">
        <v>139</v>
      </c>
      <c r="O327" t="s">
        <v>139</v>
      </c>
      <c r="P327" t="s">
        <v>139</v>
      </c>
      <c r="Q327" t="s">
        <v>139</v>
      </c>
      <c r="R327" t="s">
        <v>139</v>
      </c>
      <c r="S327" t="s">
        <v>139</v>
      </c>
      <c r="T327" t="s">
        <v>139</v>
      </c>
      <c r="U327">
        <v>95283.3</v>
      </c>
      <c r="V327" s="6" t="s">
        <v>139</v>
      </c>
      <c r="W327" t="s">
        <v>139</v>
      </c>
      <c r="X327" t="s">
        <v>139</v>
      </c>
      <c r="Y327" t="s">
        <v>139</v>
      </c>
      <c r="Z327">
        <v>94530.2</v>
      </c>
      <c r="AA327" t="s">
        <v>139</v>
      </c>
      <c r="AB327" t="s">
        <v>139</v>
      </c>
      <c r="AC327" t="s">
        <v>139</v>
      </c>
      <c r="AD327">
        <v>86650.1</v>
      </c>
      <c r="AE327" t="s">
        <v>139</v>
      </c>
      <c r="AF327">
        <v>5240</v>
      </c>
      <c r="AG327">
        <v>35037.300000000003</v>
      </c>
      <c r="AH327" s="9">
        <v>764744.3</v>
      </c>
      <c r="AI327">
        <v>629977.30000000005</v>
      </c>
      <c r="AJ327">
        <v>113785.8</v>
      </c>
      <c r="AK327" t="s">
        <v>139</v>
      </c>
      <c r="AL327">
        <v>14378.5</v>
      </c>
      <c r="AM327" t="s">
        <v>139</v>
      </c>
      <c r="AN327">
        <v>25014.7</v>
      </c>
      <c r="AO327" s="9">
        <v>668182</v>
      </c>
      <c r="AP327">
        <v>96562.3</v>
      </c>
      <c r="AQ327" t="s">
        <v>139</v>
      </c>
      <c r="AR327" t="s">
        <v>139</v>
      </c>
      <c r="AS327">
        <f t="shared" si="0"/>
        <v>743763.10000000009</v>
      </c>
      <c r="AT327">
        <f t="shared" si="1"/>
        <v>1.028209519939884</v>
      </c>
    </row>
    <row r="328" spans="1:46" x14ac:dyDescent="0.4">
      <c r="A328" s="3" t="s">
        <v>459</v>
      </c>
      <c r="B328">
        <v>621387</v>
      </c>
      <c r="C328">
        <v>159393.20000000001</v>
      </c>
      <c r="D328">
        <v>82381.2</v>
      </c>
      <c r="E328" t="s">
        <v>139</v>
      </c>
      <c r="F328" t="s">
        <v>139</v>
      </c>
      <c r="G328">
        <v>77012</v>
      </c>
      <c r="H328" t="s">
        <v>139</v>
      </c>
      <c r="I328" t="s">
        <v>139</v>
      </c>
      <c r="J328">
        <v>461993.8</v>
      </c>
      <c r="K328">
        <v>158506.6</v>
      </c>
      <c r="L328">
        <v>112484.8</v>
      </c>
      <c r="M328" t="s">
        <v>139</v>
      </c>
      <c r="N328" t="s">
        <v>139</v>
      </c>
      <c r="O328" t="s">
        <v>139</v>
      </c>
      <c r="P328" t="s">
        <v>139</v>
      </c>
      <c r="Q328" t="s">
        <v>139</v>
      </c>
      <c r="R328" t="s">
        <v>139</v>
      </c>
      <c r="S328" t="s">
        <v>139</v>
      </c>
      <c r="T328" t="s">
        <v>139</v>
      </c>
      <c r="U328">
        <v>96007.2</v>
      </c>
      <c r="V328" s="6" t="s">
        <v>139</v>
      </c>
      <c r="W328" t="s">
        <v>139</v>
      </c>
      <c r="X328" t="s">
        <v>139</v>
      </c>
      <c r="Y328" t="s">
        <v>139</v>
      </c>
      <c r="Z328">
        <v>94995.199999999997</v>
      </c>
      <c r="AA328" t="s">
        <v>139</v>
      </c>
      <c r="AB328" t="s">
        <v>139</v>
      </c>
      <c r="AC328" t="s">
        <v>139</v>
      </c>
      <c r="AD328">
        <v>88681.5</v>
      </c>
      <c r="AE328" t="s">
        <v>139</v>
      </c>
      <c r="AF328">
        <v>5114.6000000000004</v>
      </c>
      <c r="AG328">
        <v>35474.1</v>
      </c>
      <c r="AH328" s="9">
        <v>771226.5</v>
      </c>
      <c r="AI328">
        <v>638646.4</v>
      </c>
      <c r="AJ328">
        <v>115221</v>
      </c>
      <c r="AK328" t="s">
        <v>139</v>
      </c>
      <c r="AL328">
        <v>14515.2</v>
      </c>
      <c r="AM328" t="s">
        <v>139</v>
      </c>
      <c r="AN328">
        <v>24948</v>
      </c>
      <c r="AO328" s="9">
        <v>676638.4</v>
      </c>
      <c r="AP328">
        <v>94588.1</v>
      </c>
      <c r="AQ328" t="s">
        <v>139</v>
      </c>
      <c r="AR328" t="s">
        <v>139</v>
      </c>
      <c r="AS328">
        <f t="shared" si="0"/>
        <v>753867.4</v>
      </c>
      <c r="AT328">
        <f t="shared" si="1"/>
        <v>1.0230267285732213</v>
      </c>
    </row>
    <row r="329" spans="1:46" x14ac:dyDescent="0.4">
      <c r="A329" s="3" t="s">
        <v>460</v>
      </c>
      <c r="B329">
        <v>625568.1</v>
      </c>
      <c r="C329">
        <v>161086.20000000001</v>
      </c>
      <c r="D329">
        <v>83565.100000000006</v>
      </c>
      <c r="E329" t="s">
        <v>139</v>
      </c>
      <c r="F329" t="s">
        <v>139</v>
      </c>
      <c r="G329">
        <v>77521.100000000006</v>
      </c>
      <c r="H329" t="s">
        <v>139</v>
      </c>
      <c r="I329" t="s">
        <v>139</v>
      </c>
      <c r="J329">
        <v>464481.9</v>
      </c>
      <c r="K329">
        <v>159169.4</v>
      </c>
      <c r="L329">
        <v>113968.4</v>
      </c>
      <c r="M329" t="s">
        <v>139</v>
      </c>
      <c r="N329" t="s">
        <v>139</v>
      </c>
      <c r="O329" t="s">
        <v>139</v>
      </c>
      <c r="P329" t="s">
        <v>139</v>
      </c>
      <c r="Q329" t="s">
        <v>139</v>
      </c>
      <c r="R329" t="s">
        <v>139</v>
      </c>
      <c r="S329" t="s">
        <v>139</v>
      </c>
      <c r="T329" t="s">
        <v>139</v>
      </c>
      <c r="U329">
        <v>96788.9</v>
      </c>
      <c r="V329" s="6" t="s">
        <v>139</v>
      </c>
      <c r="W329" t="s">
        <v>139</v>
      </c>
      <c r="X329" t="s">
        <v>139</v>
      </c>
      <c r="Y329" t="s">
        <v>139</v>
      </c>
      <c r="Z329">
        <v>94555.3</v>
      </c>
      <c r="AA329" t="s">
        <v>139</v>
      </c>
      <c r="AB329" t="s">
        <v>139</v>
      </c>
      <c r="AC329" t="s">
        <v>139</v>
      </c>
      <c r="AD329">
        <v>91244</v>
      </c>
      <c r="AE329" t="s">
        <v>139</v>
      </c>
      <c r="AF329">
        <v>5281.7</v>
      </c>
      <c r="AG329">
        <v>36207.800000000003</v>
      </c>
      <c r="AH329" s="9">
        <v>780241.8</v>
      </c>
      <c r="AI329">
        <v>647617.9</v>
      </c>
      <c r="AJ329">
        <v>115092.4</v>
      </c>
      <c r="AK329" t="s">
        <v>139</v>
      </c>
      <c r="AL329">
        <v>14398.6</v>
      </c>
      <c r="AM329" t="s">
        <v>139</v>
      </c>
      <c r="AN329">
        <v>25140.9</v>
      </c>
      <c r="AO329" s="9">
        <v>685556.2</v>
      </c>
      <c r="AP329">
        <v>94685.6</v>
      </c>
      <c r="AQ329" t="s">
        <v>139</v>
      </c>
      <c r="AR329" t="s">
        <v>139</v>
      </c>
      <c r="AS329">
        <f t="shared" ref="AS329:AS392" si="2">SUM(AI329:AK329)</f>
        <v>762710.3</v>
      </c>
      <c r="AT329">
        <f t="shared" si="1"/>
        <v>1.0229857915908569</v>
      </c>
    </row>
    <row r="330" spans="1:46" x14ac:dyDescent="0.4">
      <c r="A330" s="3" t="s">
        <v>461</v>
      </c>
      <c r="B330">
        <v>631539.80000000005</v>
      </c>
      <c r="C330">
        <v>164213.79999999999</v>
      </c>
      <c r="D330">
        <v>87719.5</v>
      </c>
      <c r="E330" t="s">
        <v>139</v>
      </c>
      <c r="F330" t="s">
        <v>139</v>
      </c>
      <c r="G330">
        <v>76494.2</v>
      </c>
      <c r="H330" t="s">
        <v>139</v>
      </c>
      <c r="I330" t="s">
        <v>139</v>
      </c>
      <c r="J330">
        <v>467326</v>
      </c>
      <c r="K330">
        <v>159935.29999999999</v>
      </c>
      <c r="L330">
        <v>115531.3</v>
      </c>
      <c r="M330" t="s">
        <v>139</v>
      </c>
      <c r="N330" t="s">
        <v>139</v>
      </c>
      <c r="O330" t="s">
        <v>139</v>
      </c>
      <c r="P330" t="s">
        <v>139</v>
      </c>
      <c r="Q330" t="s">
        <v>139</v>
      </c>
      <c r="R330" t="s">
        <v>139</v>
      </c>
      <c r="S330" t="s">
        <v>139</v>
      </c>
      <c r="T330" t="s">
        <v>139</v>
      </c>
      <c r="U330">
        <v>97775.8</v>
      </c>
      <c r="V330" s="6" t="s">
        <v>139</v>
      </c>
      <c r="W330" t="s">
        <v>139</v>
      </c>
      <c r="X330" t="s">
        <v>139</v>
      </c>
      <c r="Y330" t="s">
        <v>139</v>
      </c>
      <c r="Z330">
        <v>94083.6</v>
      </c>
      <c r="AA330" t="s">
        <v>139</v>
      </c>
      <c r="AB330" t="s">
        <v>139</v>
      </c>
      <c r="AC330" t="s">
        <v>139</v>
      </c>
      <c r="AD330">
        <v>92072</v>
      </c>
      <c r="AE330" t="s">
        <v>139</v>
      </c>
      <c r="AF330">
        <v>5644.1</v>
      </c>
      <c r="AG330">
        <v>36148.400000000001</v>
      </c>
      <c r="AH330" s="9">
        <v>787258.3</v>
      </c>
      <c r="AI330">
        <v>649140.6</v>
      </c>
      <c r="AJ330">
        <v>113958.39999999999</v>
      </c>
      <c r="AK330" t="s">
        <v>139</v>
      </c>
      <c r="AL330">
        <v>14423.7</v>
      </c>
      <c r="AM330" t="s">
        <v>139</v>
      </c>
      <c r="AN330">
        <v>26196.7</v>
      </c>
      <c r="AO330" s="9">
        <v>688511.1</v>
      </c>
      <c r="AP330">
        <v>98747.199999999997</v>
      </c>
      <c r="AQ330" t="s">
        <v>139</v>
      </c>
      <c r="AR330" t="s">
        <v>139</v>
      </c>
      <c r="AS330">
        <f t="shared" si="2"/>
        <v>763099</v>
      </c>
      <c r="AT330">
        <f t="shared" si="1"/>
        <v>1.0316594570298219</v>
      </c>
    </row>
    <row r="331" spans="1:46" x14ac:dyDescent="0.4">
      <c r="A331" s="3" t="s">
        <v>462</v>
      </c>
      <c r="B331">
        <v>641131.5</v>
      </c>
      <c r="C331">
        <v>166904.5</v>
      </c>
      <c r="D331">
        <v>90078.2</v>
      </c>
      <c r="E331" t="s">
        <v>139</v>
      </c>
      <c r="F331" t="s">
        <v>139</v>
      </c>
      <c r="G331">
        <v>76826.2</v>
      </c>
      <c r="H331" t="s">
        <v>139</v>
      </c>
      <c r="I331" t="s">
        <v>139</v>
      </c>
      <c r="J331">
        <v>474227</v>
      </c>
      <c r="K331">
        <v>161211.29999999999</v>
      </c>
      <c r="L331">
        <v>117002</v>
      </c>
      <c r="M331" t="s">
        <v>139</v>
      </c>
      <c r="N331" t="s">
        <v>139</v>
      </c>
      <c r="O331" t="s">
        <v>139</v>
      </c>
      <c r="P331" t="s">
        <v>139</v>
      </c>
      <c r="Q331" t="s">
        <v>139</v>
      </c>
      <c r="R331" t="s">
        <v>139</v>
      </c>
      <c r="S331" t="s">
        <v>139</v>
      </c>
      <c r="T331" t="s">
        <v>139</v>
      </c>
      <c r="U331">
        <v>98350.7</v>
      </c>
      <c r="V331" s="6" t="s">
        <v>139</v>
      </c>
      <c r="W331" t="s">
        <v>139</v>
      </c>
      <c r="X331" t="s">
        <v>139</v>
      </c>
      <c r="Y331" t="s">
        <v>139</v>
      </c>
      <c r="Z331">
        <v>97663.1</v>
      </c>
      <c r="AA331" t="s">
        <v>139</v>
      </c>
      <c r="AB331" t="s">
        <v>139</v>
      </c>
      <c r="AC331" t="s">
        <v>139</v>
      </c>
      <c r="AD331">
        <v>91904.9</v>
      </c>
      <c r="AE331" t="s">
        <v>139</v>
      </c>
      <c r="AF331">
        <v>5631.9</v>
      </c>
      <c r="AG331">
        <v>36616.800000000003</v>
      </c>
      <c r="AH331" s="9">
        <v>798083.8</v>
      </c>
      <c r="AI331">
        <v>663699.30000000005</v>
      </c>
      <c r="AJ331">
        <v>115016.2</v>
      </c>
      <c r="AK331" t="s">
        <v>139</v>
      </c>
      <c r="AL331">
        <v>14896.6</v>
      </c>
      <c r="AM331" t="s">
        <v>139</v>
      </c>
      <c r="AN331">
        <v>26343.1</v>
      </c>
      <c r="AO331" s="9">
        <v>703335</v>
      </c>
      <c r="AP331">
        <v>94748.7</v>
      </c>
      <c r="AQ331" t="s">
        <v>139</v>
      </c>
      <c r="AR331" t="s">
        <v>139</v>
      </c>
      <c r="AS331">
        <f t="shared" si="2"/>
        <v>778715.5</v>
      </c>
      <c r="AT331">
        <f t="shared" si="1"/>
        <v>1.0248721131144816</v>
      </c>
    </row>
    <row r="332" spans="1:46" x14ac:dyDescent="0.4">
      <c r="A332" s="3" t="s">
        <v>463</v>
      </c>
      <c r="B332">
        <v>644536.80000000005</v>
      </c>
      <c r="C332">
        <v>168370.5</v>
      </c>
      <c r="D332">
        <v>90891.1</v>
      </c>
      <c r="E332" t="s">
        <v>139</v>
      </c>
      <c r="F332" t="s">
        <v>139</v>
      </c>
      <c r="G332">
        <v>77479.399999999994</v>
      </c>
      <c r="H332" t="s">
        <v>139</v>
      </c>
      <c r="I332" t="s">
        <v>139</v>
      </c>
      <c r="J332">
        <v>476166.3</v>
      </c>
      <c r="K332">
        <v>163022.6</v>
      </c>
      <c r="L332">
        <v>117929.2</v>
      </c>
      <c r="M332" t="s">
        <v>139</v>
      </c>
      <c r="N332" t="s">
        <v>139</v>
      </c>
      <c r="O332" t="s">
        <v>139</v>
      </c>
      <c r="P332" t="s">
        <v>139</v>
      </c>
      <c r="Q332" t="s">
        <v>139</v>
      </c>
      <c r="R332" t="s">
        <v>139</v>
      </c>
      <c r="S332" t="s">
        <v>139</v>
      </c>
      <c r="T332" t="s">
        <v>139</v>
      </c>
      <c r="U332">
        <v>99066.1</v>
      </c>
      <c r="V332" s="6" t="s">
        <v>139</v>
      </c>
      <c r="W332" t="s">
        <v>139</v>
      </c>
      <c r="X332" t="s">
        <v>139</v>
      </c>
      <c r="Y332" t="s">
        <v>139</v>
      </c>
      <c r="Z332">
        <v>96148.3</v>
      </c>
      <c r="AA332" t="s">
        <v>139</v>
      </c>
      <c r="AB332" t="s">
        <v>139</v>
      </c>
      <c r="AC332" t="s">
        <v>139</v>
      </c>
      <c r="AD332">
        <v>94165</v>
      </c>
      <c r="AE332" t="s">
        <v>139</v>
      </c>
      <c r="AF332">
        <v>6081.8</v>
      </c>
      <c r="AG332">
        <v>35749</v>
      </c>
      <c r="AH332" s="9">
        <v>806460.5</v>
      </c>
      <c r="AI332">
        <v>664613.80000000005</v>
      </c>
      <c r="AJ332">
        <v>117593.1</v>
      </c>
      <c r="AK332" t="s">
        <v>139</v>
      </c>
      <c r="AL332">
        <v>14802.6</v>
      </c>
      <c r="AM332" t="s">
        <v>139</v>
      </c>
      <c r="AN332">
        <v>25284.6</v>
      </c>
      <c r="AO332" s="9">
        <v>702936.4</v>
      </c>
      <c r="AP332">
        <v>103524.1</v>
      </c>
      <c r="AQ332" t="s">
        <v>139</v>
      </c>
      <c r="AR332" t="s">
        <v>139</v>
      </c>
      <c r="AS332">
        <f t="shared" si="2"/>
        <v>782206.9</v>
      </c>
      <c r="AT332">
        <f t="shared" si="1"/>
        <v>1.0310066300872569</v>
      </c>
    </row>
    <row r="333" spans="1:46" x14ac:dyDescent="0.4">
      <c r="A333" s="3" t="s">
        <v>464</v>
      </c>
      <c r="B333">
        <v>648240.80000000005</v>
      </c>
      <c r="C333">
        <v>168349.6</v>
      </c>
      <c r="D333">
        <v>90279.5</v>
      </c>
      <c r="E333" t="s">
        <v>139</v>
      </c>
      <c r="F333" t="s">
        <v>139</v>
      </c>
      <c r="G333">
        <v>78070.100000000006</v>
      </c>
      <c r="H333" t="s">
        <v>139</v>
      </c>
      <c r="I333" t="s">
        <v>139</v>
      </c>
      <c r="J333">
        <v>479891.20000000001</v>
      </c>
      <c r="K333">
        <v>164772</v>
      </c>
      <c r="L333">
        <v>119401.1</v>
      </c>
      <c r="M333" t="s">
        <v>139</v>
      </c>
      <c r="N333" t="s">
        <v>139</v>
      </c>
      <c r="O333" t="s">
        <v>139</v>
      </c>
      <c r="P333" t="s">
        <v>139</v>
      </c>
      <c r="Q333" t="s">
        <v>139</v>
      </c>
      <c r="R333" t="s">
        <v>139</v>
      </c>
      <c r="S333" t="s">
        <v>139</v>
      </c>
      <c r="T333" t="s">
        <v>139</v>
      </c>
      <c r="U333">
        <v>99675.5</v>
      </c>
      <c r="V333" s="6" t="s">
        <v>139</v>
      </c>
      <c r="W333" t="s">
        <v>139</v>
      </c>
      <c r="X333" t="s">
        <v>139</v>
      </c>
      <c r="Y333" t="s">
        <v>139</v>
      </c>
      <c r="Z333">
        <v>96042.6</v>
      </c>
      <c r="AA333" t="s">
        <v>139</v>
      </c>
      <c r="AB333" t="s">
        <v>139</v>
      </c>
      <c r="AC333" t="s">
        <v>139</v>
      </c>
      <c r="AD333">
        <v>95778.3</v>
      </c>
      <c r="AE333" t="s">
        <v>139</v>
      </c>
      <c r="AF333">
        <v>5760.6</v>
      </c>
      <c r="AG333">
        <v>36521.300000000003</v>
      </c>
      <c r="AH333" s="9">
        <v>812947.7</v>
      </c>
      <c r="AI333">
        <v>663566.4</v>
      </c>
      <c r="AJ333">
        <v>118739.7</v>
      </c>
      <c r="AK333" t="s">
        <v>139</v>
      </c>
      <c r="AL333">
        <v>14440.1</v>
      </c>
      <c r="AM333" t="s">
        <v>139</v>
      </c>
      <c r="AN333">
        <v>26669.3</v>
      </c>
      <c r="AO333" s="9">
        <v>703163.9</v>
      </c>
      <c r="AP333">
        <v>109783.8</v>
      </c>
      <c r="AQ333" t="s">
        <v>139</v>
      </c>
      <c r="AR333" t="s">
        <v>139</v>
      </c>
      <c r="AS333">
        <f t="shared" si="2"/>
        <v>782306.1</v>
      </c>
      <c r="AT333">
        <f t="shared" si="1"/>
        <v>1.0391682999787424</v>
      </c>
    </row>
    <row r="334" spans="1:46" x14ac:dyDescent="0.4">
      <c r="A334" s="3" t="s">
        <v>465</v>
      </c>
      <c r="B334">
        <v>658528.1</v>
      </c>
      <c r="C334">
        <v>170405.8</v>
      </c>
      <c r="D334">
        <v>91199.5</v>
      </c>
      <c r="E334" t="s">
        <v>139</v>
      </c>
      <c r="F334" t="s">
        <v>139</v>
      </c>
      <c r="G334">
        <v>79206.3</v>
      </c>
      <c r="H334" t="s">
        <v>139</v>
      </c>
      <c r="I334" t="s">
        <v>139</v>
      </c>
      <c r="J334">
        <v>488122.4</v>
      </c>
      <c r="K334">
        <v>168816.8</v>
      </c>
      <c r="L334">
        <v>120987.7</v>
      </c>
      <c r="M334" t="s">
        <v>139</v>
      </c>
      <c r="N334" t="s">
        <v>139</v>
      </c>
      <c r="O334" t="s">
        <v>139</v>
      </c>
      <c r="P334" t="s">
        <v>139</v>
      </c>
      <c r="Q334" t="s">
        <v>139</v>
      </c>
      <c r="R334" t="s">
        <v>139</v>
      </c>
      <c r="S334" t="s">
        <v>139</v>
      </c>
      <c r="T334" t="s">
        <v>139</v>
      </c>
      <c r="U334">
        <v>100300</v>
      </c>
      <c r="V334" s="6" t="s">
        <v>139</v>
      </c>
      <c r="W334" t="s">
        <v>139</v>
      </c>
      <c r="X334" t="s">
        <v>139</v>
      </c>
      <c r="Y334" t="s">
        <v>139</v>
      </c>
      <c r="Z334">
        <v>98017.9</v>
      </c>
      <c r="AA334" t="s">
        <v>139</v>
      </c>
      <c r="AB334" t="s">
        <v>139</v>
      </c>
      <c r="AC334" t="s">
        <v>139</v>
      </c>
      <c r="AD334">
        <v>96082.6</v>
      </c>
      <c r="AE334" t="s">
        <v>139</v>
      </c>
      <c r="AF334">
        <v>5994.1</v>
      </c>
      <c r="AG334">
        <v>37559.599999999999</v>
      </c>
      <c r="AH334" s="9">
        <v>824693.7</v>
      </c>
      <c r="AI334">
        <v>667760.19999999995</v>
      </c>
      <c r="AJ334">
        <v>120321.1</v>
      </c>
      <c r="AK334" t="s">
        <v>139</v>
      </c>
      <c r="AL334">
        <v>14974.5</v>
      </c>
      <c r="AM334" t="s">
        <v>139</v>
      </c>
      <c r="AN334">
        <v>27192.799999999999</v>
      </c>
      <c r="AO334" s="9">
        <v>708741.6</v>
      </c>
      <c r="AP334">
        <v>115952</v>
      </c>
      <c r="AQ334" t="s">
        <v>139</v>
      </c>
      <c r="AR334" t="s">
        <v>139</v>
      </c>
      <c r="AS334">
        <f t="shared" si="2"/>
        <v>788081.29999999993</v>
      </c>
      <c r="AT334">
        <f t="shared" si="1"/>
        <v>1.0464576433928834</v>
      </c>
    </row>
    <row r="335" spans="1:46" x14ac:dyDescent="0.4">
      <c r="A335" s="3" t="s">
        <v>466</v>
      </c>
      <c r="B335">
        <v>670749.80000000005</v>
      </c>
      <c r="C335">
        <v>170664</v>
      </c>
      <c r="D335">
        <v>90944</v>
      </c>
      <c r="E335" t="s">
        <v>139</v>
      </c>
      <c r="F335" t="s">
        <v>139</v>
      </c>
      <c r="G335">
        <v>79720</v>
      </c>
      <c r="H335" t="s">
        <v>139</v>
      </c>
      <c r="I335" t="s">
        <v>139</v>
      </c>
      <c r="J335">
        <v>500085.8</v>
      </c>
      <c r="K335">
        <v>174990.9</v>
      </c>
      <c r="L335">
        <v>122765.9</v>
      </c>
      <c r="M335" t="s">
        <v>139</v>
      </c>
      <c r="N335" t="s">
        <v>139</v>
      </c>
      <c r="O335" t="s">
        <v>139</v>
      </c>
      <c r="P335" t="s">
        <v>139</v>
      </c>
      <c r="Q335" t="s">
        <v>139</v>
      </c>
      <c r="R335" t="s">
        <v>139</v>
      </c>
      <c r="S335" t="s">
        <v>139</v>
      </c>
      <c r="T335" t="s">
        <v>139</v>
      </c>
      <c r="U335">
        <v>100896.9</v>
      </c>
      <c r="V335" s="6" t="s">
        <v>139</v>
      </c>
      <c r="W335" t="s">
        <v>139</v>
      </c>
      <c r="X335" t="s">
        <v>139</v>
      </c>
      <c r="Y335" t="s">
        <v>139</v>
      </c>
      <c r="Z335">
        <v>101432</v>
      </c>
      <c r="AA335" t="s">
        <v>139</v>
      </c>
      <c r="AB335" t="s">
        <v>139</v>
      </c>
      <c r="AC335" t="s">
        <v>139</v>
      </c>
      <c r="AD335">
        <v>95547.3</v>
      </c>
      <c r="AE335" t="s">
        <v>139</v>
      </c>
      <c r="AF335">
        <v>6304.1</v>
      </c>
      <c r="AG335">
        <v>38451.599999999999</v>
      </c>
      <c r="AH335" s="9">
        <v>837175.9</v>
      </c>
      <c r="AI335">
        <v>684620.1</v>
      </c>
      <c r="AJ335">
        <v>124578.9</v>
      </c>
      <c r="AK335" t="s">
        <v>139</v>
      </c>
      <c r="AL335">
        <v>15717.8</v>
      </c>
      <c r="AM335" t="s">
        <v>139</v>
      </c>
      <c r="AN335">
        <v>27150.400000000001</v>
      </c>
      <c r="AO335" s="9">
        <v>726071</v>
      </c>
      <c r="AP335">
        <v>111104.8</v>
      </c>
      <c r="AQ335" t="s">
        <v>139</v>
      </c>
      <c r="AR335" t="s">
        <v>139</v>
      </c>
      <c r="AS335">
        <f t="shared" si="2"/>
        <v>809199</v>
      </c>
      <c r="AT335">
        <f t="shared" si="1"/>
        <v>1.0345735721373852</v>
      </c>
    </row>
    <row r="336" spans="1:46" x14ac:dyDescent="0.4">
      <c r="A336" s="3" t="s">
        <v>467</v>
      </c>
      <c r="B336">
        <v>675418.5</v>
      </c>
      <c r="C336">
        <v>168908.2</v>
      </c>
      <c r="D336">
        <v>87622.399999999994</v>
      </c>
      <c r="E336" t="s">
        <v>139</v>
      </c>
      <c r="F336" t="s">
        <v>139</v>
      </c>
      <c r="G336">
        <v>81285.7</v>
      </c>
      <c r="H336" t="s">
        <v>139</v>
      </c>
      <c r="I336" t="s">
        <v>139</v>
      </c>
      <c r="J336">
        <v>506510.3</v>
      </c>
      <c r="K336">
        <v>177630.9</v>
      </c>
      <c r="L336">
        <v>124151.3</v>
      </c>
      <c r="M336" t="s">
        <v>139</v>
      </c>
      <c r="N336" t="s">
        <v>139</v>
      </c>
      <c r="O336" t="s">
        <v>139</v>
      </c>
      <c r="P336" t="s">
        <v>139</v>
      </c>
      <c r="Q336" t="s">
        <v>139</v>
      </c>
      <c r="R336" t="s">
        <v>139</v>
      </c>
      <c r="S336" t="s">
        <v>139</v>
      </c>
      <c r="T336" t="s">
        <v>139</v>
      </c>
      <c r="U336">
        <v>101363.1</v>
      </c>
      <c r="V336" s="6" t="s">
        <v>139</v>
      </c>
      <c r="W336" t="s">
        <v>139</v>
      </c>
      <c r="X336" t="s">
        <v>139</v>
      </c>
      <c r="Y336" t="s">
        <v>139</v>
      </c>
      <c r="Z336">
        <v>103364.9</v>
      </c>
      <c r="AA336" t="s">
        <v>139</v>
      </c>
      <c r="AB336" t="s">
        <v>139</v>
      </c>
      <c r="AC336" t="s">
        <v>139</v>
      </c>
      <c r="AD336">
        <v>97562.6</v>
      </c>
      <c r="AE336" t="s">
        <v>139</v>
      </c>
      <c r="AF336">
        <v>6504.1</v>
      </c>
      <c r="AG336">
        <v>38568.800000000003</v>
      </c>
      <c r="AH336" s="9">
        <v>844016.5</v>
      </c>
      <c r="AI336">
        <v>686822.3</v>
      </c>
      <c r="AJ336">
        <v>128499.2</v>
      </c>
      <c r="AK336" t="s">
        <v>139</v>
      </c>
      <c r="AL336">
        <v>17042.5</v>
      </c>
      <c r="AM336" t="s">
        <v>139</v>
      </c>
      <c r="AN336">
        <v>27605.4</v>
      </c>
      <c r="AO336" s="9">
        <v>730101.6</v>
      </c>
      <c r="AP336">
        <v>113914.9</v>
      </c>
      <c r="AQ336" t="s">
        <v>139</v>
      </c>
      <c r="AR336" t="s">
        <v>139</v>
      </c>
      <c r="AS336">
        <f t="shared" si="2"/>
        <v>815321.5</v>
      </c>
      <c r="AT336">
        <f t="shared" si="1"/>
        <v>1.0351947054014889</v>
      </c>
    </row>
    <row r="337" spans="1:46" x14ac:dyDescent="0.4">
      <c r="A337" s="3" t="s">
        <v>468</v>
      </c>
      <c r="B337">
        <v>682493.1</v>
      </c>
      <c r="C337">
        <v>169011</v>
      </c>
      <c r="D337">
        <v>86698.1</v>
      </c>
      <c r="E337" t="s">
        <v>139</v>
      </c>
      <c r="F337" t="s">
        <v>139</v>
      </c>
      <c r="G337">
        <v>82312.899999999994</v>
      </c>
      <c r="H337" t="s">
        <v>139</v>
      </c>
      <c r="I337" t="s">
        <v>139</v>
      </c>
      <c r="J337">
        <v>513482.1</v>
      </c>
      <c r="K337">
        <v>180108.2</v>
      </c>
      <c r="L337">
        <v>125292</v>
      </c>
      <c r="M337" t="s">
        <v>139</v>
      </c>
      <c r="N337" t="s">
        <v>139</v>
      </c>
      <c r="O337" t="s">
        <v>139</v>
      </c>
      <c r="P337" t="s">
        <v>139</v>
      </c>
      <c r="Q337" t="s">
        <v>139</v>
      </c>
      <c r="R337" t="s">
        <v>139</v>
      </c>
      <c r="S337" t="s">
        <v>139</v>
      </c>
      <c r="T337" t="s">
        <v>139</v>
      </c>
      <c r="U337">
        <v>101805</v>
      </c>
      <c r="V337" s="6" t="s">
        <v>139</v>
      </c>
      <c r="W337" t="s">
        <v>139</v>
      </c>
      <c r="X337" t="s">
        <v>139</v>
      </c>
      <c r="Y337" t="s">
        <v>139</v>
      </c>
      <c r="Z337">
        <v>106276.9</v>
      </c>
      <c r="AA337" t="s">
        <v>139</v>
      </c>
      <c r="AB337" t="s">
        <v>139</v>
      </c>
      <c r="AC337" t="s">
        <v>139</v>
      </c>
      <c r="AD337">
        <v>99499.199999999997</v>
      </c>
      <c r="AE337" t="s">
        <v>139</v>
      </c>
      <c r="AF337">
        <v>6326.2</v>
      </c>
      <c r="AG337">
        <v>40577.300000000003</v>
      </c>
      <c r="AH337" s="9">
        <v>855621.6</v>
      </c>
      <c r="AI337">
        <v>696004.8</v>
      </c>
      <c r="AJ337">
        <v>130303.4</v>
      </c>
      <c r="AK337" t="s">
        <v>139</v>
      </c>
      <c r="AL337">
        <v>17644.5</v>
      </c>
      <c r="AM337" t="s">
        <v>139</v>
      </c>
      <c r="AN337">
        <v>28800.9</v>
      </c>
      <c r="AO337" s="9">
        <v>740782.5</v>
      </c>
      <c r="AP337">
        <v>114839.1</v>
      </c>
      <c r="AQ337" t="s">
        <v>139</v>
      </c>
      <c r="AR337" t="s">
        <v>139</v>
      </c>
      <c r="AS337">
        <f t="shared" si="2"/>
        <v>826308.20000000007</v>
      </c>
      <c r="AT337">
        <f t="shared" si="1"/>
        <v>1.0354751411156271</v>
      </c>
    </row>
    <row r="338" spans="1:46" x14ac:dyDescent="0.4">
      <c r="A338" s="3" t="s">
        <v>469</v>
      </c>
      <c r="B338">
        <v>687162.1</v>
      </c>
      <c r="C338">
        <v>167145.9</v>
      </c>
      <c r="D338">
        <v>84112.5</v>
      </c>
      <c r="E338" t="s">
        <v>139</v>
      </c>
      <c r="F338" t="s">
        <v>139</v>
      </c>
      <c r="G338">
        <v>83033.399999999994</v>
      </c>
      <c r="H338" t="s">
        <v>139</v>
      </c>
      <c r="I338" t="s">
        <v>139</v>
      </c>
      <c r="J338">
        <v>520016.2</v>
      </c>
      <c r="K338">
        <v>183987.3</v>
      </c>
      <c r="L338">
        <v>126584.4</v>
      </c>
      <c r="M338" t="s">
        <v>139</v>
      </c>
      <c r="N338" t="s">
        <v>139</v>
      </c>
      <c r="O338" t="s">
        <v>139</v>
      </c>
      <c r="P338" t="s">
        <v>139</v>
      </c>
      <c r="Q338" t="s">
        <v>139</v>
      </c>
      <c r="R338" t="s">
        <v>139</v>
      </c>
      <c r="S338" t="s">
        <v>139</v>
      </c>
      <c r="T338" t="s">
        <v>139</v>
      </c>
      <c r="U338">
        <v>102074.7</v>
      </c>
      <c r="V338" s="6" t="s">
        <v>139</v>
      </c>
      <c r="W338" t="s">
        <v>139</v>
      </c>
      <c r="X338" t="s">
        <v>139</v>
      </c>
      <c r="Y338" t="s">
        <v>139</v>
      </c>
      <c r="Z338">
        <v>107369.9</v>
      </c>
      <c r="AA338" t="s">
        <v>139</v>
      </c>
      <c r="AB338" t="s">
        <v>139</v>
      </c>
      <c r="AC338" t="s">
        <v>139</v>
      </c>
      <c r="AD338">
        <v>98577.2</v>
      </c>
      <c r="AE338" t="s">
        <v>139</v>
      </c>
      <c r="AF338">
        <v>6826.4</v>
      </c>
      <c r="AG338">
        <v>43065.5</v>
      </c>
      <c r="AH338" s="9">
        <v>861295.4</v>
      </c>
      <c r="AI338">
        <v>699752.4</v>
      </c>
      <c r="AJ338">
        <v>132851.5</v>
      </c>
      <c r="AK338" t="s">
        <v>139</v>
      </c>
      <c r="AL338">
        <v>18445.7</v>
      </c>
      <c r="AM338" t="s">
        <v>139</v>
      </c>
      <c r="AN338">
        <v>30319.8</v>
      </c>
      <c r="AO338" s="9">
        <v>746202</v>
      </c>
      <c r="AP338">
        <v>115093.4</v>
      </c>
      <c r="AQ338" t="s">
        <v>139</v>
      </c>
      <c r="AR338" t="s">
        <v>139</v>
      </c>
      <c r="AS338">
        <f t="shared" si="2"/>
        <v>832603.9</v>
      </c>
      <c r="AT338">
        <f t="shared" si="1"/>
        <v>1.0344599634952467</v>
      </c>
    </row>
    <row r="339" spans="1:46" x14ac:dyDescent="0.4">
      <c r="A339" s="3" t="s">
        <v>470</v>
      </c>
      <c r="B339">
        <v>691396.6</v>
      </c>
      <c r="C339">
        <v>167757.70000000001</v>
      </c>
      <c r="D339">
        <v>84927.9</v>
      </c>
      <c r="E339" t="s">
        <v>139</v>
      </c>
      <c r="F339" t="s">
        <v>139</v>
      </c>
      <c r="G339">
        <v>82829.8</v>
      </c>
      <c r="H339" t="s">
        <v>139</v>
      </c>
      <c r="I339" t="s">
        <v>139</v>
      </c>
      <c r="J339">
        <v>523638.9</v>
      </c>
      <c r="K339">
        <v>186381.9</v>
      </c>
      <c r="L339">
        <v>127370.6</v>
      </c>
      <c r="M339" t="s">
        <v>139</v>
      </c>
      <c r="N339" t="s">
        <v>139</v>
      </c>
      <c r="O339" t="s">
        <v>139</v>
      </c>
      <c r="P339" t="s">
        <v>139</v>
      </c>
      <c r="Q339" t="s">
        <v>139</v>
      </c>
      <c r="R339" t="s">
        <v>139</v>
      </c>
      <c r="S339" t="s">
        <v>139</v>
      </c>
      <c r="T339" t="s">
        <v>139</v>
      </c>
      <c r="U339">
        <v>102247.4</v>
      </c>
      <c r="V339" s="6" t="s">
        <v>139</v>
      </c>
      <c r="W339" t="s">
        <v>139</v>
      </c>
      <c r="X339" t="s">
        <v>139</v>
      </c>
      <c r="Y339" t="s">
        <v>139</v>
      </c>
      <c r="Z339">
        <v>107638.9</v>
      </c>
      <c r="AA339" t="s">
        <v>139</v>
      </c>
      <c r="AB339" t="s">
        <v>139</v>
      </c>
      <c r="AC339" t="s">
        <v>139</v>
      </c>
      <c r="AD339">
        <v>96191.4</v>
      </c>
      <c r="AE339" t="s">
        <v>139</v>
      </c>
      <c r="AF339">
        <v>6912.5</v>
      </c>
      <c r="AG339">
        <v>44753.599999999999</v>
      </c>
      <c r="AH339" s="9">
        <v>866639.3</v>
      </c>
      <c r="AI339">
        <v>697303.2</v>
      </c>
      <c r="AJ339">
        <v>136078.9</v>
      </c>
      <c r="AK339" t="s">
        <v>139</v>
      </c>
      <c r="AL339">
        <v>19184</v>
      </c>
      <c r="AM339" t="s">
        <v>139</v>
      </c>
      <c r="AN339">
        <v>31230</v>
      </c>
      <c r="AO339" s="9">
        <v>745564.1</v>
      </c>
      <c r="AP339">
        <v>121075.2</v>
      </c>
      <c r="AQ339" t="s">
        <v>139</v>
      </c>
      <c r="AR339" t="s">
        <v>139</v>
      </c>
      <c r="AS339">
        <f t="shared" si="2"/>
        <v>833382.1</v>
      </c>
      <c r="AT339">
        <f t="shared" si="1"/>
        <v>1.0399063046830501</v>
      </c>
    </row>
    <row r="340" spans="1:46" x14ac:dyDescent="0.4">
      <c r="A340" s="3" t="s">
        <v>471</v>
      </c>
      <c r="B340">
        <v>693424.4</v>
      </c>
      <c r="C340">
        <v>167277.20000000001</v>
      </c>
      <c r="D340">
        <v>83550</v>
      </c>
      <c r="E340" t="s">
        <v>139</v>
      </c>
      <c r="F340" t="s">
        <v>139</v>
      </c>
      <c r="G340">
        <v>83727.199999999997</v>
      </c>
      <c r="H340" t="s">
        <v>139</v>
      </c>
      <c r="I340" t="s">
        <v>139</v>
      </c>
      <c r="J340">
        <v>526147.19999999995</v>
      </c>
      <c r="K340">
        <v>187994.1</v>
      </c>
      <c r="L340">
        <v>127981.4</v>
      </c>
      <c r="M340" t="s">
        <v>139</v>
      </c>
      <c r="N340" t="s">
        <v>139</v>
      </c>
      <c r="O340" t="s">
        <v>139</v>
      </c>
      <c r="P340" t="s">
        <v>139</v>
      </c>
      <c r="Q340" t="s">
        <v>139</v>
      </c>
      <c r="R340" t="s">
        <v>139</v>
      </c>
      <c r="S340" t="s">
        <v>139</v>
      </c>
      <c r="T340" t="s">
        <v>139</v>
      </c>
      <c r="U340">
        <v>102477.3</v>
      </c>
      <c r="V340" s="6" t="s">
        <v>139</v>
      </c>
      <c r="W340" t="s">
        <v>139</v>
      </c>
      <c r="X340" t="s">
        <v>139</v>
      </c>
      <c r="Y340" t="s">
        <v>139</v>
      </c>
      <c r="Z340">
        <v>107694.39999999999</v>
      </c>
      <c r="AA340" t="s">
        <v>139</v>
      </c>
      <c r="AB340" t="s">
        <v>139</v>
      </c>
      <c r="AC340" t="s">
        <v>139</v>
      </c>
      <c r="AD340">
        <v>97655.7</v>
      </c>
      <c r="AE340" t="s">
        <v>139</v>
      </c>
      <c r="AF340">
        <v>6598.2</v>
      </c>
      <c r="AG340">
        <v>45690.7</v>
      </c>
      <c r="AH340" s="9">
        <v>869960.8</v>
      </c>
      <c r="AI340">
        <v>705045.3</v>
      </c>
      <c r="AJ340">
        <v>137261.79999999999</v>
      </c>
      <c r="AK340" t="s">
        <v>139</v>
      </c>
      <c r="AL340">
        <v>19360.099999999999</v>
      </c>
      <c r="AM340" t="s">
        <v>139</v>
      </c>
      <c r="AN340">
        <v>32012.3</v>
      </c>
      <c r="AO340" s="9">
        <v>754190.4</v>
      </c>
      <c r="AP340">
        <v>115770.4</v>
      </c>
      <c r="AQ340" t="s">
        <v>139</v>
      </c>
      <c r="AR340" t="s">
        <v>139</v>
      </c>
      <c r="AS340">
        <f t="shared" si="2"/>
        <v>842307.10000000009</v>
      </c>
      <c r="AT340">
        <f t="shared" si="1"/>
        <v>1.0328308997988975</v>
      </c>
    </row>
    <row r="341" spans="1:46" x14ac:dyDescent="0.4">
      <c r="A341" s="3" t="s">
        <v>472</v>
      </c>
      <c r="B341">
        <v>693572</v>
      </c>
      <c r="C341">
        <v>166867.9</v>
      </c>
      <c r="D341">
        <v>82418.8</v>
      </c>
      <c r="E341" t="s">
        <v>139</v>
      </c>
      <c r="F341" t="s">
        <v>139</v>
      </c>
      <c r="G341">
        <v>84449.1</v>
      </c>
      <c r="H341" t="s">
        <v>139</v>
      </c>
      <c r="I341" t="s">
        <v>139</v>
      </c>
      <c r="J341">
        <v>526704.1</v>
      </c>
      <c r="K341">
        <v>189230.2</v>
      </c>
      <c r="L341">
        <v>128627.4</v>
      </c>
      <c r="M341" t="s">
        <v>139</v>
      </c>
      <c r="N341" t="s">
        <v>139</v>
      </c>
      <c r="O341" t="s">
        <v>139</v>
      </c>
      <c r="P341" t="s">
        <v>139</v>
      </c>
      <c r="Q341" t="s">
        <v>139</v>
      </c>
      <c r="R341" t="s">
        <v>139</v>
      </c>
      <c r="S341" t="s">
        <v>139</v>
      </c>
      <c r="T341" t="s">
        <v>139</v>
      </c>
      <c r="U341">
        <v>102483.8</v>
      </c>
      <c r="V341" s="6" t="s">
        <v>139</v>
      </c>
      <c r="W341" t="s">
        <v>139</v>
      </c>
      <c r="X341" t="s">
        <v>139</v>
      </c>
      <c r="Y341" t="s">
        <v>139</v>
      </c>
      <c r="Z341">
        <v>106362.7</v>
      </c>
      <c r="AA341" t="s">
        <v>139</v>
      </c>
      <c r="AB341" t="s">
        <v>139</v>
      </c>
      <c r="AC341" t="s">
        <v>139</v>
      </c>
      <c r="AD341">
        <v>97015.8</v>
      </c>
      <c r="AE341" t="s">
        <v>139</v>
      </c>
      <c r="AF341">
        <v>6167.5</v>
      </c>
      <c r="AG341">
        <v>46750.7</v>
      </c>
      <c r="AH341" s="9">
        <v>872432.5</v>
      </c>
      <c r="AI341">
        <v>710010.9</v>
      </c>
      <c r="AJ341">
        <v>137937.79999999999</v>
      </c>
      <c r="AK341" t="s">
        <v>139</v>
      </c>
      <c r="AL341">
        <v>20704.5</v>
      </c>
      <c r="AM341" t="s">
        <v>139</v>
      </c>
      <c r="AN341">
        <v>32402.2</v>
      </c>
      <c r="AO341" s="9">
        <v>760673.3</v>
      </c>
      <c r="AP341">
        <v>111759.1</v>
      </c>
      <c r="AQ341" t="s">
        <v>139</v>
      </c>
      <c r="AR341" t="s">
        <v>139</v>
      </c>
      <c r="AS341">
        <f t="shared" si="2"/>
        <v>847948.7</v>
      </c>
      <c r="AT341">
        <f t="shared" si="1"/>
        <v>1.0288741524103995</v>
      </c>
    </row>
    <row r="342" spans="1:46" x14ac:dyDescent="0.4">
      <c r="A342" s="3" t="s">
        <v>473</v>
      </c>
      <c r="B342">
        <v>696606.7</v>
      </c>
      <c r="C342">
        <v>168902.39999999999</v>
      </c>
      <c r="D342">
        <v>85450.5</v>
      </c>
      <c r="E342" t="s">
        <v>139</v>
      </c>
      <c r="F342" t="s">
        <v>139</v>
      </c>
      <c r="G342">
        <v>83451.8</v>
      </c>
      <c r="H342" t="s">
        <v>139</v>
      </c>
      <c r="I342" t="s">
        <v>139</v>
      </c>
      <c r="J342">
        <v>527704.30000000005</v>
      </c>
      <c r="K342">
        <v>190404.7</v>
      </c>
      <c r="L342">
        <v>129220.2</v>
      </c>
      <c r="M342" t="s">
        <v>139</v>
      </c>
      <c r="N342" t="s">
        <v>139</v>
      </c>
      <c r="O342" t="s">
        <v>139</v>
      </c>
      <c r="P342" t="s">
        <v>139</v>
      </c>
      <c r="Q342" t="s">
        <v>139</v>
      </c>
      <c r="R342" t="s">
        <v>139</v>
      </c>
      <c r="S342" t="s">
        <v>139</v>
      </c>
      <c r="T342" t="s">
        <v>139</v>
      </c>
      <c r="U342">
        <v>102316.7</v>
      </c>
      <c r="V342" s="6" t="s">
        <v>139</v>
      </c>
      <c r="W342" t="s">
        <v>139</v>
      </c>
      <c r="X342" t="s">
        <v>139</v>
      </c>
      <c r="Y342" t="s">
        <v>139</v>
      </c>
      <c r="Z342">
        <v>105762.7</v>
      </c>
      <c r="AA342" t="s">
        <v>139</v>
      </c>
      <c r="AB342" t="s">
        <v>139</v>
      </c>
      <c r="AC342" t="s">
        <v>139</v>
      </c>
      <c r="AD342">
        <v>99521.7</v>
      </c>
      <c r="AE342" t="s">
        <v>139</v>
      </c>
      <c r="AF342">
        <v>5755</v>
      </c>
      <c r="AG342">
        <v>48550.5</v>
      </c>
      <c r="AH342" s="9">
        <v>879876.6</v>
      </c>
      <c r="AI342">
        <v>716376.4</v>
      </c>
      <c r="AJ342">
        <v>136967.79999999999</v>
      </c>
      <c r="AK342" t="s">
        <v>139</v>
      </c>
      <c r="AL342">
        <v>19109.599999999999</v>
      </c>
      <c r="AM342" t="s">
        <v>139</v>
      </c>
      <c r="AN342">
        <v>34447.5</v>
      </c>
      <c r="AO342" s="9">
        <v>767425.5</v>
      </c>
      <c r="AP342">
        <v>112451.1</v>
      </c>
      <c r="AQ342" t="s">
        <v>139</v>
      </c>
      <c r="AR342" t="s">
        <v>139</v>
      </c>
      <c r="AS342">
        <f t="shared" si="2"/>
        <v>853344.2</v>
      </c>
      <c r="AT342">
        <f t="shared" si="1"/>
        <v>1.0310922603094976</v>
      </c>
    </row>
    <row r="343" spans="1:46" x14ac:dyDescent="0.4">
      <c r="A343" s="3" t="s">
        <v>474</v>
      </c>
      <c r="B343">
        <v>703433.9</v>
      </c>
      <c r="C343">
        <v>172095.2</v>
      </c>
      <c r="D343">
        <v>88174.2</v>
      </c>
      <c r="E343" t="s">
        <v>139</v>
      </c>
      <c r="F343" t="s">
        <v>139</v>
      </c>
      <c r="G343">
        <v>83921</v>
      </c>
      <c r="H343" t="s">
        <v>139</v>
      </c>
      <c r="I343" t="s">
        <v>139</v>
      </c>
      <c r="J343">
        <v>531338.69999999995</v>
      </c>
      <c r="K343">
        <v>191276.1</v>
      </c>
      <c r="L343">
        <v>129787.6</v>
      </c>
      <c r="M343" t="s">
        <v>139</v>
      </c>
      <c r="N343" t="s">
        <v>139</v>
      </c>
      <c r="O343" t="s">
        <v>139</v>
      </c>
      <c r="P343" t="s">
        <v>139</v>
      </c>
      <c r="Q343" t="s">
        <v>139</v>
      </c>
      <c r="R343" t="s">
        <v>139</v>
      </c>
      <c r="S343" t="s">
        <v>139</v>
      </c>
      <c r="T343" t="s">
        <v>139</v>
      </c>
      <c r="U343">
        <v>102134.8</v>
      </c>
      <c r="V343" s="6" t="s">
        <v>139</v>
      </c>
      <c r="W343" t="s">
        <v>139</v>
      </c>
      <c r="X343" t="s">
        <v>139</v>
      </c>
      <c r="Y343" t="s">
        <v>139</v>
      </c>
      <c r="Z343">
        <v>108140.2</v>
      </c>
      <c r="AA343" t="s">
        <v>139</v>
      </c>
      <c r="AB343" t="s">
        <v>139</v>
      </c>
      <c r="AC343" t="s">
        <v>139</v>
      </c>
      <c r="AD343">
        <v>100670.7</v>
      </c>
      <c r="AE343" t="s">
        <v>139</v>
      </c>
      <c r="AF343">
        <v>5143.5</v>
      </c>
      <c r="AG343">
        <v>49471.8</v>
      </c>
      <c r="AH343" s="9">
        <v>887136.1</v>
      </c>
      <c r="AI343">
        <v>731356.1</v>
      </c>
      <c r="AJ343">
        <v>140030.20000000001</v>
      </c>
      <c r="AK343" t="s">
        <v>139</v>
      </c>
      <c r="AL343">
        <v>19494.099999999999</v>
      </c>
      <c r="AM343" t="s">
        <v>139</v>
      </c>
      <c r="AN343">
        <v>35052.1</v>
      </c>
      <c r="AO343" s="9">
        <v>782264.4</v>
      </c>
      <c r="AP343">
        <v>104871.7</v>
      </c>
      <c r="AQ343" t="s">
        <v>139</v>
      </c>
      <c r="AR343" t="s">
        <v>139</v>
      </c>
      <c r="AS343">
        <f t="shared" si="2"/>
        <v>871386.3</v>
      </c>
      <c r="AT343">
        <f t="shared" si="1"/>
        <v>1.0180744177410179</v>
      </c>
    </row>
    <row r="344" spans="1:46" x14ac:dyDescent="0.4">
      <c r="A344" s="3" t="s">
        <v>475</v>
      </c>
      <c r="B344">
        <v>700108.7</v>
      </c>
      <c r="C344">
        <v>172216.5</v>
      </c>
      <c r="D344">
        <v>88034.9</v>
      </c>
      <c r="E344" t="s">
        <v>139</v>
      </c>
      <c r="F344" t="s">
        <v>139</v>
      </c>
      <c r="G344">
        <v>84181.6</v>
      </c>
      <c r="H344" t="s">
        <v>139</v>
      </c>
      <c r="I344" t="s">
        <v>139</v>
      </c>
      <c r="J344">
        <v>527892.19999999995</v>
      </c>
      <c r="K344">
        <v>191586.9</v>
      </c>
      <c r="L344">
        <v>130025.7</v>
      </c>
      <c r="M344" t="s">
        <v>139</v>
      </c>
      <c r="N344" t="s">
        <v>139</v>
      </c>
      <c r="O344" t="s">
        <v>139</v>
      </c>
      <c r="P344" t="s">
        <v>139</v>
      </c>
      <c r="Q344" t="s">
        <v>139</v>
      </c>
      <c r="R344" t="s">
        <v>139</v>
      </c>
      <c r="S344" t="s">
        <v>139</v>
      </c>
      <c r="T344" t="s">
        <v>139</v>
      </c>
      <c r="U344">
        <v>101896.1</v>
      </c>
      <c r="V344" s="6" t="s">
        <v>139</v>
      </c>
      <c r="W344" t="s">
        <v>139</v>
      </c>
      <c r="X344" t="s">
        <v>139</v>
      </c>
      <c r="Y344" t="s">
        <v>139</v>
      </c>
      <c r="Z344">
        <v>104383.6</v>
      </c>
      <c r="AA344" t="s">
        <v>139</v>
      </c>
      <c r="AB344" t="s">
        <v>139</v>
      </c>
      <c r="AC344" t="s">
        <v>139</v>
      </c>
      <c r="AD344">
        <v>96938</v>
      </c>
      <c r="AE344" t="s">
        <v>139</v>
      </c>
      <c r="AF344">
        <v>5077.3</v>
      </c>
      <c r="AG344">
        <v>48234.6</v>
      </c>
      <c r="AH344" s="9">
        <v>878698.3</v>
      </c>
      <c r="AI344">
        <v>719638.7</v>
      </c>
      <c r="AJ344">
        <v>138749.1</v>
      </c>
      <c r="AK344" t="s">
        <v>139</v>
      </c>
      <c r="AL344">
        <v>18778.2</v>
      </c>
      <c r="AM344" t="s">
        <v>139</v>
      </c>
      <c r="AN344">
        <v>32768.800000000003</v>
      </c>
      <c r="AO344" s="9">
        <v>766850.7</v>
      </c>
      <c r="AP344">
        <v>111847.6</v>
      </c>
      <c r="AQ344" t="s">
        <v>139</v>
      </c>
      <c r="AR344" t="s">
        <v>139</v>
      </c>
      <c r="AS344">
        <f t="shared" si="2"/>
        <v>858387.79999999993</v>
      </c>
      <c r="AT344">
        <f t="shared" si="1"/>
        <v>1.0236612169930654</v>
      </c>
    </row>
    <row r="345" spans="1:46" x14ac:dyDescent="0.4">
      <c r="A345" s="3" t="s">
        <v>476</v>
      </c>
      <c r="B345">
        <v>696366.1</v>
      </c>
      <c r="C345">
        <v>172066.8</v>
      </c>
      <c r="D345">
        <v>87308</v>
      </c>
      <c r="E345" t="s">
        <v>139</v>
      </c>
      <c r="F345" t="s">
        <v>139</v>
      </c>
      <c r="G345">
        <v>84758.8</v>
      </c>
      <c r="H345" t="s">
        <v>139</v>
      </c>
      <c r="I345" t="s">
        <v>139</v>
      </c>
      <c r="J345">
        <v>524299.4</v>
      </c>
      <c r="K345">
        <v>190380.5</v>
      </c>
      <c r="L345">
        <v>130631.8</v>
      </c>
      <c r="M345" t="s">
        <v>139</v>
      </c>
      <c r="N345" t="s">
        <v>139</v>
      </c>
      <c r="O345" t="s">
        <v>139</v>
      </c>
      <c r="P345" t="s">
        <v>139</v>
      </c>
      <c r="Q345" t="s">
        <v>139</v>
      </c>
      <c r="R345" t="s">
        <v>139</v>
      </c>
      <c r="S345" t="s">
        <v>139</v>
      </c>
      <c r="T345" t="s">
        <v>139</v>
      </c>
      <c r="U345">
        <v>102096.8</v>
      </c>
      <c r="V345" s="6" t="s">
        <v>139</v>
      </c>
      <c r="W345" t="s">
        <v>139</v>
      </c>
      <c r="X345" t="s">
        <v>139</v>
      </c>
      <c r="Y345" t="s">
        <v>139</v>
      </c>
      <c r="Z345">
        <v>101190.2</v>
      </c>
      <c r="AA345" t="s">
        <v>139</v>
      </c>
      <c r="AB345" t="s">
        <v>139</v>
      </c>
      <c r="AC345" t="s">
        <v>139</v>
      </c>
      <c r="AD345">
        <v>95345.7</v>
      </c>
      <c r="AE345" t="s">
        <v>139</v>
      </c>
      <c r="AF345">
        <v>5027.8999999999996</v>
      </c>
      <c r="AG345">
        <v>49059.3</v>
      </c>
      <c r="AH345" s="9">
        <v>876075.6</v>
      </c>
      <c r="AI345">
        <v>714944.5</v>
      </c>
      <c r="AJ345">
        <v>140815.1</v>
      </c>
      <c r="AK345" t="s">
        <v>139</v>
      </c>
      <c r="AL345">
        <v>18248.099999999999</v>
      </c>
      <c r="AM345" t="s">
        <v>139</v>
      </c>
      <c r="AN345">
        <v>33267.800000000003</v>
      </c>
      <c r="AO345" s="9">
        <v>762159.9</v>
      </c>
      <c r="AP345">
        <v>113915.7</v>
      </c>
      <c r="AQ345" t="s">
        <v>139</v>
      </c>
      <c r="AR345" t="s">
        <v>139</v>
      </c>
      <c r="AS345">
        <f t="shared" si="2"/>
        <v>855759.6</v>
      </c>
      <c r="AT345">
        <f t="shared" si="1"/>
        <v>1.0237403121156923</v>
      </c>
    </row>
    <row r="346" spans="1:46" x14ac:dyDescent="0.4">
      <c r="A346" s="3" t="s">
        <v>477</v>
      </c>
      <c r="B346">
        <v>700441.5</v>
      </c>
      <c r="C346">
        <v>177211.8</v>
      </c>
      <c r="D346">
        <v>92428.9</v>
      </c>
      <c r="E346" t="s">
        <v>139</v>
      </c>
      <c r="F346" t="s">
        <v>139</v>
      </c>
      <c r="G346">
        <v>84783</v>
      </c>
      <c r="H346" t="s">
        <v>139</v>
      </c>
      <c r="I346" t="s">
        <v>139</v>
      </c>
      <c r="J346">
        <v>523229.7</v>
      </c>
      <c r="K346">
        <v>188119.1</v>
      </c>
      <c r="L346">
        <v>131178.6</v>
      </c>
      <c r="M346" t="s">
        <v>139</v>
      </c>
      <c r="N346" t="s">
        <v>139</v>
      </c>
      <c r="O346" t="s">
        <v>139</v>
      </c>
      <c r="P346" t="s">
        <v>139</v>
      </c>
      <c r="Q346" t="s">
        <v>139</v>
      </c>
      <c r="R346" t="s">
        <v>139</v>
      </c>
      <c r="S346" t="s">
        <v>139</v>
      </c>
      <c r="T346" t="s">
        <v>139</v>
      </c>
      <c r="U346">
        <v>101898.3</v>
      </c>
      <c r="V346" s="6" t="s">
        <v>139</v>
      </c>
      <c r="W346" t="s">
        <v>139</v>
      </c>
      <c r="X346" t="s">
        <v>139</v>
      </c>
      <c r="Y346" t="s">
        <v>139</v>
      </c>
      <c r="Z346">
        <v>102033.5</v>
      </c>
      <c r="AA346" t="s">
        <v>139</v>
      </c>
      <c r="AB346" t="s">
        <v>139</v>
      </c>
      <c r="AC346" t="s">
        <v>139</v>
      </c>
      <c r="AD346">
        <v>96966</v>
      </c>
      <c r="AE346" t="s">
        <v>139</v>
      </c>
      <c r="AF346">
        <v>5103.6000000000004</v>
      </c>
      <c r="AG346">
        <v>49957.7</v>
      </c>
      <c r="AH346" s="9">
        <v>884595</v>
      </c>
      <c r="AI346">
        <v>722633.1</v>
      </c>
      <c r="AJ346">
        <v>141329.4</v>
      </c>
      <c r="AK346" t="s">
        <v>139</v>
      </c>
      <c r="AL346">
        <v>18642.2</v>
      </c>
      <c r="AM346" t="s">
        <v>139</v>
      </c>
      <c r="AN346">
        <v>33338.6</v>
      </c>
      <c r="AO346" s="9">
        <v>769853.6</v>
      </c>
      <c r="AP346">
        <v>114741.4</v>
      </c>
      <c r="AQ346" t="s">
        <v>139</v>
      </c>
      <c r="AR346" t="s">
        <v>139</v>
      </c>
      <c r="AS346">
        <f t="shared" si="2"/>
        <v>863962.5</v>
      </c>
      <c r="AT346">
        <f t="shared" si="1"/>
        <v>1.0238812448456964</v>
      </c>
    </row>
    <row r="347" spans="1:46" x14ac:dyDescent="0.4">
      <c r="A347" s="3" t="s">
        <v>478</v>
      </c>
      <c r="B347">
        <v>703862.9</v>
      </c>
      <c r="C347">
        <v>182076.9</v>
      </c>
      <c r="D347">
        <v>97541.6</v>
      </c>
      <c r="E347" t="s">
        <v>139</v>
      </c>
      <c r="F347" t="s">
        <v>139</v>
      </c>
      <c r="G347">
        <v>84535.3</v>
      </c>
      <c r="H347" t="s">
        <v>139</v>
      </c>
      <c r="I347" t="s">
        <v>139</v>
      </c>
      <c r="J347">
        <v>521786</v>
      </c>
      <c r="K347">
        <v>187410.9</v>
      </c>
      <c r="L347">
        <v>131639.1</v>
      </c>
      <c r="M347" t="s">
        <v>139</v>
      </c>
      <c r="N347" t="s">
        <v>139</v>
      </c>
      <c r="O347" t="s">
        <v>139</v>
      </c>
      <c r="P347" t="s">
        <v>139</v>
      </c>
      <c r="Q347" t="s">
        <v>139</v>
      </c>
      <c r="R347" t="s">
        <v>139</v>
      </c>
      <c r="S347" t="s">
        <v>139</v>
      </c>
      <c r="T347" t="s">
        <v>139</v>
      </c>
      <c r="U347">
        <v>101426.6</v>
      </c>
      <c r="V347" s="6" t="s">
        <v>139</v>
      </c>
      <c r="W347" t="s">
        <v>139</v>
      </c>
      <c r="X347" t="s">
        <v>139</v>
      </c>
      <c r="Y347" t="s">
        <v>139</v>
      </c>
      <c r="Z347">
        <v>101309.3</v>
      </c>
      <c r="AA347" t="s">
        <v>139</v>
      </c>
      <c r="AB347" t="s">
        <v>139</v>
      </c>
      <c r="AC347" t="s">
        <v>139</v>
      </c>
      <c r="AD347">
        <v>98863.7</v>
      </c>
      <c r="AE347" t="s">
        <v>139</v>
      </c>
      <c r="AF347">
        <v>5247</v>
      </c>
      <c r="AG347">
        <v>51077.599999999999</v>
      </c>
      <c r="AH347" s="9">
        <v>887890.6</v>
      </c>
      <c r="AI347">
        <v>731921.4</v>
      </c>
      <c r="AJ347">
        <v>143360.20000000001</v>
      </c>
      <c r="AK347" t="s">
        <v>139</v>
      </c>
      <c r="AL347">
        <v>18876.599999999999</v>
      </c>
      <c r="AM347" t="s">
        <v>139</v>
      </c>
      <c r="AN347">
        <v>33351.1</v>
      </c>
      <c r="AO347" s="9">
        <v>779148.1</v>
      </c>
      <c r="AP347">
        <v>108742.5</v>
      </c>
      <c r="AQ347" t="s">
        <v>139</v>
      </c>
      <c r="AR347" t="s">
        <v>139</v>
      </c>
      <c r="AS347">
        <f t="shared" si="2"/>
        <v>875281.60000000009</v>
      </c>
      <c r="AT347">
        <f t="shared" si="1"/>
        <v>1.0144056495646656</v>
      </c>
    </row>
    <row r="348" spans="1:46" x14ac:dyDescent="0.4">
      <c r="A348" s="3" t="s">
        <v>479</v>
      </c>
      <c r="B348">
        <v>704925.5</v>
      </c>
      <c r="C348">
        <v>183881</v>
      </c>
      <c r="D348">
        <v>99238.7</v>
      </c>
      <c r="E348" t="s">
        <v>139</v>
      </c>
      <c r="F348" t="s">
        <v>139</v>
      </c>
      <c r="G348">
        <v>84642.3</v>
      </c>
      <c r="H348" t="s">
        <v>139</v>
      </c>
      <c r="I348" t="s">
        <v>139</v>
      </c>
      <c r="J348">
        <v>521044.5</v>
      </c>
      <c r="K348">
        <v>186074</v>
      </c>
      <c r="L348">
        <v>131723.29999999999</v>
      </c>
      <c r="M348" t="s">
        <v>139</v>
      </c>
      <c r="N348" t="s">
        <v>139</v>
      </c>
      <c r="O348" t="s">
        <v>139</v>
      </c>
      <c r="P348" t="s">
        <v>139</v>
      </c>
      <c r="Q348" t="s">
        <v>139</v>
      </c>
      <c r="R348" t="s">
        <v>139</v>
      </c>
      <c r="S348" t="s">
        <v>139</v>
      </c>
      <c r="T348" t="s">
        <v>139</v>
      </c>
      <c r="U348">
        <v>101160.5</v>
      </c>
      <c r="V348" s="6" t="s">
        <v>139</v>
      </c>
      <c r="W348" t="s">
        <v>139</v>
      </c>
      <c r="X348" t="s">
        <v>139</v>
      </c>
      <c r="Y348" t="s">
        <v>139</v>
      </c>
      <c r="Z348">
        <v>102086.7</v>
      </c>
      <c r="AA348" t="s">
        <v>139</v>
      </c>
      <c r="AB348" t="s">
        <v>139</v>
      </c>
      <c r="AC348" t="s">
        <v>139</v>
      </c>
      <c r="AD348">
        <v>97938.5</v>
      </c>
      <c r="AE348" t="s">
        <v>139</v>
      </c>
      <c r="AF348">
        <v>5140.1000000000004</v>
      </c>
      <c r="AG348">
        <v>50395.8</v>
      </c>
      <c r="AH348" s="9">
        <v>887692.6</v>
      </c>
      <c r="AI348">
        <v>730015.7</v>
      </c>
      <c r="AJ348">
        <v>142902.39999999999</v>
      </c>
      <c r="AK348" t="s">
        <v>139</v>
      </c>
      <c r="AL348">
        <v>18799.2</v>
      </c>
      <c r="AM348" t="s">
        <v>139</v>
      </c>
      <c r="AN348">
        <v>32243.200000000001</v>
      </c>
      <c r="AO348" s="9">
        <v>775982.7</v>
      </c>
      <c r="AP348">
        <v>111709.8</v>
      </c>
      <c r="AQ348" t="s">
        <v>139</v>
      </c>
      <c r="AR348" t="s">
        <v>139</v>
      </c>
      <c r="AS348">
        <f t="shared" si="2"/>
        <v>872918.1</v>
      </c>
      <c r="AT348">
        <f t="shared" si="1"/>
        <v>1.0169254137358361</v>
      </c>
    </row>
    <row r="349" spans="1:46" x14ac:dyDescent="0.4">
      <c r="A349" s="3" t="s">
        <v>480</v>
      </c>
      <c r="B349">
        <v>708911.2</v>
      </c>
      <c r="C349">
        <v>187676.79999999999</v>
      </c>
      <c r="D349">
        <v>102573.3</v>
      </c>
      <c r="E349" t="s">
        <v>139</v>
      </c>
      <c r="F349" t="s">
        <v>139</v>
      </c>
      <c r="G349">
        <v>85103.5</v>
      </c>
      <c r="H349" t="s">
        <v>139</v>
      </c>
      <c r="I349" t="s">
        <v>139</v>
      </c>
      <c r="J349">
        <v>521234.4</v>
      </c>
      <c r="K349">
        <v>184638</v>
      </c>
      <c r="L349">
        <v>131853.20000000001</v>
      </c>
      <c r="M349" t="s">
        <v>139</v>
      </c>
      <c r="N349" t="s">
        <v>139</v>
      </c>
      <c r="O349" t="s">
        <v>139</v>
      </c>
      <c r="P349" t="s">
        <v>139</v>
      </c>
      <c r="Q349" t="s">
        <v>139</v>
      </c>
      <c r="R349" t="s">
        <v>139</v>
      </c>
      <c r="S349" t="s">
        <v>139</v>
      </c>
      <c r="T349" t="s">
        <v>139</v>
      </c>
      <c r="U349">
        <v>101102</v>
      </c>
      <c r="V349" s="6" t="s">
        <v>139</v>
      </c>
      <c r="W349" t="s">
        <v>139</v>
      </c>
      <c r="X349" t="s">
        <v>139</v>
      </c>
      <c r="Y349" t="s">
        <v>139</v>
      </c>
      <c r="Z349">
        <v>103641.2</v>
      </c>
      <c r="AA349" t="s">
        <v>139</v>
      </c>
      <c r="AB349" t="s">
        <v>139</v>
      </c>
      <c r="AC349" t="s">
        <v>139</v>
      </c>
      <c r="AD349">
        <v>101813.1</v>
      </c>
      <c r="AE349" t="s">
        <v>139</v>
      </c>
      <c r="AF349">
        <v>4789.5</v>
      </c>
      <c r="AG349">
        <v>51562.3</v>
      </c>
      <c r="AH349" s="9">
        <v>897472.8</v>
      </c>
      <c r="AI349">
        <v>742646.5</v>
      </c>
      <c r="AJ349">
        <v>142612.20000000001</v>
      </c>
      <c r="AK349" t="s">
        <v>139</v>
      </c>
      <c r="AL349">
        <v>19294.2</v>
      </c>
      <c r="AM349" t="s">
        <v>139</v>
      </c>
      <c r="AN349">
        <v>31995.3</v>
      </c>
      <c r="AO349" s="9">
        <v>787903.1</v>
      </c>
      <c r="AP349">
        <v>109569.8</v>
      </c>
      <c r="AQ349" t="s">
        <v>139</v>
      </c>
      <c r="AR349" t="s">
        <v>139</v>
      </c>
      <c r="AS349">
        <f t="shared" si="2"/>
        <v>885258.7</v>
      </c>
      <c r="AT349">
        <f t="shared" si="1"/>
        <v>1.0137972097873764</v>
      </c>
    </row>
    <row r="350" spans="1:46" x14ac:dyDescent="0.4">
      <c r="A350" s="3" t="s">
        <v>481</v>
      </c>
      <c r="B350">
        <v>709456.8</v>
      </c>
      <c r="C350">
        <v>189186.1</v>
      </c>
      <c r="D350">
        <v>103690.7</v>
      </c>
      <c r="E350" t="s">
        <v>139</v>
      </c>
      <c r="F350" t="s">
        <v>139</v>
      </c>
      <c r="G350">
        <v>85495.3</v>
      </c>
      <c r="H350" t="s">
        <v>139</v>
      </c>
      <c r="I350" t="s">
        <v>139</v>
      </c>
      <c r="J350">
        <v>520270.7</v>
      </c>
      <c r="K350">
        <v>183651</v>
      </c>
      <c r="L350">
        <v>131830</v>
      </c>
      <c r="M350" t="s">
        <v>139</v>
      </c>
      <c r="N350" t="s">
        <v>139</v>
      </c>
      <c r="O350" t="s">
        <v>139</v>
      </c>
      <c r="P350" t="s">
        <v>139</v>
      </c>
      <c r="Q350" t="s">
        <v>139</v>
      </c>
      <c r="R350" t="s">
        <v>139</v>
      </c>
      <c r="S350" t="s">
        <v>139</v>
      </c>
      <c r="T350" t="s">
        <v>139</v>
      </c>
      <c r="U350">
        <v>101230.3</v>
      </c>
      <c r="V350" s="6" t="s">
        <v>139</v>
      </c>
      <c r="W350" t="s">
        <v>139</v>
      </c>
      <c r="X350" t="s">
        <v>139</v>
      </c>
      <c r="Y350" t="s">
        <v>139</v>
      </c>
      <c r="Z350">
        <v>103559.4</v>
      </c>
      <c r="AA350" t="s">
        <v>139</v>
      </c>
      <c r="AB350" t="s">
        <v>139</v>
      </c>
      <c r="AC350" t="s">
        <v>139</v>
      </c>
      <c r="AD350">
        <v>98189.4</v>
      </c>
      <c r="AE350" t="s">
        <v>139</v>
      </c>
      <c r="AF350">
        <v>5219.3</v>
      </c>
      <c r="AG350">
        <v>49999.5</v>
      </c>
      <c r="AH350" s="9">
        <v>892029.5</v>
      </c>
      <c r="AI350">
        <v>739606.4</v>
      </c>
      <c r="AJ350">
        <v>142897.70000000001</v>
      </c>
      <c r="AK350" t="s">
        <v>139</v>
      </c>
      <c r="AL350">
        <v>18615.3</v>
      </c>
      <c r="AM350" t="s">
        <v>139</v>
      </c>
      <c r="AN350">
        <v>31984.1</v>
      </c>
      <c r="AO350" s="9">
        <v>784367.4</v>
      </c>
      <c r="AP350">
        <v>107662.1</v>
      </c>
      <c r="AQ350" t="s">
        <v>139</v>
      </c>
      <c r="AR350" t="s">
        <v>139</v>
      </c>
      <c r="AS350">
        <f t="shared" si="2"/>
        <v>882504.10000000009</v>
      </c>
      <c r="AT350">
        <f t="shared" si="1"/>
        <v>1.0107936042450114</v>
      </c>
    </row>
    <row r="351" spans="1:46" x14ac:dyDescent="0.4">
      <c r="A351" s="3" t="s">
        <v>482</v>
      </c>
      <c r="B351">
        <v>712267.9</v>
      </c>
      <c r="C351">
        <v>192315.6</v>
      </c>
      <c r="D351">
        <v>106359.1</v>
      </c>
      <c r="E351" t="s">
        <v>139</v>
      </c>
      <c r="F351" t="s">
        <v>139</v>
      </c>
      <c r="G351">
        <v>85956.5</v>
      </c>
      <c r="H351" t="s">
        <v>139</v>
      </c>
      <c r="I351" t="s">
        <v>139</v>
      </c>
      <c r="J351">
        <v>519952.3</v>
      </c>
      <c r="K351">
        <v>182928.2</v>
      </c>
      <c r="L351">
        <v>131931.29999999999</v>
      </c>
      <c r="M351" t="s">
        <v>139</v>
      </c>
      <c r="N351" t="s">
        <v>139</v>
      </c>
      <c r="O351" t="s">
        <v>139</v>
      </c>
      <c r="P351" t="s">
        <v>139</v>
      </c>
      <c r="Q351" t="s">
        <v>139</v>
      </c>
      <c r="R351" t="s">
        <v>139</v>
      </c>
      <c r="S351" t="s">
        <v>139</v>
      </c>
      <c r="T351" t="s">
        <v>139</v>
      </c>
      <c r="U351">
        <v>101615.4</v>
      </c>
      <c r="V351" s="6" t="s">
        <v>139</v>
      </c>
      <c r="W351" t="s">
        <v>139</v>
      </c>
      <c r="X351" t="s">
        <v>139</v>
      </c>
      <c r="Y351" t="s">
        <v>139</v>
      </c>
      <c r="Z351">
        <v>103477.4</v>
      </c>
      <c r="AA351" t="s">
        <v>139</v>
      </c>
      <c r="AB351" t="s">
        <v>139</v>
      </c>
      <c r="AC351" t="s">
        <v>139</v>
      </c>
      <c r="AD351">
        <v>98938.2</v>
      </c>
      <c r="AE351" t="s">
        <v>139</v>
      </c>
      <c r="AF351">
        <v>5414.8</v>
      </c>
      <c r="AG351">
        <v>50670.9</v>
      </c>
      <c r="AH351" s="9">
        <v>895230.4</v>
      </c>
      <c r="AI351">
        <v>736996.2</v>
      </c>
      <c r="AJ351">
        <v>142784.70000000001</v>
      </c>
      <c r="AK351" t="s">
        <v>139</v>
      </c>
      <c r="AL351">
        <v>18054.5</v>
      </c>
      <c r="AM351" t="s">
        <v>139</v>
      </c>
      <c r="AN351">
        <v>32469.4</v>
      </c>
      <c r="AO351" s="9">
        <v>782598.5</v>
      </c>
      <c r="AP351">
        <v>112631.8</v>
      </c>
      <c r="AQ351" t="s">
        <v>139</v>
      </c>
      <c r="AR351" t="s">
        <v>139</v>
      </c>
      <c r="AS351">
        <f t="shared" si="2"/>
        <v>879780.89999999991</v>
      </c>
      <c r="AT351">
        <f t="shared" si="1"/>
        <v>1.0175606221958218</v>
      </c>
    </row>
    <row r="352" spans="1:46" x14ac:dyDescent="0.4">
      <c r="A352" s="3" t="s">
        <v>483</v>
      </c>
      <c r="B352">
        <v>717542.8</v>
      </c>
      <c r="C352">
        <v>196386.3</v>
      </c>
      <c r="D352">
        <v>110550.6</v>
      </c>
      <c r="E352" t="s">
        <v>139</v>
      </c>
      <c r="F352" t="s">
        <v>139</v>
      </c>
      <c r="G352">
        <v>85835.7</v>
      </c>
      <c r="H352" t="s">
        <v>139</v>
      </c>
      <c r="I352" t="s">
        <v>139</v>
      </c>
      <c r="J352">
        <v>521156.6</v>
      </c>
      <c r="K352">
        <v>182822</v>
      </c>
      <c r="L352">
        <v>132132.5</v>
      </c>
      <c r="M352" t="s">
        <v>139</v>
      </c>
      <c r="N352" t="s">
        <v>139</v>
      </c>
      <c r="O352" t="s">
        <v>139</v>
      </c>
      <c r="P352" t="s">
        <v>139</v>
      </c>
      <c r="Q352" t="s">
        <v>139</v>
      </c>
      <c r="R352" t="s">
        <v>139</v>
      </c>
      <c r="S352" t="s">
        <v>139</v>
      </c>
      <c r="T352" t="s">
        <v>139</v>
      </c>
      <c r="U352">
        <v>102182</v>
      </c>
      <c r="V352" s="6" t="s">
        <v>139</v>
      </c>
      <c r="W352" t="s">
        <v>139</v>
      </c>
      <c r="X352" t="s">
        <v>139</v>
      </c>
      <c r="Y352" t="s">
        <v>139</v>
      </c>
      <c r="Z352">
        <v>104020.2</v>
      </c>
      <c r="AA352" t="s">
        <v>139</v>
      </c>
      <c r="AB352" t="s">
        <v>139</v>
      </c>
      <c r="AC352" t="s">
        <v>139</v>
      </c>
      <c r="AD352">
        <v>97173.3</v>
      </c>
      <c r="AE352" t="s">
        <v>139</v>
      </c>
      <c r="AF352">
        <v>5592.3</v>
      </c>
      <c r="AG352">
        <v>52467.9</v>
      </c>
      <c r="AH352" s="9">
        <v>899122.2</v>
      </c>
      <c r="AI352">
        <v>743484</v>
      </c>
      <c r="AJ352">
        <v>142705.79999999999</v>
      </c>
      <c r="AK352" t="s">
        <v>139</v>
      </c>
      <c r="AL352">
        <v>18433.099999999999</v>
      </c>
      <c r="AM352" t="s">
        <v>139</v>
      </c>
      <c r="AN352">
        <v>33045.199999999997</v>
      </c>
      <c r="AO352" s="9">
        <v>789865.3</v>
      </c>
      <c r="AP352">
        <v>109256.9</v>
      </c>
      <c r="AQ352" t="s">
        <v>139</v>
      </c>
      <c r="AR352" t="s">
        <v>139</v>
      </c>
      <c r="AS352">
        <f t="shared" si="2"/>
        <v>886189.8</v>
      </c>
      <c r="AT352">
        <f t="shared" si="1"/>
        <v>1.0145932620754605</v>
      </c>
    </row>
    <row r="353" spans="1:46" x14ac:dyDescent="0.4">
      <c r="A353" s="3" t="s">
        <v>484</v>
      </c>
      <c r="B353">
        <v>720066.8</v>
      </c>
      <c r="C353">
        <v>197805.2</v>
      </c>
      <c r="D353">
        <v>110926.2</v>
      </c>
      <c r="E353" t="s">
        <v>139</v>
      </c>
      <c r="F353" t="s">
        <v>139</v>
      </c>
      <c r="G353">
        <v>86879</v>
      </c>
      <c r="H353" t="s">
        <v>139</v>
      </c>
      <c r="I353" t="s">
        <v>139</v>
      </c>
      <c r="J353">
        <v>522261.5</v>
      </c>
      <c r="K353">
        <v>182714.2</v>
      </c>
      <c r="L353">
        <v>132863</v>
      </c>
      <c r="M353" t="s">
        <v>139</v>
      </c>
      <c r="N353" t="s">
        <v>139</v>
      </c>
      <c r="O353" t="s">
        <v>139</v>
      </c>
      <c r="P353" t="s">
        <v>139</v>
      </c>
      <c r="Q353" t="s">
        <v>139</v>
      </c>
      <c r="R353" t="s">
        <v>139</v>
      </c>
      <c r="S353" t="s">
        <v>139</v>
      </c>
      <c r="T353" t="s">
        <v>139</v>
      </c>
      <c r="U353">
        <v>102886.8</v>
      </c>
      <c r="V353" s="6" t="s">
        <v>139</v>
      </c>
      <c r="W353" t="s">
        <v>139</v>
      </c>
      <c r="X353" t="s">
        <v>139</v>
      </c>
      <c r="Y353" t="s">
        <v>139</v>
      </c>
      <c r="Z353">
        <v>103797.5</v>
      </c>
      <c r="AA353" t="s">
        <v>139</v>
      </c>
      <c r="AB353" t="s">
        <v>139</v>
      </c>
      <c r="AC353" t="s">
        <v>139</v>
      </c>
      <c r="AD353">
        <v>96841.4</v>
      </c>
      <c r="AE353" t="s">
        <v>139</v>
      </c>
      <c r="AF353">
        <v>5475.6</v>
      </c>
      <c r="AG353">
        <v>53829.3</v>
      </c>
      <c r="AH353" s="9">
        <v>903720.6</v>
      </c>
      <c r="AI353">
        <v>750575.1</v>
      </c>
      <c r="AJ353">
        <v>142987.5</v>
      </c>
      <c r="AK353" t="s">
        <v>139</v>
      </c>
      <c r="AL353">
        <v>19297.5</v>
      </c>
      <c r="AM353" t="s">
        <v>139</v>
      </c>
      <c r="AN353">
        <v>32300.400000000001</v>
      </c>
      <c r="AO353" s="9">
        <v>796423</v>
      </c>
      <c r="AP353">
        <v>107297.60000000001</v>
      </c>
      <c r="AQ353" t="s">
        <v>139</v>
      </c>
      <c r="AR353" t="s">
        <v>139</v>
      </c>
      <c r="AS353">
        <f t="shared" si="2"/>
        <v>893562.6</v>
      </c>
      <c r="AT353">
        <f t="shared" si="1"/>
        <v>1.0113679780241474</v>
      </c>
    </row>
    <row r="354" spans="1:46" x14ac:dyDescent="0.4">
      <c r="A354" s="3" t="s">
        <v>485</v>
      </c>
      <c r="B354">
        <v>723180.2</v>
      </c>
      <c r="C354">
        <v>200863.8</v>
      </c>
      <c r="D354">
        <v>113839.2</v>
      </c>
      <c r="E354" t="s">
        <v>139</v>
      </c>
      <c r="F354" t="s">
        <v>139</v>
      </c>
      <c r="G354">
        <v>87024.5</v>
      </c>
      <c r="H354" t="s">
        <v>139</v>
      </c>
      <c r="I354" t="s">
        <v>139</v>
      </c>
      <c r="J354">
        <v>522316.5</v>
      </c>
      <c r="K354">
        <v>182618.9</v>
      </c>
      <c r="L354">
        <v>133381.9</v>
      </c>
      <c r="M354" t="s">
        <v>139</v>
      </c>
      <c r="N354" t="s">
        <v>139</v>
      </c>
      <c r="O354" t="s">
        <v>139</v>
      </c>
      <c r="P354" t="s">
        <v>139</v>
      </c>
      <c r="Q354" t="s">
        <v>139</v>
      </c>
      <c r="R354" t="s">
        <v>139</v>
      </c>
      <c r="S354" t="s">
        <v>139</v>
      </c>
      <c r="T354" t="s">
        <v>139</v>
      </c>
      <c r="U354">
        <v>103572.4</v>
      </c>
      <c r="V354" s="6" t="s">
        <v>139</v>
      </c>
      <c r="W354" t="s">
        <v>139</v>
      </c>
      <c r="X354" t="s">
        <v>139</v>
      </c>
      <c r="Y354" t="s">
        <v>139</v>
      </c>
      <c r="Z354">
        <v>102743.3</v>
      </c>
      <c r="AA354" t="s">
        <v>139</v>
      </c>
      <c r="AB354" t="s">
        <v>139</v>
      </c>
      <c r="AC354" t="s">
        <v>139</v>
      </c>
      <c r="AD354">
        <v>100220.9</v>
      </c>
      <c r="AE354" t="s">
        <v>139</v>
      </c>
      <c r="AF354">
        <v>5450.7</v>
      </c>
      <c r="AG354">
        <v>54841.2</v>
      </c>
      <c r="AH354" s="9">
        <v>912274.7</v>
      </c>
      <c r="AI354">
        <v>757239.2</v>
      </c>
      <c r="AJ354">
        <v>140981</v>
      </c>
      <c r="AK354" t="s">
        <v>139</v>
      </c>
      <c r="AL354">
        <v>19503.400000000001</v>
      </c>
      <c r="AM354" t="s">
        <v>139</v>
      </c>
      <c r="AN354">
        <v>32401.200000000001</v>
      </c>
      <c r="AO354" s="9">
        <v>803387</v>
      </c>
      <c r="AP354">
        <v>108887.7</v>
      </c>
      <c r="AQ354" t="s">
        <v>139</v>
      </c>
      <c r="AR354" t="s">
        <v>139</v>
      </c>
      <c r="AS354">
        <f t="shared" si="2"/>
        <v>898220.2</v>
      </c>
      <c r="AT354">
        <f t="shared" si="1"/>
        <v>1.0156470540297358</v>
      </c>
    </row>
    <row r="355" spans="1:46" x14ac:dyDescent="0.4">
      <c r="A355" s="3" t="s">
        <v>486</v>
      </c>
      <c r="B355">
        <v>733429.9</v>
      </c>
      <c r="C355">
        <v>204910.6</v>
      </c>
      <c r="D355">
        <v>118137.3</v>
      </c>
      <c r="E355" t="s">
        <v>139</v>
      </c>
      <c r="F355" t="s">
        <v>139</v>
      </c>
      <c r="G355">
        <v>86773.4</v>
      </c>
      <c r="H355" t="s">
        <v>139</v>
      </c>
      <c r="I355" t="s">
        <v>139</v>
      </c>
      <c r="J355">
        <v>528519.30000000005</v>
      </c>
      <c r="K355">
        <v>183358.6</v>
      </c>
      <c r="L355">
        <v>134093.9</v>
      </c>
      <c r="M355" t="s">
        <v>139</v>
      </c>
      <c r="N355" t="s">
        <v>139</v>
      </c>
      <c r="O355" t="s">
        <v>139</v>
      </c>
      <c r="P355" t="s">
        <v>139</v>
      </c>
      <c r="Q355" t="s">
        <v>139</v>
      </c>
      <c r="R355" t="s">
        <v>139</v>
      </c>
      <c r="S355" t="s">
        <v>139</v>
      </c>
      <c r="T355" t="s">
        <v>139</v>
      </c>
      <c r="U355">
        <v>104332.7</v>
      </c>
      <c r="V355" s="6" t="s">
        <v>139</v>
      </c>
      <c r="W355" t="s">
        <v>139</v>
      </c>
      <c r="X355" t="s">
        <v>139</v>
      </c>
      <c r="Y355" t="s">
        <v>139</v>
      </c>
      <c r="Z355">
        <v>106734.1</v>
      </c>
      <c r="AA355" t="s">
        <v>139</v>
      </c>
      <c r="AB355" t="s">
        <v>139</v>
      </c>
      <c r="AC355" t="s">
        <v>139</v>
      </c>
      <c r="AD355">
        <v>102650.6</v>
      </c>
      <c r="AE355" t="s">
        <v>139</v>
      </c>
      <c r="AF355">
        <v>5131.8</v>
      </c>
      <c r="AG355">
        <v>52089.5</v>
      </c>
      <c r="AH355" s="9">
        <v>919749</v>
      </c>
      <c r="AI355">
        <v>767990.5</v>
      </c>
      <c r="AJ355">
        <v>140565.6</v>
      </c>
      <c r="AK355" t="s">
        <v>139</v>
      </c>
      <c r="AL355">
        <v>20546.900000000001</v>
      </c>
      <c r="AM355" t="s">
        <v>139</v>
      </c>
      <c r="AN355">
        <v>32044.2</v>
      </c>
      <c r="AO355" s="9">
        <v>814715.2</v>
      </c>
      <c r="AP355">
        <v>105033.8</v>
      </c>
      <c r="AQ355" t="s">
        <v>139</v>
      </c>
      <c r="AR355" t="s">
        <v>139</v>
      </c>
      <c r="AS355">
        <f t="shared" si="2"/>
        <v>908556.1</v>
      </c>
      <c r="AT355">
        <f t="shared" si="1"/>
        <v>1.0123194374018292</v>
      </c>
    </row>
    <row r="356" spans="1:46" x14ac:dyDescent="0.4">
      <c r="A356" s="3" t="s">
        <v>487</v>
      </c>
      <c r="B356">
        <v>730195.5</v>
      </c>
      <c r="C356">
        <v>205291.7</v>
      </c>
      <c r="D356">
        <v>119503.6</v>
      </c>
      <c r="E356" t="s">
        <v>139</v>
      </c>
      <c r="F356" t="s">
        <v>139</v>
      </c>
      <c r="G356">
        <v>85788.1</v>
      </c>
      <c r="H356" t="s">
        <v>139</v>
      </c>
      <c r="I356" t="s">
        <v>139</v>
      </c>
      <c r="J356">
        <v>524903.80000000005</v>
      </c>
      <c r="K356">
        <v>182648.1</v>
      </c>
      <c r="L356">
        <v>135048.4</v>
      </c>
      <c r="M356" t="s">
        <v>139</v>
      </c>
      <c r="N356" t="s">
        <v>139</v>
      </c>
      <c r="O356" t="s">
        <v>139</v>
      </c>
      <c r="P356" t="s">
        <v>139</v>
      </c>
      <c r="Q356" t="s">
        <v>139</v>
      </c>
      <c r="R356" t="s">
        <v>139</v>
      </c>
      <c r="S356" t="s">
        <v>139</v>
      </c>
      <c r="T356" t="s">
        <v>139</v>
      </c>
      <c r="U356">
        <v>105306.7</v>
      </c>
      <c r="V356" s="6" t="s">
        <v>139</v>
      </c>
      <c r="W356" t="s">
        <v>139</v>
      </c>
      <c r="X356" t="s">
        <v>139</v>
      </c>
      <c r="Y356" t="s">
        <v>139</v>
      </c>
      <c r="Z356">
        <v>101900.5</v>
      </c>
      <c r="AA356" t="s">
        <v>139</v>
      </c>
      <c r="AB356" t="s">
        <v>139</v>
      </c>
      <c r="AC356" t="s">
        <v>139</v>
      </c>
      <c r="AD356">
        <v>101998.7</v>
      </c>
      <c r="AE356" t="s">
        <v>139</v>
      </c>
      <c r="AF356">
        <v>5160</v>
      </c>
      <c r="AG356">
        <v>52724.2</v>
      </c>
      <c r="AH356" s="9">
        <v>917875.19999999995</v>
      </c>
      <c r="AI356">
        <v>761594.1</v>
      </c>
      <c r="AJ356">
        <v>140400</v>
      </c>
      <c r="AK356" t="s">
        <v>139</v>
      </c>
      <c r="AL356">
        <v>19056.400000000001</v>
      </c>
      <c r="AM356" t="s">
        <v>139</v>
      </c>
      <c r="AN356">
        <v>31170.6</v>
      </c>
      <c r="AO356" s="9">
        <v>804845.2</v>
      </c>
      <c r="AP356">
        <v>113030</v>
      </c>
      <c r="AQ356" t="s">
        <v>139</v>
      </c>
      <c r="AR356" t="s">
        <v>139</v>
      </c>
      <c r="AS356">
        <f t="shared" si="2"/>
        <v>901994.1</v>
      </c>
      <c r="AT356">
        <f t="shared" si="1"/>
        <v>1.0176066561854451</v>
      </c>
    </row>
    <row r="357" spans="1:46" x14ac:dyDescent="0.4">
      <c r="A357" s="3" t="s">
        <v>488</v>
      </c>
      <c r="B357">
        <v>732054.4</v>
      </c>
      <c r="C357">
        <v>206122.7</v>
      </c>
      <c r="D357">
        <v>120634.2</v>
      </c>
      <c r="E357" t="s">
        <v>139</v>
      </c>
      <c r="F357" t="s">
        <v>139</v>
      </c>
      <c r="G357">
        <v>85488.4</v>
      </c>
      <c r="H357" t="s">
        <v>139</v>
      </c>
      <c r="I357" t="s">
        <v>139</v>
      </c>
      <c r="J357">
        <v>525931.69999999995</v>
      </c>
      <c r="K357">
        <v>182044.4</v>
      </c>
      <c r="L357">
        <v>136298.4</v>
      </c>
      <c r="M357" t="s">
        <v>139</v>
      </c>
      <c r="N357" t="s">
        <v>139</v>
      </c>
      <c r="O357" t="s">
        <v>139</v>
      </c>
      <c r="P357" t="s">
        <v>139</v>
      </c>
      <c r="Q357" t="s">
        <v>139</v>
      </c>
      <c r="R357" t="s">
        <v>139</v>
      </c>
      <c r="S357" t="s">
        <v>139</v>
      </c>
      <c r="T357" t="s">
        <v>139</v>
      </c>
      <c r="U357">
        <v>105799.3</v>
      </c>
      <c r="V357" s="6" t="s">
        <v>139</v>
      </c>
      <c r="W357" t="s">
        <v>139</v>
      </c>
      <c r="X357" t="s">
        <v>139</v>
      </c>
      <c r="Y357" t="s">
        <v>139</v>
      </c>
      <c r="Z357">
        <v>101789.6</v>
      </c>
      <c r="AA357" t="s">
        <v>139</v>
      </c>
      <c r="AB357" t="s">
        <v>139</v>
      </c>
      <c r="AC357" t="s">
        <v>139</v>
      </c>
      <c r="AD357">
        <v>101064</v>
      </c>
      <c r="AE357" t="s">
        <v>139</v>
      </c>
      <c r="AF357">
        <v>5412.8</v>
      </c>
      <c r="AG357">
        <v>54082.8</v>
      </c>
      <c r="AH357" s="9">
        <v>920661.9</v>
      </c>
      <c r="AI357">
        <v>760977.7</v>
      </c>
      <c r="AJ357">
        <v>140590</v>
      </c>
      <c r="AK357" t="s">
        <v>139</v>
      </c>
      <c r="AL357">
        <v>18830.400000000001</v>
      </c>
      <c r="AM357" t="s">
        <v>139</v>
      </c>
      <c r="AN357">
        <v>32195.1</v>
      </c>
      <c r="AO357" s="9">
        <v>805097.2</v>
      </c>
      <c r="AP357">
        <v>115564.6</v>
      </c>
      <c r="AQ357" t="s">
        <v>139</v>
      </c>
      <c r="AR357" t="s">
        <v>139</v>
      </c>
      <c r="AS357">
        <f t="shared" si="2"/>
        <v>901567.7</v>
      </c>
      <c r="AT357">
        <f t="shared" si="1"/>
        <v>1.0211788865106859</v>
      </c>
    </row>
    <row r="358" spans="1:46" x14ac:dyDescent="0.4">
      <c r="A358" s="3" t="s">
        <v>489</v>
      </c>
      <c r="B358">
        <v>738569.6</v>
      </c>
      <c r="C358">
        <v>208976.3</v>
      </c>
      <c r="D358">
        <v>123890.5</v>
      </c>
      <c r="E358" t="s">
        <v>139</v>
      </c>
      <c r="F358" t="s">
        <v>139</v>
      </c>
      <c r="G358">
        <v>85085.7</v>
      </c>
      <c r="H358" t="s">
        <v>139</v>
      </c>
      <c r="I358" t="s">
        <v>139</v>
      </c>
      <c r="J358">
        <v>529593.30000000005</v>
      </c>
      <c r="K358">
        <v>179487.7</v>
      </c>
      <c r="L358">
        <v>137978.79999999999</v>
      </c>
      <c r="M358" t="s">
        <v>139</v>
      </c>
      <c r="N358" t="s">
        <v>139</v>
      </c>
      <c r="O358" t="s">
        <v>139</v>
      </c>
      <c r="P358" t="s">
        <v>139</v>
      </c>
      <c r="Q358" t="s">
        <v>139</v>
      </c>
      <c r="R358" t="s">
        <v>139</v>
      </c>
      <c r="S358" t="s">
        <v>139</v>
      </c>
      <c r="T358" t="s">
        <v>139</v>
      </c>
      <c r="U358">
        <v>106600.9</v>
      </c>
      <c r="V358" s="6" t="s">
        <v>139</v>
      </c>
      <c r="W358" t="s">
        <v>139</v>
      </c>
      <c r="X358" t="s">
        <v>139</v>
      </c>
      <c r="Y358" t="s">
        <v>139</v>
      </c>
      <c r="Z358">
        <v>105526</v>
      </c>
      <c r="AA358" t="s">
        <v>139</v>
      </c>
      <c r="AB358" t="s">
        <v>139</v>
      </c>
      <c r="AC358" t="s">
        <v>139</v>
      </c>
      <c r="AD358">
        <v>103388.2</v>
      </c>
      <c r="AE358" t="s">
        <v>139</v>
      </c>
      <c r="AF358">
        <v>5604.3</v>
      </c>
      <c r="AG358">
        <v>51159.9</v>
      </c>
      <c r="AH358" s="9">
        <v>927689.6</v>
      </c>
      <c r="AI358">
        <v>766533.6</v>
      </c>
      <c r="AJ358">
        <v>140728.70000000001</v>
      </c>
      <c r="AK358" t="s">
        <v>139</v>
      </c>
      <c r="AL358">
        <v>19194.099999999999</v>
      </c>
      <c r="AM358" t="s">
        <v>139</v>
      </c>
      <c r="AN358">
        <v>30798.7</v>
      </c>
      <c r="AO358" s="9">
        <v>809999.3</v>
      </c>
      <c r="AP358">
        <v>117690.4</v>
      </c>
      <c r="AQ358" t="s">
        <v>139</v>
      </c>
      <c r="AR358" t="s">
        <v>139</v>
      </c>
      <c r="AS358">
        <f t="shared" si="2"/>
        <v>907262.3</v>
      </c>
      <c r="AT358">
        <f t="shared" si="1"/>
        <v>1.0225153188884846</v>
      </c>
    </row>
    <row r="359" spans="1:46" x14ac:dyDescent="0.4">
      <c r="A359" s="3" t="s">
        <v>490</v>
      </c>
      <c r="B359">
        <v>743914.7</v>
      </c>
      <c r="C359">
        <v>213386.5</v>
      </c>
      <c r="D359">
        <v>128286.5</v>
      </c>
      <c r="E359" t="s">
        <v>139</v>
      </c>
      <c r="F359" t="s">
        <v>139</v>
      </c>
      <c r="G359">
        <v>85100</v>
      </c>
      <c r="H359" t="s">
        <v>139</v>
      </c>
      <c r="I359" t="s">
        <v>139</v>
      </c>
      <c r="J359">
        <v>530528.19999999995</v>
      </c>
      <c r="K359">
        <v>177475.5</v>
      </c>
      <c r="L359">
        <v>139882.6</v>
      </c>
      <c r="M359" t="s">
        <v>139</v>
      </c>
      <c r="N359" t="s">
        <v>139</v>
      </c>
      <c r="O359" t="s">
        <v>139</v>
      </c>
      <c r="P359" t="s">
        <v>139</v>
      </c>
      <c r="Q359" t="s">
        <v>139</v>
      </c>
      <c r="R359" t="s">
        <v>139</v>
      </c>
      <c r="S359" t="s">
        <v>139</v>
      </c>
      <c r="T359" t="s">
        <v>139</v>
      </c>
      <c r="U359">
        <v>107596.7</v>
      </c>
      <c r="V359" s="6" t="s">
        <v>139</v>
      </c>
      <c r="W359" t="s">
        <v>139</v>
      </c>
      <c r="X359" t="s">
        <v>139</v>
      </c>
      <c r="Y359" t="s">
        <v>139</v>
      </c>
      <c r="Z359">
        <v>105573.4</v>
      </c>
      <c r="AA359" t="s">
        <v>139</v>
      </c>
      <c r="AB359" t="s">
        <v>139</v>
      </c>
      <c r="AC359" t="s">
        <v>139</v>
      </c>
      <c r="AD359">
        <v>102542.39999999999</v>
      </c>
      <c r="AE359" t="s">
        <v>139</v>
      </c>
      <c r="AF359">
        <v>5419.4</v>
      </c>
      <c r="AG359">
        <v>45430.7</v>
      </c>
      <c r="AH359" s="9">
        <v>929975.1</v>
      </c>
      <c r="AI359">
        <v>772697.7</v>
      </c>
      <c r="AJ359">
        <v>141437</v>
      </c>
      <c r="AK359" t="s">
        <v>139</v>
      </c>
      <c r="AL359">
        <v>18984.400000000001</v>
      </c>
      <c r="AM359" t="s">
        <v>139</v>
      </c>
      <c r="AN359">
        <v>26802.799999999999</v>
      </c>
      <c r="AO359" s="9">
        <v>812459.7</v>
      </c>
      <c r="AP359">
        <v>117515.5</v>
      </c>
      <c r="AQ359" t="s">
        <v>139</v>
      </c>
      <c r="AR359" t="s">
        <v>139</v>
      </c>
      <c r="AS359">
        <f t="shared" si="2"/>
        <v>914134.7</v>
      </c>
      <c r="AT359">
        <f t="shared" si="1"/>
        <v>1.0173282996477435</v>
      </c>
    </row>
    <row r="360" spans="1:46" x14ac:dyDescent="0.4">
      <c r="A360" s="3" t="s">
        <v>491</v>
      </c>
      <c r="B360">
        <v>747568.8</v>
      </c>
      <c r="C360">
        <v>212778.5</v>
      </c>
      <c r="D360">
        <v>126694.8</v>
      </c>
      <c r="E360" t="s">
        <v>139</v>
      </c>
      <c r="F360" t="s">
        <v>139</v>
      </c>
      <c r="G360">
        <v>86083.8</v>
      </c>
      <c r="H360" t="s">
        <v>139</v>
      </c>
      <c r="I360" t="s">
        <v>139</v>
      </c>
      <c r="J360">
        <v>534790.19999999995</v>
      </c>
      <c r="K360">
        <v>178432.6</v>
      </c>
      <c r="L360">
        <v>140954.9</v>
      </c>
      <c r="M360" t="s">
        <v>139</v>
      </c>
      <c r="N360" t="s">
        <v>139</v>
      </c>
      <c r="O360" t="s">
        <v>139</v>
      </c>
      <c r="P360" t="s">
        <v>139</v>
      </c>
      <c r="Q360" t="s">
        <v>139</v>
      </c>
      <c r="R360" t="s">
        <v>139</v>
      </c>
      <c r="S360" t="s">
        <v>139</v>
      </c>
      <c r="T360" t="s">
        <v>139</v>
      </c>
      <c r="U360">
        <v>108472.1</v>
      </c>
      <c r="V360" s="6" t="s">
        <v>139</v>
      </c>
      <c r="W360" t="s">
        <v>139</v>
      </c>
      <c r="X360" t="s">
        <v>139</v>
      </c>
      <c r="Y360" t="s">
        <v>139</v>
      </c>
      <c r="Z360">
        <v>106930.5</v>
      </c>
      <c r="AA360" t="s">
        <v>139</v>
      </c>
      <c r="AB360" t="s">
        <v>139</v>
      </c>
      <c r="AC360" t="s">
        <v>139</v>
      </c>
      <c r="AD360">
        <v>101797.8</v>
      </c>
      <c r="AE360" t="s">
        <v>139</v>
      </c>
      <c r="AF360">
        <v>5749.9</v>
      </c>
      <c r="AG360">
        <v>45986.400000000001</v>
      </c>
      <c r="AH360" s="9">
        <v>932712</v>
      </c>
      <c r="AI360">
        <v>770634.1</v>
      </c>
      <c r="AJ360">
        <v>140737.1</v>
      </c>
      <c r="AK360" t="s">
        <v>139</v>
      </c>
      <c r="AL360">
        <v>18674.7</v>
      </c>
      <c r="AM360" t="s">
        <v>139</v>
      </c>
      <c r="AN360">
        <v>27806.6</v>
      </c>
      <c r="AO360" s="9">
        <v>811092.6</v>
      </c>
      <c r="AP360">
        <v>121619.5</v>
      </c>
      <c r="AQ360" t="s">
        <v>139</v>
      </c>
      <c r="AR360" t="s">
        <v>139</v>
      </c>
      <c r="AS360">
        <f t="shared" si="2"/>
        <v>911371.2</v>
      </c>
      <c r="AT360">
        <f t="shared" si="1"/>
        <v>1.023416144815636</v>
      </c>
    </row>
    <row r="361" spans="1:46" x14ac:dyDescent="0.4">
      <c r="A361" s="3" t="s">
        <v>492</v>
      </c>
      <c r="B361">
        <v>754187.4</v>
      </c>
      <c r="C361">
        <v>213522.3</v>
      </c>
      <c r="D361">
        <v>126364.5</v>
      </c>
      <c r="E361" t="s">
        <v>139</v>
      </c>
      <c r="F361" t="s">
        <v>139</v>
      </c>
      <c r="G361">
        <v>87157.8</v>
      </c>
      <c r="H361" t="s">
        <v>139</v>
      </c>
      <c r="I361" t="s">
        <v>139</v>
      </c>
      <c r="J361">
        <v>540665.1</v>
      </c>
      <c r="K361">
        <v>179102</v>
      </c>
      <c r="L361">
        <v>141621.29999999999</v>
      </c>
      <c r="M361" t="s">
        <v>139</v>
      </c>
      <c r="N361" t="s">
        <v>139</v>
      </c>
      <c r="O361" t="s">
        <v>139</v>
      </c>
      <c r="P361" t="s">
        <v>139</v>
      </c>
      <c r="Q361" t="s">
        <v>139</v>
      </c>
      <c r="R361" t="s">
        <v>139</v>
      </c>
      <c r="S361" t="s">
        <v>139</v>
      </c>
      <c r="T361" t="s">
        <v>139</v>
      </c>
      <c r="U361">
        <v>109554</v>
      </c>
      <c r="V361" s="6" t="s">
        <v>139</v>
      </c>
      <c r="W361" t="s">
        <v>139</v>
      </c>
      <c r="X361" t="s">
        <v>139</v>
      </c>
      <c r="Y361" t="s">
        <v>139</v>
      </c>
      <c r="Z361">
        <v>110387.7</v>
      </c>
      <c r="AA361" t="s">
        <v>139</v>
      </c>
      <c r="AB361" t="s">
        <v>139</v>
      </c>
      <c r="AC361" t="s">
        <v>139</v>
      </c>
      <c r="AD361">
        <v>105445.4</v>
      </c>
      <c r="AE361" t="s">
        <v>139</v>
      </c>
      <c r="AF361">
        <v>6083.5</v>
      </c>
      <c r="AG361">
        <v>45002.7</v>
      </c>
      <c r="AH361" s="9">
        <v>942108.6</v>
      </c>
      <c r="AI361">
        <v>785768.8</v>
      </c>
      <c r="AJ361">
        <v>143431.4</v>
      </c>
      <c r="AK361" t="s">
        <v>139</v>
      </c>
      <c r="AL361">
        <v>19941.7</v>
      </c>
      <c r="AM361" t="s">
        <v>139</v>
      </c>
      <c r="AN361">
        <v>26708.6</v>
      </c>
      <c r="AO361" s="9">
        <v>825926.6</v>
      </c>
      <c r="AP361">
        <v>116182.1</v>
      </c>
      <c r="AQ361" t="s">
        <v>139</v>
      </c>
      <c r="AR361" t="s">
        <v>139</v>
      </c>
      <c r="AS361">
        <f t="shared" si="2"/>
        <v>929200.20000000007</v>
      </c>
      <c r="AT361">
        <f t="shared" si="1"/>
        <v>1.013891947074484</v>
      </c>
    </row>
    <row r="362" spans="1:46" x14ac:dyDescent="0.4">
      <c r="A362" s="3" t="s">
        <v>493</v>
      </c>
      <c r="B362">
        <v>754317.3</v>
      </c>
      <c r="C362">
        <v>212323.20000000001</v>
      </c>
      <c r="D362">
        <v>124330</v>
      </c>
      <c r="E362" t="s">
        <v>139</v>
      </c>
      <c r="F362" t="s">
        <v>139</v>
      </c>
      <c r="G362">
        <v>87993.1</v>
      </c>
      <c r="H362" t="s">
        <v>139</v>
      </c>
      <c r="I362" t="s">
        <v>139</v>
      </c>
      <c r="J362">
        <v>541994.1</v>
      </c>
      <c r="K362">
        <v>179142.3</v>
      </c>
      <c r="L362">
        <v>142597.1</v>
      </c>
      <c r="M362" t="s">
        <v>139</v>
      </c>
      <c r="N362" t="s">
        <v>139</v>
      </c>
      <c r="O362" t="s">
        <v>139</v>
      </c>
      <c r="P362" t="s">
        <v>139</v>
      </c>
      <c r="Q362" t="s">
        <v>139</v>
      </c>
      <c r="R362" t="s">
        <v>139</v>
      </c>
      <c r="S362" t="s">
        <v>139</v>
      </c>
      <c r="T362" t="s">
        <v>139</v>
      </c>
      <c r="U362">
        <v>110487</v>
      </c>
      <c r="V362" s="6" t="s">
        <v>139</v>
      </c>
      <c r="W362" t="s">
        <v>139</v>
      </c>
      <c r="X362" t="s">
        <v>139</v>
      </c>
      <c r="Y362" t="s">
        <v>139</v>
      </c>
      <c r="Z362">
        <v>109767.7</v>
      </c>
      <c r="AA362" t="s">
        <v>139</v>
      </c>
      <c r="AB362" t="s">
        <v>139</v>
      </c>
      <c r="AC362" t="s">
        <v>139</v>
      </c>
      <c r="AD362">
        <v>103908.3</v>
      </c>
      <c r="AE362" t="s">
        <v>139</v>
      </c>
      <c r="AF362">
        <v>5997.5</v>
      </c>
      <c r="AG362">
        <v>48116.5</v>
      </c>
      <c r="AH362" s="9">
        <v>944466</v>
      </c>
      <c r="AI362">
        <v>787312.4</v>
      </c>
      <c r="AJ362">
        <v>144050.4</v>
      </c>
      <c r="AK362" t="s">
        <v>139</v>
      </c>
      <c r="AL362">
        <v>19229.7</v>
      </c>
      <c r="AM362" t="s">
        <v>139</v>
      </c>
      <c r="AN362">
        <v>26939.8</v>
      </c>
      <c r="AO362" s="9">
        <v>826433.6</v>
      </c>
      <c r="AP362">
        <v>118032.4</v>
      </c>
      <c r="AQ362" t="s">
        <v>139</v>
      </c>
      <c r="AR362" t="s">
        <v>139</v>
      </c>
      <c r="AS362">
        <f t="shared" si="2"/>
        <v>931362.8</v>
      </c>
      <c r="AT362">
        <f t="shared" si="1"/>
        <v>1.0140688462111649</v>
      </c>
    </row>
    <row r="363" spans="1:46" x14ac:dyDescent="0.4">
      <c r="A363" s="3" t="s">
        <v>494</v>
      </c>
      <c r="B363">
        <v>759628.2</v>
      </c>
      <c r="C363">
        <v>214341.3</v>
      </c>
      <c r="D363">
        <v>126263.5</v>
      </c>
      <c r="E363" t="s">
        <v>139</v>
      </c>
      <c r="F363" t="s">
        <v>139</v>
      </c>
      <c r="G363">
        <v>88077.8</v>
      </c>
      <c r="H363" t="s">
        <v>139</v>
      </c>
      <c r="I363" t="s">
        <v>139</v>
      </c>
      <c r="J363">
        <v>545286.80000000005</v>
      </c>
      <c r="K363">
        <v>179794.9</v>
      </c>
      <c r="L363">
        <v>143755</v>
      </c>
      <c r="M363" t="s">
        <v>139</v>
      </c>
      <c r="N363" t="s">
        <v>139</v>
      </c>
      <c r="O363" t="s">
        <v>139</v>
      </c>
      <c r="P363" t="s">
        <v>139</v>
      </c>
      <c r="Q363" t="s">
        <v>139</v>
      </c>
      <c r="R363" t="s">
        <v>139</v>
      </c>
      <c r="S363" t="s">
        <v>139</v>
      </c>
      <c r="T363" t="s">
        <v>139</v>
      </c>
      <c r="U363">
        <v>111508.9</v>
      </c>
      <c r="V363" s="6" t="s">
        <v>139</v>
      </c>
      <c r="W363" t="s">
        <v>139</v>
      </c>
      <c r="X363" t="s">
        <v>139</v>
      </c>
      <c r="Y363" t="s">
        <v>139</v>
      </c>
      <c r="Z363">
        <v>110227.9</v>
      </c>
      <c r="AA363" t="s">
        <v>139</v>
      </c>
      <c r="AB363" t="s">
        <v>139</v>
      </c>
      <c r="AC363" t="s">
        <v>139</v>
      </c>
      <c r="AD363">
        <v>103802.2</v>
      </c>
      <c r="AE363" t="s">
        <v>139</v>
      </c>
      <c r="AF363">
        <v>5574.1</v>
      </c>
      <c r="AG363">
        <v>46464.9</v>
      </c>
      <c r="AH363" s="9">
        <v>949709.8</v>
      </c>
      <c r="AI363">
        <v>780597.4</v>
      </c>
      <c r="AJ363">
        <v>142572.29999999999</v>
      </c>
      <c r="AK363" t="s">
        <v>139</v>
      </c>
      <c r="AL363">
        <v>18831.599999999999</v>
      </c>
      <c r="AM363" t="s">
        <v>139</v>
      </c>
      <c r="AN363">
        <v>26785.7</v>
      </c>
      <c r="AO363" s="9">
        <v>819111.8</v>
      </c>
      <c r="AP363">
        <v>130598</v>
      </c>
      <c r="AQ363" t="s">
        <v>139</v>
      </c>
      <c r="AR363" t="s">
        <v>139</v>
      </c>
      <c r="AS363">
        <f t="shared" si="2"/>
        <v>923169.7</v>
      </c>
      <c r="AT363">
        <f t="shared" si="1"/>
        <v>1.0287488854974336</v>
      </c>
    </row>
    <row r="364" spans="1:46" x14ac:dyDescent="0.4">
      <c r="A364" s="3" t="s">
        <v>495</v>
      </c>
      <c r="B364">
        <v>764549</v>
      </c>
      <c r="C364">
        <v>215742.6</v>
      </c>
      <c r="D364">
        <v>127095.2</v>
      </c>
      <c r="E364" t="s">
        <v>139</v>
      </c>
      <c r="F364" t="s">
        <v>139</v>
      </c>
      <c r="G364">
        <v>88647.5</v>
      </c>
      <c r="H364" t="s">
        <v>139</v>
      </c>
      <c r="I364" t="s">
        <v>139</v>
      </c>
      <c r="J364">
        <v>548806.40000000002</v>
      </c>
      <c r="K364">
        <v>181173.2</v>
      </c>
      <c r="L364">
        <v>144777.9</v>
      </c>
      <c r="M364" t="s">
        <v>139</v>
      </c>
      <c r="N364" t="s">
        <v>139</v>
      </c>
      <c r="O364" t="s">
        <v>139</v>
      </c>
      <c r="P364" t="s">
        <v>139</v>
      </c>
      <c r="Q364" t="s">
        <v>139</v>
      </c>
      <c r="R364" t="s">
        <v>139</v>
      </c>
      <c r="S364" t="s">
        <v>139</v>
      </c>
      <c r="T364" t="s">
        <v>139</v>
      </c>
      <c r="U364">
        <v>112500.9</v>
      </c>
      <c r="V364" s="6" t="s">
        <v>139</v>
      </c>
      <c r="W364" t="s">
        <v>139</v>
      </c>
      <c r="X364" t="s">
        <v>139</v>
      </c>
      <c r="Y364" t="s">
        <v>139</v>
      </c>
      <c r="Z364">
        <v>110354.4</v>
      </c>
      <c r="AA364" t="s">
        <v>139</v>
      </c>
      <c r="AB364" t="s">
        <v>139</v>
      </c>
      <c r="AC364" t="s">
        <v>139</v>
      </c>
      <c r="AD364">
        <v>106257.7</v>
      </c>
      <c r="AE364" t="s">
        <v>139</v>
      </c>
      <c r="AF364">
        <v>5205.3999999999996</v>
      </c>
      <c r="AG364">
        <v>46789.9</v>
      </c>
      <c r="AH364" s="9">
        <v>959090.5</v>
      </c>
      <c r="AI364">
        <v>791447.5</v>
      </c>
      <c r="AJ364">
        <v>141640.9</v>
      </c>
      <c r="AK364" t="s">
        <v>139</v>
      </c>
      <c r="AL364">
        <v>19729</v>
      </c>
      <c r="AM364" t="s">
        <v>139</v>
      </c>
      <c r="AN364">
        <v>26978.7</v>
      </c>
      <c r="AO364" s="9">
        <v>831085.2</v>
      </c>
      <c r="AP364">
        <v>128005.4</v>
      </c>
      <c r="AQ364" t="s">
        <v>139</v>
      </c>
      <c r="AR364" t="s">
        <v>139</v>
      </c>
      <c r="AS364">
        <f t="shared" si="2"/>
        <v>933088.4</v>
      </c>
      <c r="AT364">
        <f t="shared" si="1"/>
        <v>1.0278667058769566</v>
      </c>
    </row>
    <row r="365" spans="1:46" x14ac:dyDescent="0.4">
      <c r="A365" s="3" t="s">
        <v>496</v>
      </c>
      <c r="B365">
        <v>772289.9</v>
      </c>
      <c r="C365">
        <v>217541.8</v>
      </c>
      <c r="D365">
        <v>128380</v>
      </c>
      <c r="E365" t="s">
        <v>139</v>
      </c>
      <c r="F365" t="s">
        <v>139</v>
      </c>
      <c r="G365">
        <v>89161.9</v>
      </c>
      <c r="H365" t="s">
        <v>139</v>
      </c>
      <c r="I365" t="s">
        <v>139</v>
      </c>
      <c r="J365">
        <v>554748.1</v>
      </c>
      <c r="K365">
        <v>182438.3</v>
      </c>
      <c r="L365">
        <v>146071</v>
      </c>
      <c r="M365" t="s">
        <v>139</v>
      </c>
      <c r="N365" t="s">
        <v>139</v>
      </c>
      <c r="O365" t="s">
        <v>139</v>
      </c>
      <c r="P365" t="s">
        <v>139</v>
      </c>
      <c r="Q365" t="s">
        <v>139</v>
      </c>
      <c r="R365" t="s">
        <v>139</v>
      </c>
      <c r="S365" t="s">
        <v>139</v>
      </c>
      <c r="T365" t="s">
        <v>139</v>
      </c>
      <c r="U365">
        <v>113653.8</v>
      </c>
      <c r="V365" s="6" t="s">
        <v>139</v>
      </c>
      <c r="W365" t="s">
        <v>139</v>
      </c>
      <c r="X365" t="s">
        <v>139</v>
      </c>
      <c r="Y365" t="s">
        <v>139</v>
      </c>
      <c r="Z365">
        <v>112585</v>
      </c>
      <c r="AA365" t="s">
        <v>139</v>
      </c>
      <c r="AB365" t="s">
        <v>139</v>
      </c>
      <c r="AC365" t="s">
        <v>139</v>
      </c>
      <c r="AD365">
        <v>107204.4</v>
      </c>
      <c r="AE365" t="s">
        <v>139</v>
      </c>
      <c r="AF365">
        <v>5324.7</v>
      </c>
      <c r="AG365">
        <v>47812.5</v>
      </c>
      <c r="AH365" s="9">
        <v>969651.6</v>
      </c>
      <c r="AI365">
        <v>800645.2</v>
      </c>
      <c r="AJ365">
        <v>140848.6</v>
      </c>
      <c r="AK365" t="s">
        <v>139</v>
      </c>
      <c r="AL365">
        <v>19848.3</v>
      </c>
      <c r="AM365" t="s">
        <v>139</v>
      </c>
      <c r="AN365">
        <v>26416.9</v>
      </c>
      <c r="AO365" s="9">
        <v>839550.3</v>
      </c>
      <c r="AP365">
        <v>130101.3</v>
      </c>
      <c r="AQ365" t="s">
        <v>139</v>
      </c>
      <c r="AR365" t="s">
        <v>139</v>
      </c>
      <c r="AS365">
        <f t="shared" si="2"/>
        <v>941493.79999999993</v>
      </c>
      <c r="AT365">
        <f t="shared" si="1"/>
        <v>1.0299075787859677</v>
      </c>
    </row>
    <row r="366" spans="1:46" x14ac:dyDescent="0.4">
      <c r="A366" s="3" t="s">
        <v>497</v>
      </c>
      <c r="B366">
        <v>780406.5</v>
      </c>
      <c r="C366">
        <v>221387.7</v>
      </c>
      <c r="D366">
        <v>131975.20000000001</v>
      </c>
      <c r="E366" t="s">
        <v>139</v>
      </c>
      <c r="F366" t="s">
        <v>139</v>
      </c>
      <c r="G366">
        <v>89412.5</v>
      </c>
      <c r="H366" t="s">
        <v>139</v>
      </c>
      <c r="I366" t="s">
        <v>139</v>
      </c>
      <c r="J366">
        <v>559018.80000000005</v>
      </c>
      <c r="K366">
        <v>183900.5</v>
      </c>
      <c r="L366">
        <v>147280.6</v>
      </c>
      <c r="M366" t="s">
        <v>139</v>
      </c>
      <c r="N366" t="s">
        <v>139</v>
      </c>
      <c r="O366" t="s">
        <v>139</v>
      </c>
      <c r="P366" t="s">
        <v>139</v>
      </c>
      <c r="Q366" t="s">
        <v>139</v>
      </c>
      <c r="R366" t="s">
        <v>139</v>
      </c>
      <c r="S366" t="s">
        <v>139</v>
      </c>
      <c r="T366" t="s">
        <v>139</v>
      </c>
      <c r="U366">
        <v>114825.8</v>
      </c>
      <c r="V366" s="6" t="s">
        <v>139</v>
      </c>
      <c r="W366" t="s">
        <v>139</v>
      </c>
      <c r="X366" t="s">
        <v>139</v>
      </c>
      <c r="Y366" t="s">
        <v>139</v>
      </c>
      <c r="Z366">
        <v>113011.9</v>
      </c>
      <c r="AA366" t="s">
        <v>139</v>
      </c>
      <c r="AB366" t="s">
        <v>139</v>
      </c>
      <c r="AC366" t="s">
        <v>139</v>
      </c>
      <c r="AD366">
        <v>106483.5</v>
      </c>
      <c r="AE366" t="s">
        <v>139</v>
      </c>
      <c r="AF366">
        <v>5665.4</v>
      </c>
      <c r="AG366">
        <v>48996.4</v>
      </c>
      <c r="AH366" s="9">
        <v>978032.9</v>
      </c>
      <c r="AI366">
        <v>805530</v>
      </c>
      <c r="AJ366">
        <v>139368.79999999999</v>
      </c>
      <c r="AK366" t="s">
        <v>139</v>
      </c>
      <c r="AL366">
        <v>20438.5</v>
      </c>
      <c r="AM366" t="s">
        <v>139</v>
      </c>
      <c r="AN366">
        <v>26589.3</v>
      </c>
      <c r="AO366" s="9">
        <v>845333.5</v>
      </c>
      <c r="AP366">
        <v>132699.4</v>
      </c>
      <c r="AQ366" t="s">
        <v>139</v>
      </c>
      <c r="AR366" t="s">
        <v>139</v>
      </c>
      <c r="AS366">
        <f t="shared" si="2"/>
        <v>944898.8</v>
      </c>
      <c r="AT366">
        <f t="shared" si="1"/>
        <v>1.0350662949302083</v>
      </c>
    </row>
    <row r="367" spans="1:46" x14ac:dyDescent="0.4">
      <c r="A367" s="3" t="s">
        <v>498</v>
      </c>
      <c r="B367">
        <v>793051.5</v>
      </c>
      <c r="C367">
        <v>226669</v>
      </c>
      <c r="D367">
        <v>137548.79999999999</v>
      </c>
      <c r="E367" t="s">
        <v>139</v>
      </c>
      <c r="F367" t="s">
        <v>139</v>
      </c>
      <c r="G367">
        <v>89120.2</v>
      </c>
      <c r="H367" t="s">
        <v>139</v>
      </c>
      <c r="I367" t="s">
        <v>139</v>
      </c>
      <c r="J367">
        <v>566382.5</v>
      </c>
      <c r="K367">
        <v>185247.8</v>
      </c>
      <c r="L367">
        <v>148513.60000000001</v>
      </c>
      <c r="M367" t="s">
        <v>139</v>
      </c>
      <c r="N367" t="s">
        <v>139</v>
      </c>
      <c r="O367" t="s">
        <v>139</v>
      </c>
      <c r="P367" t="s">
        <v>139</v>
      </c>
      <c r="Q367" t="s">
        <v>139</v>
      </c>
      <c r="R367" t="s">
        <v>139</v>
      </c>
      <c r="S367" t="s">
        <v>139</v>
      </c>
      <c r="T367" t="s">
        <v>139</v>
      </c>
      <c r="U367">
        <v>115804.7</v>
      </c>
      <c r="V367" s="6" t="s">
        <v>139</v>
      </c>
      <c r="W367" t="s">
        <v>139</v>
      </c>
      <c r="X367" t="s">
        <v>139</v>
      </c>
      <c r="Y367" t="s">
        <v>139</v>
      </c>
      <c r="Z367">
        <v>116816.4</v>
      </c>
      <c r="AA367" t="s">
        <v>139</v>
      </c>
      <c r="AB367" t="s">
        <v>139</v>
      </c>
      <c r="AC367" t="s">
        <v>139</v>
      </c>
      <c r="AD367">
        <v>112339.5</v>
      </c>
      <c r="AE367" t="s">
        <v>139</v>
      </c>
      <c r="AF367">
        <v>5629</v>
      </c>
      <c r="AG367">
        <v>49953.8</v>
      </c>
      <c r="AH367" s="9">
        <v>999699.5</v>
      </c>
      <c r="AI367">
        <v>825875.4</v>
      </c>
      <c r="AJ367">
        <v>139655.70000000001</v>
      </c>
      <c r="AK367" t="s">
        <v>139</v>
      </c>
      <c r="AL367">
        <v>22410.7</v>
      </c>
      <c r="AM367" t="s">
        <v>139</v>
      </c>
      <c r="AN367">
        <v>27509.1</v>
      </c>
      <c r="AO367" s="9">
        <v>867917</v>
      </c>
      <c r="AP367">
        <v>131782.6</v>
      </c>
      <c r="AQ367" t="s">
        <v>139</v>
      </c>
      <c r="AR367" t="s">
        <v>139</v>
      </c>
      <c r="AS367">
        <f t="shared" si="2"/>
        <v>965531.10000000009</v>
      </c>
      <c r="AT367">
        <f t="shared" si="1"/>
        <v>1.0353881920530574</v>
      </c>
    </row>
    <row r="368" spans="1:46" x14ac:dyDescent="0.4">
      <c r="A368" s="3" t="s">
        <v>499</v>
      </c>
      <c r="B368">
        <v>793406.3</v>
      </c>
      <c r="C368">
        <v>226538.9</v>
      </c>
      <c r="D368">
        <v>138159.29999999999</v>
      </c>
      <c r="E368" t="s">
        <v>139</v>
      </c>
      <c r="F368" t="s">
        <v>139</v>
      </c>
      <c r="G368">
        <v>88379.5</v>
      </c>
      <c r="H368" t="s">
        <v>139</v>
      </c>
      <c r="I368" t="s">
        <v>139</v>
      </c>
      <c r="J368">
        <v>566867.5</v>
      </c>
      <c r="K368">
        <v>185787.4</v>
      </c>
      <c r="L368">
        <v>149639.4</v>
      </c>
      <c r="M368" t="s">
        <v>139</v>
      </c>
      <c r="N368" t="s">
        <v>139</v>
      </c>
      <c r="O368" t="s">
        <v>139</v>
      </c>
      <c r="P368" t="s">
        <v>139</v>
      </c>
      <c r="Q368" t="s">
        <v>139</v>
      </c>
      <c r="R368" t="s">
        <v>139</v>
      </c>
      <c r="S368" t="s">
        <v>139</v>
      </c>
      <c r="T368" t="s">
        <v>139</v>
      </c>
      <c r="U368">
        <v>117446</v>
      </c>
      <c r="V368" s="6" t="s">
        <v>139</v>
      </c>
      <c r="W368" t="s">
        <v>139</v>
      </c>
      <c r="X368" t="s">
        <v>139</v>
      </c>
      <c r="Y368" t="s">
        <v>139</v>
      </c>
      <c r="Z368">
        <v>113994.7</v>
      </c>
      <c r="AA368" t="s">
        <v>139</v>
      </c>
      <c r="AB368" t="s">
        <v>139</v>
      </c>
      <c r="AC368" t="s">
        <v>139</v>
      </c>
      <c r="AD368">
        <v>108915.1</v>
      </c>
      <c r="AE368" t="s">
        <v>139</v>
      </c>
      <c r="AF368">
        <v>5453.9</v>
      </c>
      <c r="AG368">
        <v>50592.6</v>
      </c>
      <c r="AH368" s="9">
        <v>996639.4</v>
      </c>
      <c r="AI368">
        <v>822642.8</v>
      </c>
      <c r="AJ368">
        <v>141482.79999999999</v>
      </c>
      <c r="AK368" t="s">
        <v>139</v>
      </c>
      <c r="AL368">
        <v>22278.799999999999</v>
      </c>
      <c r="AM368" t="s">
        <v>139</v>
      </c>
      <c r="AN368">
        <v>27743.5</v>
      </c>
      <c r="AO368" s="9">
        <v>863627.7</v>
      </c>
      <c r="AP368">
        <v>133011.70000000001</v>
      </c>
      <c r="AQ368" t="s">
        <v>139</v>
      </c>
      <c r="AR368" t="s">
        <v>139</v>
      </c>
      <c r="AS368">
        <f t="shared" si="2"/>
        <v>964125.60000000009</v>
      </c>
      <c r="AT368">
        <f t="shared" si="1"/>
        <v>1.0337236144336381</v>
      </c>
    </row>
    <row r="369" spans="1:46" x14ac:dyDescent="0.4">
      <c r="A369" s="3" t="s">
        <v>500</v>
      </c>
      <c r="B369">
        <v>798175</v>
      </c>
      <c r="C369">
        <v>227573.8</v>
      </c>
      <c r="D369">
        <v>139045.20000000001</v>
      </c>
      <c r="E369" t="s">
        <v>139</v>
      </c>
      <c r="F369" t="s">
        <v>139</v>
      </c>
      <c r="G369">
        <v>88528.6</v>
      </c>
      <c r="H369" t="s">
        <v>139</v>
      </c>
      <c r="I369" t="s">
        <v>139</v>
      </c>
      <c r="J369">
        <v>570601.19999999995</v>
      </c>
      <c r="K369">
        <v>187411.3</v>
      </c>
      <c r="L369">
        <v>151673.1</v>
      </c>
      <c r="M369" t="s">
        <v>139</v>
      </c>
      <c r="N369" t="s">
        <v>139</v>
      </c>
      <c r="O369" t="s">
        <v>139</v>
      </c>
      <c r="P369" t="s">
        <v>139</v>
      </c>
      <c r="Q369" t="s">
        <v>139</v>
      </c>
      <c r="R369" t="s">
        <v>139</v>
      </c>
      <c r="S369" t="s">
        <v>139</v>
      </c>
      <c r="T369" t="s">
        <v>139</v>
      </c>
      <c r="U369">
        <v>119056.1</v>
      </c>
      <c r="V369" s="6" t="s">
        <v>139</v>
      </c>
      <c r="W369" t="s">
        <v>139</v>
      </c>
      <c r="X369" t="s">
        <v>139</v>
      </c>
      <c r="Y369" t="s">
        <v>139</v>
      </c>
      <c r="Z369">
        <v>112460.7</v>
      </c>
      <c r="AA369" t="s">
        <v>139</v>
      </c>
      <c r="AB369" t="s">
        <v>139</v>
      </c>
      <c r="AC369" t="s">
        <v>139</v>
      </c>
      <c r="AD369">
        <v>104263.6</v>
      </c>
      <c r="AE369" t="s">
        <v>139</v>
      </c>
      <c r="AF369">
        <v>5417</v>
      </c>
      <c r="AG369">
        <v>52072.1</v>
      </c>
      <c r="AH369" s="9">
        <v>996079.5</v>
      </c>
      <c r="AI369">
        <v>816238.8</v>
      </c>
      <c r="AJ369">
        <v>143912.4</v>
      </c>
      <c r="AK369" t="s">
        <v>139</v>
      </c>
      <c r="AL369">
        <v>22305.3</v>
      </c>
      <c r="AM369" t="s">
        <v>139</v>
      </c>
      <c r="AN369">
        <v>28975.4</v>
      </c>
      <c r="AO369" s="9">
        <v>859154</v>
      </c>
      <c r="AP369">
        <v>136925.5</v>
      </c>
      <c r="AQ369" t="s">
        <v>139</v>
      </c>
      <c r="AR369" t="s">
        <v>139</v>
      </c>
      <c r="AS369">
        <f t="shared" si="2"/>
        <v>960151.20000000007</v>
      </c>
      <c r="AT369">
        <f t="shared" si="1"/>
        <v>1.0374194189415167</v>
      </c>
    </row>
    <row r="370" spans="1:46" x14ac:dyDescent="0.4">
      <c r="A370" s="3" t="s">
        <v>501</v>
      </c>
      <c r="B370">
        <v>807729.2</v>
      </c>
      <c r="C370">
        <v>230563.9</v>
      </c>
      <c r="D370">
        <v>142453.4</v>
      </c>
      <c r="E370" t="s">
        <v>139</v>
      </c>
      <c r="F370" t="s">
        <v>139</v>
      </c>
      <c r="G370">
        <v>88110.5</v>
      </c>
      <c r="H370" t="s">
        <v>139</v>
      </c>
      <c r="I370" t="s">
        <v>139</v>
      </c>
      <c r="J370">
        <v>577165.30000000005</v>
      </c>
      <c r="K370">
        <v>189154.7</v>
      </c>
      <c r="L370">
        <v>153678.79999999999</v>
      </c>
      <c r="M370" t="s">
        <v>139</v>
      </c>
      <c r="N370" t="s">
        <v>139</v>
      </c>
      <c r="O370" t="s">
        <v>139</v>
      </c>
      <c r="P370" t="s">
        <v>139</v>
      </c>
      <c r="Q370" t="s">
        <v>139</v>
      </c>
      <c r="R370" t="s">
        <v>139</v>
      </c>
      <c r="S370" t="s">
        <v>139</v>
      </c>
      <c r="T370" t="s">
        <v>139</v>
      </c>
      <c r="U370">
        <v>120785</v>
      </c>
      <c r="V370" s="6" t="s">
        <v>139</v>
      </c>
      <c r="W370" t="s">
        <v>139</v>
      </c>
      <c r="X370" t="s">
        <v>139</v>
      </c>
      <c r="Y370" t="s">
        <v>139</v>
      </c>
      <c r="Z370">
        <v>113546.8</v>
      </c>
      <c r="AA370" t="s">
        <v>139</v>
      </c>
      <c r="AB370" t="s">
        <v>139</v>
      </c>
      <c r="AC370" t="s">
        <v>139</v>
      </c>
      <c r="AD370">
        <v>111480.1</v>
      </c>
      <c r="AE370" t="s">
        <v>139</v>
      </c>
      <c r="AF370">
        <v>5646</v>
      </c>
      <c r="AG370">
        <v>51204.6</v>
      </c>
      <c r="AH370" s="9">
        <v>1013589</v>
      </c>
      <c r="AI370">
        <v>826797.5</v>
      </c>
      <c r="AJ370">
        <v>145592.5</v>
      </c>
      <c r="AK370" t="s">
        <v>139</v>
      </c>
      <c r="AL370">
        <v>23344.2</v>
      </c>
      <c r="AM370" t="s">
        <v>139</v>
      </c>
      <c r="AN370">
        <v>30150.2</v>
      </c>
      <c r="AO370" s="9">
        <v>872235.8</v>
      </c>
      <c r="AP370">
        <v>141353.29999999999</v>
      </c>
      <c r="AQ370" t="s">
        <v>139</v>
      </c>
      <c r="AR370" t="s">
        <v>139</v>
      </c>
      <c r="AS370">
        <f t="shared" si="2"/>
        <v>972390</v>
      </c>
      <c r="AT370">
        <f t="shared" si="1"/>
        <v>1.0423688026409157</v>
      </c>
    </row>
    <row r="371" spans="1:46" x14ac:dyDescent="0.4">
      <c r="A371" s="3" t="s">
        <v>502</v>
      </c>
      <c r="B371">
        <v>816265.5</v>
      </c>
      <c r="C371">
        <v>232441.7</v>
      </c>
      <c r="D371">
        <v>142359.70000000001</v>
      </c>
      <c r="E371" t="s">
        <v>139</v>
      </c>
      <c r="F371" t="s">
        <v>139</v>
      </c>
      <c r="G371">
        <v>90082</v>
      </c>
      <c r="H371" t="s">
        <v>139</v>
      </c>
      <c r="I371" t="s">
        <v>139</v>
      </c>
      <c r="J371">
        <v>583823.80000000005</v>
      </c>
      <c r="K371">
        <v>190294.8</v>
      </c>
      <c r="L371">
        <v>156095.20000000001</v>
      </c>
      <c r="M371" t="s">
        <v>139</v>
      </c>
      <c r="N371" t="s">
        <v>139</v>
      </c>
      <c r="O371" t="s">
        <v>139</v>
      </c>
      <c r="P371" t="s">
        <v>139</v>
      </c>
      <c r="Q371" t="s">
        <v>139</v>
      </c>
      <c r="R371" t="s">
        <v>139</v>
      </c>
      <c r="S371" t="s">
        <v>139</v>
      </c>
      <c r="T371" t="s">
        <v>139</v>
      </c>
      <c r="U371">
        <v>122618.9</v>
      </c>
      <c r="V371" s="6" t="s">
        <v>139</v>
      </c>
      <c r="W371" t="s">
        <v>139</v>
      </c>
      <c r="X371" t="s">
        <v>139</v>
      </c>
      <c r="Y371" t="s">
        <v>139</v>
      </c>
      <c r="Z371">
        <v>114814.9</v>
      </c>
      <c r="AA371" t="s">
        <v>139</v>
      </c>
      <c r="AB371" t="s">
        <v>139</v>
      </c>
      <c r="AC371" t="s">
        <v>139</v>
      </c>
      <c r="AD371">
        <v>110282.8</v>
      </c>
      <c r="AE371" t="s">
        <v>139</v>
      </c>
      <c r="AF371">
        <v>6020.2</v>
      </c>
      <c r="AG371">
        <v>51017</v>
      </c>
      <c r="AH371" s="9">
        <v>1022216.6</v>
      </c>
      <c r="AI371">
        <v>841662.3</v>
      </c>
      <c r="AJ371">
        <v>147269.79999999999</v>
      </c>
      <c r="AK371" t="s">
        <v>139</v>
      </c>
      <c r="AL371">
        <v>23609.599999999999</v>
      </c>
      <c r="AM371" t="s">
        <v>139</v>
      </c>
      <c r="AN371">
        <v>30129.1</v>
      </c>
      <c r="AO371" s="9">
        <v>885973.7</v>
      </c>
      <c r="AP371">
        <v>136242.9</v>
      </c>
      <c r="AQ371" t="s">
        <v>139</v>
      </c>
      <c r="AR371" t="s">
        <v>139</v>
      </c>
      <c r="AS371">
        <f t="shared" si="2"/>
        <v>988932.10000000009</v>
      </c>
      <c r="AT371">
        <f t="shared" si="1"/>
        <v>1.033657012448074</v>
      </c>
    </row>
    <row r="372" spans="1:46" x14ac:dyDescent="0.4">
      <c r="A372" s="3" t="s">
        <v>503</v>
      </c>
      <c r="B372">
        <v>823278</v>
      </c>
      <c r="C372">
        <v>231498.4</v>
      </c>
      <c r="D372">
        <v>139431.5</v>
      </c>
      <c r="E372" t="s">
        <v>139</v>
      </c>
      <c r="F372" t="s">
        <v>139</v>
      </c>
      <c r="G372">
        <v>92066.9</v>
      </c>
      <c r="H372" t="s">
        <v>139</v>
      </c>
      <c r="I372" t="s">
        <v>139</v>
      </c>
      <c r="J372">
        <v>591779.69999999995</v>
      </c>
      <c r="K372">
        <v>191779.7</v>
      </c>
      <c r="L372">
        <v>158592</v>
      </c>
      <c r="M372" t="s">
        <v>139</v>
      </c>
      <c r="N372" t="s">
        <v>139</v>
      </c>
      <c r="O372" t="s">
        <v>139</v>
      </c>
      <c r="P372" t="s">
        <v>139</v>
      </c>
      <c r="Q372" t="s">
        <v>139</v>
      </c>
      <c r="R372" t="s">
        <v>139</v>
      </c>
      <c r="S372" t="s">
        <v>139</v>
      </c>
      <c r="T372" t="s">
        <v>139</v>
      </c>
      <c r="U372">
        <v>124742.5</v>
      </c>
      <c r="V372" s="6" t="s">
        <v>139</v>
      </c>
      <c r="W372" t="s">
        <v>139</v>
      </c>
      <c r="X372" t="s">
        <v>139</v>
      </c>
      <c r="Y372" t="s">
        <v>139</v>
      </c>
      <c r="Z372">
        <v>116665.4</v>
      </c>
      <c r="AA372" t="s">
        <v>139</v>
      </c>
      <c r="AB372" t="s">
        <v>139</v>
      </c>
      <c r="AC372" t="s">
        <v>139</v>
      </c>
      <c r="AD372">
        <v>110965.3</v>
      </c>
      <c r="AE372" t="s">
        <v>139</v>
      </c>
      <c r="AF372">
        <v>6385</v>
      </c>
      <c r="AG372">
        <v>50363.1</v>
      </c>
      <c r="AH372" s="9">
        <v>1030092.4</v>
      </c>
      <c r="AI372">
        <v>842193.6</v>
      </c>
      <c r="AJ372">
        <v>148947.79999999999</v>
      </c>
      <c r="AK372" t="s">
        <v>139</v>
      </c>
      <c r="AL372">
        <v>24329.5</v>
      </c>
      <c r="AM372" t="s">
        <v>139</v>
      </c>
      <c r="AN372">
        <v>31274.2</v>
      </c>
      <c r="AO372" s="9">
        <v>888137.9</v>
      </c>
      <c r="AP372">
        <v>141954.5</v>
      </c>
      <c r="AQ372" t="s">
        <v>139</v>
      </c>
      <c r="AR372" t="s">
        <v>139</v>
      </c>
      <c r="AS372">
        <f t="shared" si="2"/>
        <v>991141.39999999991</v>
      </c>
      <c r="AT372">
        <f t="shared" si="1"/>
        <v>1.0392991353201473</v>
      </c>
    </row>
    <row r="373" spans="1:46" x14ac:dyDescent="0.4">
      <c r="A373" s="3" t="s">
        <v>504</v>
      </c>
      <c r="B373">
        <v>830913.7</v>
      </c>
      <c r="C373">
        <v>232177.1</v>
      </c>
      <c r="D373">
        <v>139772.4</v>
      </c>
      <c r="E373" t="s">
        <v>139</v>
      </c>
      <c r="F373" t="s">
        <v>139</v>
      </c>
      <c r="G373">
        <v>92404.6</v>
      </c>
      <c r="H373" t="s">
        <v>139</v>
      </c>
      <c r="I373" t="s">
        <v>139</v>
      </c>
      <c r="J373">
        <v>598736.6</v>
      </c>
      <c r="K373">
        <v>193554.8</v>
      </c>
      <c r="L373">
        <v>160656.20000000001</v>
      </c>
      <c r="M373" t="s">
        <v>139</v>
      </c>
      <c r="N373" t="s">
        <v>139</v>
      </c>
      <c r="O373" t="s">
        <v>139</v>
      </c>
      <c r="P373" t="s">
        <v>139</v>
      </c>
      <c r="Q373" t="s">
        <v>139</v>
      </c>
      <c r="R373" t="s">
        <v>139</v>
      </c>
      <c r="S373" t="s">
        <v>139</v>
      </c>
      <c r="T373" t="s">
        <v>139</v>
      </c>
      <c r="U373">
        <v>126602.1</v>
      </c>
      <c r="V373" s="6" t="s">
        <v>139</v>
      </c>
      <c r="W373" t="s">
        <v>139</v>
      </c>
      <c r="X373" t="s">
        <v>139</v>
      </c>
      <c r="Y373" t="s">
        <v>139</v>
      </c>
      <c r="Z373">
        <v>117923.5</v>
      </c>
      <c r="AA373" t="s">
        <v>139</v>
      </c>
      <c r="AB373" t="s">
        <v>139</v>
      </c>
      <c r="AC373" t="s">
        <v>139</v>
      </c>
      <c r="AD373">
        <v>114980.2</v>
      </c>
      <c r="AE373" t="s">
        <v>139</v>
      </c>
      <c r="AF373">
        <v>6343.1</v>
      </c>
      <c r="AG373">
        <v>49754.1</v>
      </c>
      <c r="AH373" s="9">
        <v>1041355.9</v>
      </c>
      <c r="AI373">
        <v>856571.3</v>
      </c>
      <c r="AJ373">
        <v>151671.29999999999</v>
      </c>
      <c r="AK373" t="s">
        <v>139</v>
      </c>
      <c r="AL373">
        <v>25088.2</v>
      </c>
      <c r="AM373" t="s">
        <v>139</v>
      </c>
      <c r="AN373">
        <v>31903.4</v>
      </c>
      <c r="AO373" s="9">
        <v>903911.3</v>
      </c>
      <c r="AP373">
        <v>137444.5</v>
      </c>
      <c r="AQ373" t="s">
        <v>139</v>
      </c>
      <c r="AR373" t="s">
        <v>139</v>
      </c>
      <c r="AS373">
        <f t="shared" si="2"/>
        <v>1008242.6000000001</v>
      </c>
      <c r="AT373">
        <f t="shared" si="1"/>
        <v>1.0328425916540325</v>
      </c>
    </row>
    <row r="374" spans="1:46" x14ac:dyDescent="0.4">
      <c r="A374" s="3" t="s">
        <v>505</v>
      </c>
      <c r="B374">
        <v>835506.4</v>
      </c>
      <c r="C374">
        <v>230302.4</v>
      </c>
      <c r="D374">
        <v>136853.70000000001</v>
      </c>
      <c r="E374" t="s">
        <v>139</v>
      </c>
      <c r="F374" t="s">
        <v>139</v>
      </c>
      <c r="G374">
        <v>93448.7</v>
      </c>
      <c r="H374" t="s">
        <v>139</v>
      </c>
      <c r="I374" t="s">
        <v>139</v>
      </c>
      <c r="J374">
        <v>605204.1</v>
      </c>
      <c r="K374">
        <v>195183.5</v>
      </c>
      <c r="L374">
        <v>162997.4</v>
      </c>
      <c r="M374" t="s">
        <v>139</v>
      </c>
      <c r="N374" t="s">
        <v>139</v>
      </c>
      <c r="O374" t="s">
        <v>139</v>
      </c>
      <c r="P374" t="s">
        <v>139</v>
      </c>
      <c r="Q374" t="s">
        <v>139</v>
      </c>
      <c r="R374" t="s">
        <v>139</v>
      </c>
      <c r="S374" t="s">
        <v>139</v>
      </c>
      <c r="T374" t="s">
        <v>139</v>
      </c>
      <c r="U374">
        <v>128448.2</v>
      </c>
      <c r="V374" s="6" t="s">
        <v>139</v>
      </c>
      <c r="W374" t="s">
        <v>139</v>
      </c>
      <c r="X374" t="s">
        <v>139</v>
      </c>
      <c r="Y374" t="s">
        <v>139</v>
      </c>
      <c r="Z374">
        <v>118574.9</v>
      </c>
      <c r="AA374" t="s">
        <v>139</v>
      </c>
      <c r="AB374" t="s">
        <v>139</v>
      </c>
      <c r="AC374" t="s">
        <v>139</v>
      </c>
      <c r="AD374">
        <v>116649.4</v>
      </c>
      <c r="AE374" t="s">
        <v>139</v>
      </c>
      <c r="AF374">
        <v>6445</v>
      </c>
      <c r="AG374">
        <v>49860.3</v>
      </c>
      <c r="AH374" s="9">
        <v>1048861.1000000001</v>
      </c>
      <c r="AI374">
        <v>865192.6</v>
      </c>
      <c r="AJ374">
        <v>152970.9</v>
      </c>
      <c r="AK374" t="s">
        <v>139</v>
      </c>
      <c r="AL374">
        <v>24644.9</v>
      </c>
      <c r="AM374" t="s">
        <v>139</v>
      </c>
      <c r="AN374">
        <v>30981.1</v>
      </c>
      <c r="AO374" s="9">
        <v>910216</v>
      </c>
      <c r="AP374">
        <v>138645.1</v>
      </c>
      <c r="AQ374" t="s">
        <v>139</v>
      </c>
      <c r="AR374" t="s">
        <v>139</v>
      </c>
      <c r="AS374">
        <f t="shared" si="2"/>
        <v>1018163.5</v>
      </c>
      <c r="AT374">
        <f t="shared" si="1"/>
        <v>1.0301499710017106</v>
      </c>
    </row>
    <row r="375" spans="1:46" x14ac:dyDescent="0.4">
      <c r="A375" s="3" t="s">
        <v>506</v>
      </c>
      <c r="B375">
        <v>843032.8</v>
      </c>
      <c r="C375">
        <v>230171.9</v>
      </c>
      <c r="D375">
        <v>136293.79999999999</v>
      </c>
      <c r="E375" t="s">
        <v>139</v>
      </c>
      <c r="F375" t="s">
        <v>139</v>
      </c>
      <c r="G375">
        <v>93878.1</v>
      </c>
      <c r="H375" t="s">
        <v>139</v>
      </c>
      <c r="I375" t="s">
        <v>139</v>
      </c>
      <c r="J375">
        <v>612860.9</v>
      </c>
      <c r="K375">
        <v>197488.1</v>
      </c>
      <c r="L375">
        <v>165634</v>
      </c>
      <c r="M375" t="s">
        <v>139</v>
      </c>
      <c r="N375" t="s">
        <v>139</v>
      </c>
      <c r="O375" t="s">
        <v>139</v>
      </c>
      <c r="P375" t="s">
        <v>139</v>
      </c>
      <c r="Q375" t="s">
        <v>139</v>
      </c>
      <c r="R375" t="s">
        <v>139</v>
      </c>
      <c r="S375" t="s">
        <v>139</v>
      </c>
      <c r="T375" t="s">
        <v>139</v>
      </c>
      <c r="U375">
        <v>130310.3</v>
      </c>
      <c r="V375" s="6" t="s">
        <v>139</v>
      </c>
      <c r="W375" t="s">
        <v>139</v>
      </c>
      <c r="X375" t="s">
        <v>139</v>
      </c>
      <c r="Y375" t="s">
        <v>139</v>
      </c>
      <c r="Z375">
        <v>119428.5</v>
      </c>
      <c r="AA375" t="s">
        <v>139</v>
      </c>
      <c r="AB375" t="s">
        <v>139</v>
      </c>
      <c r="AC375" t="s">
        <v>139</v>
      </c>
      <c r="AD375">
        <v>116368</v>
      </c>
      <c r="AE375" t="s">
        <v>139</v>
      </c>
      <c r="AF375">
        <v>6238</v>
      </c>
      <c r="AG375">
        <v>48753</v>
      </c>
      <c r="AH375" s="9">
        <v>1055775.6000000001</v>
      </c>
      <c r="AI375">
        <v>861004.9</v>
      </c>
      <c r="AJ375">
        <v>153727.5</v>
      </c>
      <c r="AK375" t="s">
        <v>139</v>
      </c>
      <c r="AL375">
        <v>24916.9</v>
      </c>
      <c r="AM375" t="s">
        <v>139</v>
      </c>
      <c r="AN375">
        <v>31738</v>
      </c>
      <c r="AO375" s="9">
        <v>907863.1</v>
      </c>
      <c r="AP375">
        <v>147912.5</v>
      </c>
      <c r="AQ375" t="s">
        <v>139</v>
      </c>
      <c r="AR375" t="s">
        <v>139</v>
      </c>
      <c r="AS375">
        <f t="shared" si="2"/>
        <v>1014732.4</v>
      </c>
      <c r="AT375">
        <f t="shared" si="1"/>
        <v>1.0404473139913539</v>
      </c>
    </row>
    <row r="376" spans="1:46" x14ac:dyDescent="0.4">
      <c r="A376" s="3" t="s">
        <v>507</v>
      </c>
      <c r="B376">
        <v>851213.7</v>
      </c>
      <c r="C376">
        <v>230964.9</v>
      </c>
      <c r="D376">
        <v>136244.9</v>
      </c>
      <c r="E376" t="s">
        <v>139</v>
      </c>
      <c r="F376" t="s">
        <v>139</v>
      </c>
      <c r="G376">
        <v>94719.9</v>
      </c>
      <c r="H376" t="s">
        <v>139</v>
      </c>
      <c r="I376" t="s">
        <v>139</v>
      </c>
      <c r="J376">
        <v>620248.80000000005</v>
      </c>
      <c r="K376">
        <v>198999.1</v>
      </c>
      <c r="L376">
        <v>167555.70000000001</v>
      </c>
      <c r="M376" t="s">
        <v>139</v>
      </c>
      <c r="N376" t="s">
        <v>139</v>
      </c>
      <c r="O376" t="s">
        <v>139</v>
      </c>
      <c r="P376" t="s">
        <v>139</v>
      </c>
      <c r="Q376" t="s">
        <v>139</v>
      </c>
      <c r="R376" t="s">
        <v>139</v>
      </c>
      <c r="S376" t="s">
        <v>139</v>
      </c>
      <c r="T376" t="s">
        <v>139</v>
      </c>
      <c r="U376">
        <v>132119.29999999999</v>
      </c>
      <c r="V376" s="6" t="s">
        <v>139</v>
      </c>
      <c r="W376" t="s">
        <v>139</v>
      </c>
      <c r="X376" t="s">
        <v>139</v>
      </c>
      <c r="Y376" t="s">
        <v>139</v>
      </c>
      <c r="Z376">
        <v>121574.8</v>
      </c>
      <c r="AA376" t="s">
        <v>139</v>
      </c>
      <c r="AB376" t="s">
        <v>139</v>
      </c>
      <c r="AC376" t="s">
        <v>139</v>
      </c>
      <c r="AD376">
        <v>116985.4</v>
      </c>
      <c r="AE376" t="s">
        <v>139</v>
      </c>
      <c r="AF376">
        <v>7153.8</v>
      </c>
      <c r="AG376">
        <v>50041.7</v>
      </c>
      <c r="AH376" s="9">
        <v>1067879.8999999999</v>
      </c>
      <c r="AI376">
        <v>873295.8</v>
      </c>
      <c r="AJ376">
        <v>153693.5</v>
      </c>
      <c r="AK376" t="s">
        <v>139</v>
      </c>
      <c r="AL376">
        <v>25470.1</v>
      </c>
      <c r="AM376" t="s">
        <v>139</v>
      </c>
      <c r="AN376">
        <v>31825.9</v>
      </c>
      <c r="AO376" s="9">
        <v>921112</v>
      </c>
      <c r="AP376">
        <v>146767.9</v>
      </c>
      <c r="AQ376" t="s">
        <v>139</v>
      </c>
      <c r="AR376" t="s">
        <v>139</v>
      </c>
      <c r="AS376">
        <f t="shared" si="2"/>
        <v>1026989.3</v>
      </c>
      <c r="AT376">
        <f t="shared" si="1"/>
        <v>1.03981599418806</v>
      </c>
    </row>
    <row r="377" spans="1:46" x14ac:dyDescent="0.4">
      <c r="A377" s="3" t="s">
        <v>508</v>
      </c>
      <c r="B377">
        <v>857789.6</v>
      </c>
      <c r="C377">
        <v>229855.8</v>
      </c>
      <c r="D377">
        <v>133998.39999999999</v>
      </c>
      <c r="E377" t="s">
        <v>139</v>
      </c>
      <c r="F377" t="s">
        <v>139</v>
      </c>
      <c r="G377">
        <v>95857.4</v>
      </c>
      <c r="H377" t="s">
        <v>139</v>
      </c>
      <c r="I377" t="s">
        <v>139</v>
      </c>
      <c r="J377">
        <v>627933.80000000005</v>
      </c>
      <c r="K377">
        <v>201254.5</v>
      </c>
      <c r="L377">
        <v>170245.2</v>
      </c>
      <c r="M377" t="s">
        <v>139</v>
      </c>
      <c r="N377" t="s">
        <v>139</v>
      </c>
      <c r="O377" t="s">
        <v>139</v>
      </c>
      <c r="P377" t="s">
        <v>139</v>
      </c>
      <c r="Q377" t="s">
        <v>139</v>
      </c>
      <c r="R377" t="s">
        <v>139</v>
      </c>
      <c r="S377" t="s">
        <v>139</v>
      </c>
      <c r="T377" t="s">
        <v>139</v>
      </c>
      <c r="U377">
        <v>134085.6</v>
      </c>
      <c r="V377" s="6" t="s">
        <v>139</v>
      </c>
      <c r="W377" t="s">
        <v>139</v>
      </c>
      <c r="X377" t="s">
        <v>139</v>
      </c>
      <c r="Y377" t="s">
        <v>139</v>
      </c>
      <c r="Z377">
        <v>122348.5</v>
      </c>
      <c r="AA377" t="s">
        <v>139</v>
      </c>
      <c r="AB377" t="s">
        <v>139</v>
      </c>
      <c r="AC377" t="s">
        <v>139</v>
      </c>
      <c r="AD377">
        <v>118685.4</v>
      </c>
      <c r="AE377" t="s">
        <v>139</v>
      </c>
      <c r="AF377">
        <v>7515.8</v>
      </c>
      <c r="AG377">
        <v>50022</v>
      </c>
      <c r="AH377" s="9">
        <v>1077393.7</v>
      </c>
      <c r="AI377">
        <v>882653.3</v>
      </c>
      <c r="AJ377">
        <v>155265.5</v>
      </c>
      <c r="AK377" t="s">
        <v>139</v>
      </c>
      <c r="AL377">
        <v>25742.6</v>
      </c>
      <c r="AM377" t="s">
        <v>139</v>
      </c>
      <c r="AN377">
        <v>31460.2</v>
      </c>
      <c r="AO377" s="9">
        <v>930915.5</v>
      </c>
      <c r="AP377">
        <v>146478.29999999999</v>
      </c>
      <c r="AQ377" t="s">
        <v>139</v>
      </c>
      <c r="AR377" t="s">
        <v>139</v>
      </c>
      <c r="AS377">
        <f t="shared" si="2"/>
        <v>1037918.8</v>
      </c>
      <c r="AT377">
        <f t="shared" si="1"/>
        <v>1.0380327439872945</v>
      </c>
    </row>
    <row r="378" spans="1:46" x14ac:dyDescent="0.4">
      <c r="A378" s="3" t="s">
        <v>509</v>
      </c>
      <c r="B378">
        <v>865960.6</v>
      </c>
      <c r="C378">
        <v>231645.5</v>
      </c>
      <c r="D378">
        <v>134910</v>
      </c>
      <c r="E378" t="s">
        <v>139</v>
      </c>
      <c r="F378" t="s">
        <v>139</v>
      </c>
      <c r="G378">
        <v>96735.6</v>
      </c>
      <c r="H378" t="s">
        <v>139</v>
      </c>
      <c r="I378" t="s">
        <v>139</v>
      </c>
      <c r="J378">
        <v>634315.1</v>
      </c>
      <c r="K378">
        <v>202939.7</v>
      </c>
      <c r="L378">
        <v>172818.4</v>
      </c>
      <c r="M378" t="s">
        <v>139</v>
      </c>
      <c r="N378" t="s">
        <v>139</v>
      </c>
      <c r="O378" t="s">
        <v>139</v>
      </c>
      <c r="P378" t="s">
        <v>139</v>
      </c>
      <c r="Q378" t="s">
        <v>139</v>
      </c>
      <c r="R378" t="s">
        <v>139</v>
      </c>
      <c r="S378" t="s">
        <v>139</v>
      </c>
      <c r="T378" t="s">
        <v>139</v>
      </c>
      <c r="U378">
        <v>135885.70000000001</v>
      </c>
      <c r="V378" s="6" t="s">
        <v>139</v>
      </c>
      <c r="W378" t="s">
        <v>139</v>
      </c>
      <c r="X378" t="s">
        <v>139</v>
      </c>
      <c r="Y378" t="s">
        <v>139</v>
      </c>
      <c r="Z378">
        <v>122671.2</v>
      </c>
      <c r="AA378" t="s">
        <v>139</v>
      </c>
      <c r="AB378" t="s">
        <v>139</v>
      </c>
      <c r="AC378" t="s">
        <v>139</v>
      </c>
      <c r="AD378">
        <v>117885.2</v>
      </c>
      <c r="AE378" t="s">
        <v>139</v>
      </c>
      <c r="AF378">
        <v>6901.3</v>
      </c>
      <c r="AG378">
        <v>51668</v>
      </c>
      <c r="AH378" s="9">
        <v>1087375.8999999999</v>
      </c>
      <c r="AI378">
        <v>891819.8</v>
      </c>
      <c r="AJ378">
        <v>156630.39999999999</v>
      </c>
      <c r="AK378" t="s">
        <v>139</v>
      </c>
      <c r="AL378">
        <v>26674.2</v>
      </c>
      <c r="AM378" t="s">
        <v>139</v>
      </c>
      <c r="AN378">
        <v>31411</v>
      </c>
      <c r="AO378" s="9">
        <v>939551.3</v>
      </c>
      <c r="AP378">
        <v>147824.6</v>
      </c>
      <c r="AQ378" t="s">
        <v>139</v>
      </c>
      <c r="AR378" t="s">
        <v>139</v>
      </c>
      <c r="AS378">
        <f t="shared" si="2"/>
        <v>1048450.2000000001</v>
      </c>
      <c r="AT378">
        <f t="shared" si="1"/>
        <v>1.0371268945344279</v>
      </c>
    </row>
    <row r="379" spans="1:46" x14ac:dyDescent="0.4">
      <c r="A379" s="3" t="s">
        <v>510</v>
      </c>
      <c r="B379">
        <v>877997.9</v>
      </c>
      <c r="C379">
        <v>234349.1</v>
      </c>
      <c r="D379">
        <v>137508.6</v>
      </c>
      <c r="E379" t="s">
        <v>139</v>
      </c>
      <c r="F379" t="s">
        <v>139</v>
      </c>
      <c r="G379">
        <v>96840.5</v>
      </c>
      <c r="H379" t="s">
        <v>139</v>
      </c>
      <c r="I379" t="s">
        <v>139</v>
      </c>
      <c r="J379">
        <v>643648.80000000005</v>
      </c>
      <c r="K379">
        <v>204677.4</v>
      </c>
      <c r="L379">
        <v>175067.3</v>
      </c>
      <c r="M379" t="s">
        <v>139</v>
      </c>
      <c r="N379" t="s">
        <v>139</v>
      </c>
      <c r="O379" t="s">
        <v>139</v>
      </c>
      <c r="P379" t="s">
        <v>139</v>
      </c>
      <c r="Q379" t="s">
        <v>139</v>
      </c>
      <c r="R379" t="s">
        <v>139</v>
      </c>
      <c r="S379" t="s">
        <v>139</v>
      </c>
      <c r="T379" t="s">
        <v>139</v>
      </c>
      <c r="U379">
        <v>138030.29999999999</v>
      </c>
      <c r="V379" s="6" t="s">
        <v>139</v>
      </c>
      <c r="W379" t="s">
        <v>139</v>
      </c>
      <c r="X379" t="s">
        <v>139</v>
      </c>
      <c r="Y379" t="s">
        <v>139</v>
      </c>
      <c r="Z379">
        <v>125873.8</v>
      </c>
      <c r="AA379" t="s">
        <v>139</v>
      </c>
      <c r="AB379" t="s">
        <v>139</v>
      </c>
      <c r="AC379" t="s">
        <v>139</v>
      </c>
      <c r="AD379">
        <v>121486.39999999999</v>
      </c>
      <c r="AE379" t="s">
        <v>139</v>
      </c>
      <c r="AF379">
        <v>7201.2</v>
      </c>
      <c r="AG379">
        <v>51821.3</v>
      </c>
      <c r="AH379" s="9">
        <v>1104114</v>
      </c>
      <c r="AI379">
        <v>910863.8</v>
      </c>
      <c r="AJ379">
        <v>158388.20000000001</v>
      </c>
      <c r="AK379" t="s">
        <v>139</v>
      </c>
      <c r="AL379">
        <v>29032</v>
      </c>
      <c r="AM379" t="s">
        <v>139</v>
      </c>
      <c r="AN379">
        <v>31272.2</v>
      </c>
      <c r="AO379" s="9">
        <v>960185.9</v>
      </c>
      <c r="AP379">
        <v>143928.1</v>
      </c>
      <c r="AQ379" t="s">
        <v>139</v>
      </c>
      <c r="AR379" t="s">
        <v>139</v>
      </c>
      <c r="AS379">
        <f t="shared" si="2"/>
        <v>1069252</v>
      </c>
      <c r="AT379">
        <f t="shared" si="1"/>
        <v>1.0326041008106601</v>
      </c>
    </row>
    <row r="380" spans="1:46" x14ac:dyDescent="0.4">
      <c r="A380" s="3" t="s">
        <v>511</v>
      </c>
      <c r="B380">
        <v>881877.4</v>
      </c>
      <c r="C380">
        <v>232685.8</v>
      </c>
      <c r="D380">
        <v>136617.79999999999</v>
      </c>
      <c r="E380" t="s">
        <v>139</v>
      </c>
      <c r="F380" t="s">
        <v>139</v>
      </c>
      <c r="G380">
        <v>96068</v>
      </c>
      <c r="H380" t="s">
        <v>139</v>
      </c>
      <c r="I380" t="s">
        <v>139</v>
      </c>
      <c r="J380">
        <v>649191.5</v>
      </c>
      <c r="K380">
        <v>207293.1</v>
      </c>
      <c r="L380">
        <v>177714.3</v>
      </c>
      <c r="M380" t="s">
        <v>139</v>
      </c>
      <c r="N380" t="s">
        <v>139</v>
      </c>
      <c r="O380" t="s">
        <v>139</v>
      </c>
      <c r="P380" t="s">
        <v>139</v>
      </c>
      <c r="Q380" t="s">
        <v>139</v>
      </c>
      <c r="R380" t="s">
        <v>139</v>
      </c>
      <c r="S380" t="s">
        <v>139</v>
      </c>
      <c r="T380" t="s">
        <v>139</v>
      </c>
      <c r="U380">
        <v>140116.1</v>
      </c>
      <c r="V380" s="6" t="s">
        <v>139</v>
      </c>
      <c r="W380" t="s">
        <v>139</v>
      </c>
      <c r="X380" t="s">
        <v>139</v>
      </c>
      <c r="Y380" t="s">
        <v>139</v>
      </c>
      <c r="Z380">
        <v>124068</v>
      </c>
      <c r="AA380" t="s">
        <v>139</v>
      </c>
      <c r="AB380" t="s">
        <v>139</v>
      </c>
      <c r="AC380" t="s">
        <v>139</v>
      </c>
      <c r="AD380">
        <v>121289.4</v>
      </c>
      <c r="AE380" t="s">
        <v>139</v>
      </c>
      <c r="AF380">
        <v>7195.4</v>
      </c>
      <c r="AG380">
        <v>52285.7</v>
      </c>
      <c r="AH380" s="9">
        <v>1107559.5</v>
      </c>
      <c r="AI380">
        <v>908428.6</v>
      </c>
      <c r="AJ380">
        <v>161441.29999999999</v>
      </c>
      <c r="AK380" t="s">
        <v>139</v>
      </c>
      <c r="AL380">
        <v>29009.3</v>
      </c>
      <c r="AM380" t="s">
        <v>139</v>
      </c>
      <c r="AN380">
        <v>32078.799999999999</v>
      </c>
      <c r="AO380" s="9">
        <v>957667.1</v>
      </c>
      <c r="AP380">
        <v>149892.4</v>
      </c>
      <c r="AQ380" t="s">
        <v>139</v>
      </c>
      <c r="AR380" t="s">
        <v>139</v>
      </c>
      <c r="AS380">
        <f t="shared" si="2"/>
        <v>1069869.8999999999</v>
      </c>
      <c r="AT380">
        <f t="shared" si="1"/>
        <v>1.0352282085887266</v>
      </c>
    </row>
    <row r="381" spans="1:46" x14ac:dyDescent="0.4">
      <c r="A381" s="3" t="s">
        <v>512</v>
      </c>
      <c r="B381">
        <v>888753.6</v>
      </c>
      <c r="C381">
        <v>233845.6</v>
      </c>
      <c r="D381">
        <v>138446.79999999999</v>
      </c>
      <c r="E381" t="s">
        <v>139</v>
      </c>
      <c r="F381" t="s">
        <v>139</v>
      </c>
      <c r="G381">
        <v>95398.9</v>
      </c>
      <c r="H381" t="s">
        <v>139</v>
      </c>
      <c r="I381" t="s">
        <v>139</v>
      </c>
      <c r="J381">
        <v>654908</v>
      </c>
      <c r="K381">
        <v>210259</v>
      </c>
      <c r="L381">
        <v>180320</v>
      </c>
      <c r="M381" t="s">
        <v>139</v>
      </c>
      <c r="N381" t="s">
        <v>139</v>
      </c>
      <c r="O381" t="s">
        <v>139</v>
      </c>
      <c r="P381" t="s">
        <v>139</v>
      </c>
      <c r="Q381" t="s">
        <v>139</v>
      </c>
      <c r="R381" t="s">
        <v>139</v>
      </c>
      <c r="S381" t="s">
        <v>139</v>
      </c>
      <c r="T381" t="s">
        <v>139</v>
      </c>
      <c r="U381">
        <v>141913.79999999999</v>
      </c>
      <c r="V381" s="6" t="s">
        <v>139</v>
      </c>
      <c r="W381" t="s">
        <v>139</v>
      </c>
      <c r="X381" t="s">
        <v>139</v>
      </c>
      <c r="Y381" t="s">
        <v>139</v>
      </c>
      <c r="Z381">
        <v>122415.2</v>
      </c>
      <c r="AA381" t="s">
        <v>139</v>
      </c>
      <c r="AB381" t="s">
        <v>139</v>
      </c>
      <c r="AC381" t="s">
        <v>139</v>
      </c>
      <c r="AD381">
        <v>120913.5</v>
      </c>
      <c r="AE381" t="s">
        <v>139</v>
      </c>
      <c r="AF381">
        <v>6819.5</v>
      </c>
      <c r="AG381">
        <v>52355.1</v>
      </c>
      <c r="AH381" s="9">
        <v>1111854.2</v>
      </c>
      <c r="AI381">
        <v>910258.8</v>
      </c>
      <c r="AJ381">
        <v>165349.79999999999</v>
      </c>
      <c r="AK381" t="s">
        <v>139</v>
      </c>
      <c r="AL381">
        <v>29175.9</v>
      </c>
      <c r="AM381" t="s">
        <v>139</v>
      </c>
      <c r="AN381">
        <v>32341</v>
      </c>
      <c r="AO381" s="9">
        <v>959493.9</v>
      </c>
      <c r="AP381">
        <v>152360.29999999999</v>
      </c>
      <c r="AQ381" t="s">
        <v>139</v>
      </c>
      <c r="AR381" t="s">
        <v>139</v>
      </c>
      <c r="AS381">
        <f t="shared" si="2"/>
        <v>1075608.6000000001</v>
      </c>
      <c r="AT381">
        <f t="shared" si="1"/>
        <v>1.0336977595753696</v>
      </c>
    </row>
    <row r="382" spans="1:46" x14ac:dyDescent="0.4">
      <c r="A382" s="3" t="s">
        <v>513</v>
      </c>
      <c r="B382">
        <v>901001</v>
      </c>
      <c r="C382">
        <v>236165.9</v>
      </c>
      <c r="D382">
        <v>140383.29999999999</v>
      </c>
      <c r="E382" t="s">
        <v>139</v>
      </c>
      <c r="F382" t="s">
        <v>139</v>
      </c>
      <c r="G382">
        <v>95782.6</v>
      </c>
      <c r="H382" t="s">
        <v>139</v>
      </c>
      <c r="I382" t="s">
        <v>139</v>
      </c>
      <c r="J382">
        <v>664835.1</v>
      </c>
      <c r="K382">
        <v>213605.8</v>
      </c>
      <c r="L382">
        <v>183001.1</v>
      </c>
      <c r="M382" t="s">
        <v>139</v>
      </c>
      <c r="N382" t="s">
        <v>139</v>
      </c>
      <c r="O382" t="s">
        <v>139</v>
      </c>
      <c r="P382" t="s">
        <v>139</v>
      </c>
      <c r="Q382" t="s">
        <v>139</v>
      </c>
      <c r="R382" t="s">
        <v>139</v>
      </c>
      <c r="S382" t="s">
        <v>139</v>
      </c>
      <c r="T382" t="s">
        <v>139</v>
      </c>
      <c r="U382">
        <v>143934.29999999999</v>
      </c>
      <c r="V382" s="6" t="s">
        <v>139</v>
      </c>
      <c r="W382" t="s">
        <v>139</v>
      </c>
      <c r="X382" t="s">
        <v>139</v>
      </c>
      <c r="Y382" t="s">
        <v>139</v>
      </c>
      <c r="Z382">
        <v>124294</v>
      </c>
      <c r="AA382" t="s">
        <v>139</v>
      </c>
      <c r="AB382" t="s">
        <v>139</v>
      </c>
      <c r="AC382" t="s">
        <v>139</v>
      </c>
      <c r="AD382">
        <v>121823.3</v>
      </c>
      <c r="AE382" t="s">
        <v>139</v>
      </c>
      <c r="AF382">
        <v>6917.8</v>
      </c>
      <c r="AG382">
        <v>55107.5</v>
      </c>
      <c r="AH382" s="9">
        <v>1128985.1000000001</v>
      </c>
      <c r="AI382">
        <v>918315.2</v>
      </c>
      <c r="AJ382">
        <v>169601.1</v>
      </c>
      <c r="AK382" t="s">
        <v>139</v>
      </c>
      <c r="AL382">
        <v>30720.2</v>
      </c>
      <c r="AM382" t="s">
        <v>139</v>
      </c>
      <c r="AN382">
        <v>33924.1</v>
      </c>
      <c r="AO382" s="9">
        <v>969703.4</v>
      </c>
      <c r="AP382">
        <v>159281.79999999999</v>
      </c>
      <c r="AQ382" t="s">
        <v>139</v>
      </c>
      <c r="AR382" t="s">
        <v>139</v>
      </c>
      <c r="AS382">
        <f t="shared" si="2"/>
        <v>1087916.3</v>
      </c>
      <c r="AT382">
        <f t="shared" si="1"/>
        <v>1.0377499629337295</v>
      </c>
    </row>
    <row r="383" spans="1:46" x14ac:dyDescent="0.4">
      <c r="A383" s="3" t="s">
        <v>514</v>
      </c>
      <c r="B383">
        <v>912822.5</v>
      </c>
      <c r="C383">
        <v>238821.5</v>
      </c>
      <c r="D383">
        <v>142049.20000000001</v>
      </c>
      <c r="E383" t="s">
        <v>139</v>
      </c>
      <c r="F383" t="s">
        <v>139</v>
      </c>
      <c r="G383">
        <v>96772.3</v>
      </c>
      <c r="H383" t="s">
        <v>139</v>
      </c>
      <c r="I383" t="s">
        <v>139</v>
      </c>
      <c r="J383">
        <v>674001</v>
      </c>
      <c r="K383">
        <v>216997.9</v>
      </c>
      <c r="L383">
        <v>185823.5</v>
      </c>
      <c r="M383" t="s">
        <v>139</v>
      </c>
      <c r="N383" t="s">
        <v>139</v>
      </c>
      <c r="O383" t="s">
        <v>139</v>
      </c>
      <c r="P383" t="s">
        <v>139</v>
      </c>
      <c r="Q383" t="s">
        <v>139</v>
      </c>
      <c r="R383" t="s">
        <v>139</v>
      </c>
      <c r="S383" t="s">
        <v>139</v>
      </c>
      <c r="T383" t="s">
        <v>139</v>
      </c>
      <c r="U383">
        <v>146414.6</v>
      </c>
      <c r="V383" s="6" t="s">
        <v>139</v>
      </c>
      <c r="W383" t="s">
        <v>139</v>
      </c>
      <c r="X383" t="s">
        <v>139</v>
      </c>
      <c r="Y383" t="s">
        <v>139</v>
      </c>
      <c r="Z383">
        <v>124765</v>
      </c>
      <c r="AA383" t="s">
        <v>139</v>
      </c>
      <c r="AB383" t="s">
        <v>139</v>
      </c>
      <c r="AC383" t="s">
        <v>139</v>
      </c>
      <c r="AD383">
        <v>122919.5</v>
      </c>
      <c r="AE383" t="s">
        <v>139</v>
      </c>
      <c r="AF383">
        <v>7246.3</v>
      </c>
      <c r="AG383">
        <v>58583.5</v>
      </c>
      <c r="AH383" s="9">
        <v>1146717.7</v>
      </c>
      <c r="AI383">
        <v>937428.1</v>
      </c>
      <c r="AJ383">
        <v>173536.4</v>
      </c>
      <c r="AK383" t="s">
        <v>139</v>
      </c>
      <c r="AL383">
        <v>31520.2</v>
      </c>
      <c r="AM383" t="s">
        <v>139</v>
      </c>
      <c r="AN383">
        <v>35772.5</v>
      </c>
      <c r="AO383" s="9">
        <v>991527</v>
      </c>
      <c r="AP383">
        <v>155190.79999999999</v>
      </c>
      <c r="AQ383" t="s">
        <v>139</v>
      </c>
      <c r="AR383" t="s">
        <v>139</v>
      </c>
      <c r="AS383">
        <f t="shared" si="2"/>
        <v>1110964.5</v>
      </c>
      <c r="AT383">
        <f t="shared" si="1"/>
        <v>1.0321821264315827</v>
      </c>
    </row>
    <row r="384" spans="1:46" x14ac:dyDescent="0.4">
      <c r="A384" s="3" t="s">
        <v>515</v>
      </c>
      <c r="B384">
        <v>920955.9</v>
      </c>
      <c r="C384">
        <v>236787.8</v>
      </c>
      <c r="D384">
        <v>138609.9</v>
      </c>
      <c r="E384" t="s">
        <v>139</v>
      </c>
      <c r="F384" t="s">
        <v>139</v>
      </c>
      <c r="G384">
        <v>98177.9</v>
      </c>
      <c r="H384" t="s">
        <v>139</v>
      </c>
      <c r="I384" t="s">
        <v>139</v>
      </c>
      <c r="J384">
        <v>684168.1</v>
      </c>
      <c r="K384">
        <v>220400.5</v>
      </c>
      <c r="L384">
        <v>188970.7</v>
      </c>
      <c r="M384" t="s">
        <v>139</v>
      </c>
      <c r="N384" t="s">
        <v>139</v>
      </c>
      <c r="O384" t="s">
        <v>139</v>
      </c>
      <c r="P384" t="s">
        <v>139</v>
      </c>
      <c r="Q384" t="s">
        <v>139</v>
      </c>
      <c r="R384" t="s">
        <v>139</v>
      </c>
      <c r="S384" t="s">
        <v>139</v>
      </c>
      <c r="T384" t="s">
        <v>139</v>
      </c>
      <c r="U384">
        <v>149008.5</v>
      </c>
      <c r="V384" s="6" t="s">
        <v>139</v>
      </c>
      <c r="W384" t="s">
        <v>139</v>
      </c>
      <c r="X384" t="s">
        <v>139</v>
      </c>
      <c r="Y384" t="s">
        <v>139</v>
      </c>
      <c r="Z384">
        <v>125788.4</v>
      </c>
      <c r="AA384" t="s">
        <v>139</v>
      </c>
      <c r="AB384" t="s">
        <v>139</v>
      </c>
      <c r="AC384" t="s">
        <v>139</v>
      </c>
      <c r="AD384">
        <v>129569.3</v>
      </c>
      <c r="AE384" t="s">
        <v>139</v>
      </c>
      <c r="AF384">
        <v>7304.1</v>
      </c>
      <c r="AG384">
        <v>57998.7</v>
      </c>
      <c r="AH384" s="9">
        <v>1160966.8999999999</v>
      </c>
      <c r="AI384">
        <v>939170.7</v>
      </c>
      <c r="AJ384">
        <v>176382.4</v>
      </c>
      <c r="AK384" t="s">
        <v>139</v>
      </c>
      <c r="AL384">
        <v>34858.5</v>
      </c>
      <c r="AM384" t="s">
        <v>139</v>
      </c>
      <c r="AN384">
        <v>38353</v>
      </c>
      <c r="AO384" s="9">
        <v>1001067.4</v>
      </c>
      <c r="AP384">
        <v>159899.5</v>
      </c>
      <c r="AQ384" t="s">
        <v>139</v>
      </c>
      <c r="AR384" t="s">
        <v>139</v>
      </c>
      <c r="AS384">
        <f t="shared" si="2"/>
        <v>1115553.0999999999</v>
      </c>
      <c r="AT384">
        <f t="shared" si="1"/>
        <v>1.0407096712832407</v>
      </c>
    </row>
    <row r="385" spans="1:46" x14ac:dyDescent="0.4">
      <c r="A385" s="3" t="s">
        <v>516</v>
      </c>
      <c r="B385">
        <v>934173.3</v>
      </c>
      <c r="C385">
        <v>237796.8</v>
      </c>
      <c r="D385">
        <v>139055.70000000001</v>
      </c>
      <c r="E385" t="s">
        <v>139</v>
      </c>
      <c r="F385" t="s">
        <v>139</v>
      </c>
      <c r="G385">
        <v>98741.2</v>
      </c>
      <c r="H385" t="s">
        <v>139</v>
      </c>
      <c r="I385" t="s">
        <v>139</v>
      </c>
      <c r="J385">
        <v>696376.5</v>
      </c>
      <c r="K385">
        <v>223475.9</v>
      </c>
      <c r="L385">
        <v>192106</v>
      </c>
      <c r="M385" t="s">
        <v>139</v>
      </c>
      <c r="N385" t="s">
        <v>139</v>
      </c>
      <c r="O385" t="s">
        <v>139</v>
      </c>
      <c r="P385" t="s">
        <v>139</v>
      </c>
      <c r="Q385" t="s">
        <v>139</v>
      </c>
      <c r="R385" t="s">
        <v>139</v>
      </c>
      <c r="S385" t="s">
        <v>139</v>
      </c>
      <c r="T385" t="s">
        <v>139</v>
      </c>
      <c r="U385">
        <v>151832.79999999999</v>
      </c>
      <c r="V385" s="6" t="s">
        <v>139</v>
      </c>
      <c r="W385" t="s">
        <v>139</v>
      </c>
      <c r="X385" t="s">
        <v>139</v>
      </c>
      <c r="Y385" t="s">
        <v>139</v>
      </c>
      <c r="Z385">
        <v>128961.8</v>
      </c>
      <c r="AA385" t="s">
        <v>139</v>
      </c>
      <c r="AB385" t="s">
        <v>139</v>
      </c>
      <c r="AC385" t="s">
        <v>139</v>
      </c>
      <c r="AD385">
        <v>128411.7</v>
      </c>
      <c r="AE385" t="s">
        <v>139</v>
      </c>
      <c r="AF385">
        <v>8005.4</v>
      </c>
      <c r="AG385">
        <v>57630.3</v>
      </c>
      <c r="AH385" s="9">
        <v>1173792.3999999999</v>
      </c>
      <c r="AI385">
        <v>953728.7</v>
      </c>
      <c r="AJ385">
        <v>178633.2</v>
      </c>
      <c r="AK385" t="s">
        <v>139</v>
      </c>
      <c r="AL385">
        <v>35247.1</v>
      </c>
      <c r="AM385" t="s">
        <v>139</v>
      </c>
      <c r="AN385">
        <v>38966.9</v>
      </c>
      <c r="AO385" s="9">
        <v>1016856.2</v>
      </c>
      <c r="AP385">
        <v>156936.1</v>
      </c>
      <c r="AQ385" t="s">
        <v>139</v>
      </c>
      <c r="AR385" t="s">
        <v>139</v>
      </c>
      <c r="AS385">
        <f t="shared" si="2"/>
        <v>1132361.8999999999</v>
      </c>
      <c r="AT385">
        <f t="shared" ref="AT385:AT448" si="3">AH385/AS385</f>
        <v>1.0365876845556177</v>
      </c>
    </row>
    <row r="386" spans="1:46" x14ac:dyDescent="0.4">
      <c r="A386" s="3" t="s">
        <v>517</v>
      </c>
      <c r="B386">
        <v>941927.2</v>
      </c>
      <c r="C386">
        <v>236102.9</v>
      </c>
      <c r="D386">
        <v>137697</v>
      </c>
      <c r="E386" t="s">
        <v>139</v>
      </c>
      <c r="F386" t="s">
        <v>139</v>
      </c>
      <c r="G386">
        <v>98405.8</v>
      </c>
      <c r="H386" t="s">
        <v>139</v>
      </c>
      <c r="I386" t="s">
        <v>139</v>
      </c>
      <c r="J386">
        <v>705824.3</v>
      </c>
      <c r="K386">
        <v>226225.8</v>
      </c>
      <c r="L386">
        <v>195013.4</v>
      </c>
      <c r="M386" t="s">
        <v>139</v>
      </c>
      <c r="N386" t="s">
        <v>139</v>
      </c>
      <c r="O386" t="s">
        <v>139</v>
      </c>
      <c r="P386" t="s">
        <v>139</v>
      </c>
      <c r="Q386" t="s">
        <v>139</v>
      </c>
      <c r="R386" t="s">
        <v>139</v>
      </c>
      <c r="S386" t="s">
        <v>139</v>
      </c>
      <c r="T386" t="s">
        <v>139</v>
      </c>
      <c r="U386">
        <v>154793.9</v>
      </c>
      <c r="V386" s="6" t="s">
        <v>139</v>
      </c>
      <c r="W386" t="s">
        <v>139</v>
      </c>
      <c r="X386" t="s">
        <v>139</v>
      </c>
      <c r="Y386" t="s">
        <v>139</v>
      </c>
      <c r="Z386">
        <v>129791.3</v>
      </c>
      <c r="AA386" t="s">
        <v>139</v>
      </c>
      <c r="AB386" t="s">
        <v>139</v>
      </c>
      <c r="AC386" t="s">
        <v>139</v>
      </c>
      <c r="AD386">
        <v>129127</v>
      </c>
      <c r="AE386" t="s">
        <v>139</v>
      </c>
      <c r="AF386">
        <v>7933.2</v>
      </c>
      <c r="AG386">
        <v>58210</v>
      </c>
      <c r="AH386" s="9">
        <v>1179821.8999999999</v>
      </c>
      <c r="AI386">
        <v>961375.5</v>
      </c>
      <c r="AJ386">
        <v>180915.1</v>
      </c>
      <c r="AK386" t="s">
        <v>139</v>
      </c>
      <c r="AL386">
        <v>35110.199999999997</v>
      </c>
      <c r="AM386" t="s">
        <v>139</v>
      </c>
      <c r="AN386">
        <v>40085.300000000003</v>
      </c>
      <c r="AO386" s="9">
        <v>1025626.1</v>
      </c>
      <c r="AP386">
        <v>154195.79999999999</v>
      </c>
      <c r="AQ386" t="s">
        <v>139</v>
      </c>
      <c r="AR386" t="s">
        <v>139</v>
      </c>
      <c r="AS386">
        <f t="shared" si="2"/>
        <v>1142290.6000000001</v>
      </c>
      <c r="AT386">
        <f t="shared" si="3"/>
        <v>1.0328561751274148</v>
      </c>
    </row>
    <row r="387" spans="1:46" x14ac:dyDescent="0.4">
      <c r="A387" s="3" t="s">
        <v>518</v>
      </c>
      <c r="B387">
        <v>948641</v>
      </c>
      <c r="C387">
        <v>236200.9</v>
      </c>
      <c r="D387">
        <v>137680.79999999999</v>
      </c>
      <c r="E387" t="s">
        <v>139</v>
      </c>
      <c r="F387" t="s">
        <v>139</v>
      </c>
      <c r="G387">
        <v>98520.1</v>
      </c>
      <c r="H387" t="s">
        <v>139</v>
      </c>
      <c r="I387" t="s">
        <v>139</v>
      </c>
      <c r="J387">
        <v>712440.1</v>
      </c>
      <c r="K387">
        <v>228362.3</v>
      </c>
      <c r="L387">
        <v>198325.2</v>
      </c>
      <c r="M387" t="s">
        <v>139</v>
      </c>
      <c r="N387" t="s">
        <v>139</v>
      </c>
      <c r="O387" t="s">
        <v>139</v>
      </c>
      <c r="P387" t="s">
        <v>139</v>
      </c>
      <c r="Q387" t="s">
        <v>139</v>
      </c>
      <c r="R387" t="s">
        <v>139</v>
      </c>
      <c r="S387" t="s">
        <v>139</v>
      </c>
      <c r="T387" t="s">
        <v>139</v>
      </c>
      <c r="U387">
        <v>158059.4</v>
      </c>
      <c r="V387" s="6" t="s">
        <v>139</v>
      </c>
      <c r="W387" t="s">
        <v>139</v>
      </c>
      <c r="X387" t="s">
        <v>139</v>
      </c>
      <c r="Y387" t="s">
        <v>139</v>
      </c>
      <c r="Z387">
        <v>127693.2</v>
      </c>
      <c r="AA387" t="s">
        <v>139</v>
      </c>
      <c r="AB387" t="s">
        <v>139</v>
      </c>
      <c r="AC387" t="s">
        <v>139</v>
      </c>
      <c r="AD387">
        <v>129621.2</v>
      </c>
      <c r="AE387" t="s">
        <v>139</v>
      </c>
      <c r="AF387">
        <v>7880.9</v>
      </c>
      <c r="AG387">
        <v>59776.5</v>
      </c>
      <c r="AH387" s="9">
        <v>1188697.3</v>
      </c>
      <c r="AI387">
        <v>954776.9</v>
      </c>
      <c r="AJ387">
        <v>182010.7</v>
      </c>
      <c r="AK387" t="s">
        <v>139</v>
      </c>
      <c r="AL387">
        <v>35016.6</v>
      </c>
      <c r="AM387" t="s">
        <v>139</v>
      </c>
      <c r="AN387">
        <v>40805.699999999997</v>
      </c>
      <c r="AO387" s="9">
        <v>1020075.4</v>
      </c>
      <c r="AP387">
        <v>168622</v>
      </c>
      <c r="AQ387" t="s">
        <v>139</v>
      </c>
      <c r="AR387" t="s">
        <v>139</v>
      </c>
      <c r="AS387">
        <f t="shared" si="2"/>
        <v>1136787.6000000001</v>
      </c>
      <c r="AT387">
        <f t="shared" si="3"/>
        <v>1.0456634994962999</v>
      </c>
    </row>
    <row r="388" spans="1:46" x14ac:dyDescent="0.4">
      <c r="A388" s="3" t="s">
        <v>519</v>
      </c>
      <c r="B388">
        <v>961549.4</v>
      </c>
      <c r="C388">
        <v>238660.4</v>
      </c>
      <c r="D388">
        <v>139091.20000000001</v>
      </c>
      <c r="E388" t="s">
        <v>139</v>
      </c>
      <c r="F388" t="s">
        <v>139</v>
      </c>
      <c r="G388">
        <v>99569.2</v>
      </c>
      <c r="H388" t="s">
        <v>139</v>
      </c>
      <c r="I388" t="s">
        <v>139</v>
      </c>
      <c r="J388">
        <v>722889</v>
      </c>
      <c r="K388">
        <v>230501.1</v>
      </c>
      <c r="L388">
        <v>201099</v>
      </c>
      <c r="M388" t="s">
        <v>139</v>
      </c>
      <c r="N388" t="s">
        <v>139</v>
      </c>
      <c r="O388" t="s">
        <v>139</v>
      </c>
      <c r="P388" t="s">
        <v>139</v>
      </c>
      <c r="Q388" t="s">
        <v>139</v>
      </c>
      <c r="R388" t="s">
        <v>139</v>
      </c>
      <c r="S388" t="s">
        <v>139</v>
      </c>
      <c r="T388" t="s">
        <v>139</v>
      </c>
      <c r="U388">
        <v>159500.9</v>
      </c>
      <c r="V388" s="6" t="s">
        <v>139</v>
      </c>
      <c r="W388" t="s">
        <v>139</v>
      </c>
      <c r="X388" t="s">
        <v>139</v>
      </c>
      <c r="Y388" t="s">
        <v>139</v>
      </c>
      <c r="Z388">
        <v>131788</v>
      </c>
      <c r="AA388" t="s">
        <v>139</v>
      </c>
      <c r="AB388" t="s">
        <v>139</v>
      </c>
      <c r="AC388" t="s">
        <v>139</v>
      </c>
      <c r="AD388">
        <v>132093.9</v>
      </c>
      <c r="AE388" t="s">
        <v>139</v>
      </c>
      <c r="AF388">
        <v>8686.9</v>
      </c>
      <c r="AG388">
        <v>60743.9</v>
      </c>
      <c r="AH388" s="9">
        <v>1207298.6000000001</v>
      </c>
      <c r="AI388">
        <v>975627.7</v>
      </c>
      <c r="AJ388">
        <v>183467.2</v>
      </c>
      <c r="AK388" t="s">
        <v>139</v>
      </c>
      <c r="AL388">
        <v>35571.4</v>
      </c>
      <c r="AM388" t="s">
        <v>139</v>
      </c>
      <c r="AN388">
        <v>41935.300000000003</v>
      </c>
      <c r="AO388" s="9">
        <v>1043019.6</v>
      </c>
      <c r="AP388">
        <v>164279</v>
      </c>
      <c r="AQ388" t="s">
        <v>139</v>
      </c>
      <c r="AR388" t="s">
        <v>139</v>
      </c>
      <c r="AS388">
        <f t="shared" si="2"/>
        <v>1159094.8999999999</v>
      </c>
      <c r="AT388">
        <f t="shared" si="3"/>
        <v>1.0415873626913552</v>
      </c>
    </row>
    <row r="389" spans="1:46" x14ac:dyDescent="0.4">
      <c r="A389" s="3" t="s">
        <v>520</v>
      </c>
      <c r="B389">
        <v>972303.3</v>
      </c>
      <c r="C389">
        <v>238252.1</v>
      </c>
      <c r="D389">
        <v>138072.4</v>
      </c>
      <c r="E389" t="s">
        <v>139</v>
      </c>
      <c r="F389" t="s">
        <v>139</v>
      </c>
      <c r="G389">
        <v>100179.7</v>
      </c>
      <c r="H389" t="s">
        <v>139</v>
      </c>
      <c r="I389" t="s">
        <v>139</v>
      </c>
      <c r="J389">
        <v>734051.2</v>
      </c>
      <c r="K389">
        <v>232924.9</v>
      </c>
      <c r="L389">
        <v>204515.1</v>
      </c>
      <c r="M389" t="s">
        <v>139</v>
      </c>
      <c r="N389" t="s">
        <v>139</v>
      </c>
      <c r="O389" t="s">
        <v>139</v>
      </c>
      <c r="P389" t="s">
        <v>139</v>
      </c>
      <c r="Q389" t="s">
        <v>139</v>
      </c>
      <c r="R389" t="s">
        <v>139</v>
      </c>
      <c r="S389" t="s">
        <v>139</v>
      </c>
      <c r="T389" t="s">
        <v>139</v>
      </c>
      <c r="U389">
        <v>162446.29999999999</v>
      </c>
      <c r="V389" s="6" t="s">
        <v>139</v>
      </c>
      <c r="W389" t="s">
        <v>139</v>
      </c>
      <c r="X389" t="s">
        <v>139</v>
      </c>
      <c r="Y389" t="s">
        <v>139</v>
      </c>
      <c r="Z389">
        <v>134164.79999999999</v>
      </c>
      <c r="AA389" t="s">
        <v>139</v>
      </c>
      <c r="AB389" t="s">
        <v>139</v>
      </c>
      <c r="AC389" t="s">
        <v>139</v>
      </c>
      <c r="AD389">
        <v>133160.20000000001</v>
      </c>
      <c r="AE389" t="s">
        <v>139</v>
      </c>
      <c r="AF389">
        <v>9587.7999999999993</v>
      </c>
      <c r="AG389">
        <v>61412.6</v>
      </c>
      <c r="AH389" s="9">
        <v>1220008.8999999999</v>
      </c>
      <c r="AI389">
        <v>981060.2</v>
      </c>
      <c r="AJ389">
        <v>184210.8</v>
      </c>
      <c r="AK389" t="s">
        <v>139</v>
      </c>
      <c r="AL389">
        <v>37466.300000000003</v>
      </c>
      <c r="AM389" t="s">
        <v>139</v>
      </c>
      <c r="AN389">
        <v>43144.2</v>
      </c>
      <c r="AO389" s="9">
        <v>1052382.2</v>
      </c>
      <c r="AP389">
        <v>167626.70000000001</v>
      </c>
      <c r="AQ389" t="s">
        <v>139</v>
      </c>
      <c r="AR389" t="s">
        <v>139</v>
      </c>
      <c r="AS389">
        <f t="shared" si="2"/>
        <v>1165271</v>
      </c>
      <c r="AT389">
        <f t="shared" si="3"/>
        <v>1.0469743947974333</v>
      </c>
    </row>
    <row r="390" spans="1:46" x14ac:dyDescent="0.4">
      <c r="A390" s="3" t="s">
        <v>521</v>
      </c>
      <c r="B390">
        <v>983998.7</v>
      </c>
      <c r="C390">
        <v>238872.7</v>
      </c>
      <c r="D390">
        <v>138278.79999999999</v>
      </c>
      <c r="E390" t="s">
        <v>139</v>
      </c>
      <c r="F390" t="s">
        <v>139</v>
      </c>
      <c r="G390">
        <v>100593.9</v>
      </c>
      <c r="H390" t="s">
        <v>139</v>
      </c>
      <c r="I390" t="s">
        <v>139</v>
      </c>
      <c r="J390">
        <v>745126</v>
      </c>
      <c r="K390">
        <v>235806.2</v>
      </c>
      <c r="L390">
        <v>207585.5</v>
      </c>
      <c r="M390" t="s">
        <v>139</v>
      </c>
      <c r="N390" t="s">
        <v>139</v>
      </c>
      <c r="O390" t="s">
        <v>139</v>
      </c>
      <c r="P390" t="s">
        <v>139</v>
      </c>
      <c r="Q390" t="s">
        <v>139</v>
      </c>
      <c r="R390" t="s">
        <v>139</v>
      </c>
      <c r="S390" t="s">
        <v>139</v>
      </c>
      <c r="T390" t="s">
        <v>139</v>
      </c>
      <c r="U390">
        <v>163656.1</v>
      </c>
      <c r="V390" s="6" t="s">
        <v>139</v>
      </c>
      <c r="W390" t="s">
        <v>139</v>
      </c>
      <c r="X390" t="s">
        <v>139</v>
      </c>
      <c r="Y390" t="s">
        <v>139</v>
      </c>
      <c r="Z390">
        <v>138078.20000000001</v>
      </c>
      <c r="AA390" t="s">
        <v>139</v>
      </c>
      <c r="AB390" t="s">
        <v>139</v>
      </c>
      <c r="AC390" t="s">
        <v>139</v>
      </c>
      <c r="AD390">
        <v>132829.29999999999</v>
      </c>
      <c r="AE390" t="s">
        <v>139</v>
      </c>
      <c r="AF390">
        <v>10574.4</v>
      </c>
      <c r="AG390">
        <v>63369.4</v>
      </c>
      <c r="AH390" s="9">
        <v>1237496.7</v>
      </c>
      <c r="AI390">
        <v>989268.2</v>
      </c>
      <c r="AJ390">
        <v>188233.9</v>
      </c>
      <c r="AK390" t="s">
        <v>139</v>
      </c>
      <c r="AL390">
        <v>38716.699999999997</v>
      </c>
      <c r="AM390" t="s">
        <v>139</v>
      </c>
      <c r="AN390">
        <v>45228.800000000003</v>
      </c>
      <c r="AO390" s="9">
        <v>1063445.3</v>
      </c>
      <c r="AP390">
        <v>174051.4</v>
      </c>
      <c r="AQ390" t="s">
        <v>139</v>
      </c>
      <c r="AR390" t="s">
        <v>139</v>
      </c>
      <c r="AS390">
        <f t="shared" si="2"/>
        <v>1177502.0999999999</v>
      </c>
      <c r="AT390">
        <f t="shared" si="3"/>
        <v>1.050950737157921</v>
      </c>
    </row>
    <row r="391" spans="1:46" x14ac:dyDescent="0.4">
      <c r="A391" s="3" t="s">
        <v>522</v>
      </c>
      <c r="B391">
        <v>995381</v>
      </c>
      <c r="C391">
        <v>240219.5</v>
      </c>
      <c r="D391">
        <v>138353</v>
      </c>
      <c r="E391" t="s">
        <v>139</v>
      </c>
      <c r="F391" t="s">
        <v>139</v>
      </c>
      <c r="G391">
        <v>101866.5</v>
      </c>
      <c r="H391" t="s">
        <v>139</v>
      </c>
      <c r="I391" t="s">
        <v>139</v>
      </c>
      <c r="J391">
        <v>755161.5</v>
      </c>
      <c r="K391">
        <v>237239.4</v>
      </c>
      <c r="L391">
        <v>210462</v>
      </c>
      <c r="M391" t="s">
        <v>139</v>
      </c>
      <c r="N391" t="s">
        <v>139</v>
      </c>
      <c r="O391" t="s">
        <v>139</v>
      </c>
      <c r="P391" t="s">
        <v>139</v>
      </c>
      <c r="Q391" t="s">
        <v>139</v>
      </c>
      <c r="R391" t="s">
        <v>139</v>
      </c>
      <c r="S391" t="s">
        <v>139</v>
      </c>
      <c r="T391" t="s">
        <v>139</v>
      </c>
      <c r="U391">
        <v>164431.9</v>
      </c>
      <c r="V391" s="6" t="s">
        <v>139</v>
      </c>
      <c r="W391" t="s">
        <v>139</v>
      </c>
      <c r="X391" t="s">
        <v>139</v>
      </c>
      <c r="Y391" t="s">
        <v>139</v>
      </c>
      <c r="Z391">
        <v>143028.20000000001</v>
      </c>
      <c r="AA391" t="s">
        <v>139</v>
      </c>
      <c r="AB391" t="s">
        <v>139</v>
      </c>
      <c r="AC391" t="s">
        <v>139</v>
      </c>
      <c r="AD391">
        <v>140382</v>
      </c>
      <c r="AE391" t="s">
        <v>139</v>
      </c>
      <c r="AF391">
        <v>10370.299999999999</v>
      </c>
      <c r="AG391">
        <v>63277.4</v>
      </c>
      <c r="AH391" s="9">
        <v>1255900.8999999999</v>
      </c>
      <c r="AI391">
        <v>1003967.6</v>
      </c>
      <c r="AJ391">
        <v>189778.3</v>
      </c>
      <c r="AK391" t="s">
        <v>139</v>
      </c>
      <c r="AL391">
        <v>53349.1</v>
      </c>
      <c r="AM391" t="s">
        <v>139</v>
      </c>
      <c r="AN391">
        <v>45987.4</v>
      </c>
      <c r="AO391" s="9">
        <v>1092331.8</v>
      </c>
      <c r="AP391">
        <v>163569.20000000001</v>
      </c>
      <c r="AQ391" t="s">
        <v>139</v>
      </c>
      <c r="AR391" t="s">
        <v>139</v>
      </c>
      <c r="AS391">
        <f t="shared" si="2"/>
        <v>1193745.8999999999</v>
      </c>
      <c r="AT391">
        <f t="shared" si="3"/>
        <v>1.0520671945344482</v>
      </c>
    </row>
    <row r="392" spans="1:46" x14ac:dyDescent="0.4">
      <c r="A392" s="3" t="s">
        <v>523</v>
      </c>
      <c r="B392">
        <v>999968.1</v>
      </c>
      <c r="C392">
        <v>242203.2</v>
      </c>
      <c r="D392">
        <v>136763.20000000001</v>
      </c>
      <c r="E392" t="s">
        <v>139</v>
      </c>
      <c r="F392" t="s">
        <v>139</v>
      </c>
      <c r="G392">
        <v>105440</v>
      </c>
      <c r="H392" t="s">
        <v>139</v>
      </c>
      <c r="I392" t="s">
        <v>139</v>
      </c>
      <c r="J392">
        <v>757764.9</v>
      </c>
      <c r="K392">
        <v>239757</v>
      </c>
      <c r="L392">
        <v>211945.60000000001</v>
      </c>
      <c r="M392" t="s">
        <v>139</v>
      </c>
      <c r="N392" t="s">
        <v>139</v>
      </c>
      <c r="O392" t="s">
        <v>139</v>
      </c>
      <c r="P392" t="s">
        <v>139</v>
      </c>
      <c r="Q392" t="s">
        <v>139</v>
      </c>
      <c r="R392" t="s">
        <v>139</v>
      </c>
      <c r="S392" t="s">
        <v>139</v>
      </c>
      <c r="T392" t="s">
        <v>139</v>
      </c>
      <c r="U392">
        <v>164557.79999999999</v>
      </c>
      <c r="V392" s="6" t="s">
        <v>139</v>
      </c>
      <c r="W392" t="s">
        <v>139</v>
      </c>
      <c r="X392" t="s">
        <v>139</v>
      </c>
      <c r="Y392" t="s">
        <v>139</v>
      </c>
      <c r="Z392">
        <v>141504.4</v>
      </c>
      <c r="AA392" t="s">
        <v>139</v>
      </c>
      <c r="AB392" t="s">
        <v>139</v>
      </c>
      <c r="AC392" t="s">
        <v>139</v>
      </c>
      <c r="AD392">
        <v>156119</v>
      </c>
      <c r="AE392" t="s">
        <v>139</v>
      </c>
      <c r="AF392">
        <v>9580.9</v>
      </c>
      <c r="AG392">
        <v>60739.1</v>
      </c>
      <c r="AH392" s="9">
        <v>1269954</v>
      </c>
      <c r="AI392">
        <v>1000257.4</v>
      </c>
      <c r="AJ392">
        <v>194583.8</v>
      </c>
      <c r="AK392" t="s">
        <v>139</v>
      </c>
      <c r="AL392">
        <v>136239.1</v>
      </c>
      <c r="AM392" t="s">
        <v>139</v>
      </c>
      <c r="AN392">
        <v>53145.7</v>
      </c>
      <c r="AO392" s="9">
        <v>1179464.5</v>
      </c>
      <c r="AP392">
        <v>90489.4</v>
      </c>
      <c r="AQ392" t="s">
        <v>139</v>
      </c>
      <c r="AR392" t="s">
        <v>139</v>
      </c>
      <c r="AS392">
        <f t="shared" si="2"/>
        <v>1194841.2</v>
      </c>
      <c r="AT392">
        <f t="shared" si="3"/>
        <v>1.0628642534254762</v>
      </c>
    </row>
    <row r="393" spans="1:46" x14ac:dyDescent="0.4">
      <c r="A393" s="3" t="s">
        <v>524</v>
      </c>
      <c r="B393">
        <v>1007908.3</v>
      </c>
      <c r="C393">
        <v>243067.9</v>
      </c>
      <c r="D393">
        <v>136256.20000000001</v>
      </c>
      <c r="E393" t="s">
        <v>139</v>
      </c>
      <c r="F393" t="s">
        <v>139</v>
      </c>
      <c r="G393">
        <v>106811.7</v>
      </c>
      <c r="H393" t="s">
        <v>139</v>
      </c>
      <c r="I393" t="s">
        <v>139</v>
      </c>
      <c r="J393">
        <v>764840.5</v>
      </c>
      <c r="K393">
        <v>243876.6</v>
      </c>
      <c r="L393">
        <v>213628.79999999999</v>
      </c>
      <c r="M393" t="s">
        <v>139</v>
      </c>
      <c r="N393" t="s">
        <v>139</v>
      </c>
      <c r="O393" t="s">
        <v>139</v>
      </c>
      <c r="P393" t="s">
        <v>139</v>
      </c>
      <c r="Q393" t="s">
        <v>139</v>
      </c>
      <c r="R393" t="s">
        <v>139</v>
      </c>
      <c r="S393" t="s">
        <v>139</v>
      </c>
      <c r="T393" t="s">
        <v>139</v>
      </c>
      <c r="U393">
        <v>166572.79999999999</v>
      </c>
      <c r="V393" s="6" t="s">
        <v>139</v>
      </c>
      <c r="W393" t="s">
        <v>139</v>
      </c>
      <c r="X393" t="s">
        <v>139</v>
      </c>
      <c r="Y393" t="s">
        <v>139</v>
      </c>
      <c r="Z393">
        <v>140762.29999999999</v>
      </c>
      <c r="AA393" t="s">
        <v>139</v>
      </c>
      <c r="AB393" t="s">
        <v>139</v>
      </c>
      <c r="AC393" t="s">
        <v>139</v>
      </c>
      <c r="AD393">
        <v>154879.5</v>
      </c>
      <c r="AE393" t="s">
        <v>139</v>
      </c>
      <c r="AF393">
        <v>9350.7999999999993</v>
      </c>
      <c r="AG393">
        <v>59722</v>
      </c>
      <c r="AH393" s="9">
        <v>1277620.1000000001</v>
      </c>
      <c r="AI393">
        <v>999692.1</v>
      </c>
      <c r="AJ393">
        <v>194710.2</v>
      </c>
      <c r="AK393" t="s">
        <v>139</v>
      </c>
      <c r="AL393">
        <v>137891.79999999999</v>
      </c>
      <c r="AM393" t="s">
        <v>139</v>
      </c>
      <c r="AN393">
        <v>53022.9</v>
      </c>
      <c r="AO393" s="9">
        <v>1182506.6000000001</v>
      </c>
      <c r="AP393">
        <v>95113.4</v>
      </c>
      <c r="AQ393" t="s">
        <v>139</v>
      </c>
      <c r="AR393" t="s">
        <v>139</v>
      </c>
      <c r="AS393">
        <f t="shared" ref="AS393:AS456" si="4">SUM(AI393:AK393)</f>
        <v>1194402.3</v>
      </c>
      <c r="AT393">
        <f t="shared" si="3"/>
        <v>1.0696731746079189</v>
      </c>
    </row>
    <row r="394" spans="1:46" x14ac:dyDescent="0.4">
      <c r="A394" s="3" t="s">
        <v>525</v>
      </c>
      <c r="B394">
        <v>1020271.9</v>
      </c>
      <c r="C394">
        <v>245608.8</v>
      </c>
      <c r="D394">
        <v>138230</v>
      </c>
      <c r="E394" t="s">
        <v>139</v>
      </c>
      <c r="F394" t="s">
        <v>139</v>
      </c>
      <c r="G394">
        <v>107378.8</v>
      </c>
      <c r="H394" t="s">
        <v>139</v>
      </c>
      <c r="I394" t="s">
        <v>139</v>
      </c>
      <c r="J394">
        <v>774663.1</v>
      </c>
      <c r="K394">
        <v>247893.3</v>
      </c>
      <c r="L394">
        <v>215635.8</v>
      </c>
      <c r="M394" t="s">
        <v>139</v>
      </c>
      <c r="N394" t="s">
        <v>139</v>
      </c>
      <c r="O394" t="s">
        <v>139</v>
      </c>
      <c r="P394" t="s">
        <v>139</v>
      </c>
      <c r="Q394" t="s">
        <v>139</v>
      </c>
      <c r="R394" t="s">
        <v>139</v>
      </c>
      <c r="S394" t="s">
        <v>139</v>
      </c>
      <c r="T394" t="s">
        <v>139</v>
      </c>
      <c r="U394">
        <v>168879.6</v>
      </c>
      <c r="V394" s="6" t="s">
        <v>139</v>
      </c>
      <c r="W394" t="s">
        <v>139</v>
      </c>
      <c r="X394" t="s">
        <v>139</v>
      </c>
      <c r="Y394" t="s">
        <v>139</v>
      </c>
      <c r="Z394">
        <v>142254.39999999999</v>
      </c>
      <c r="AA394" t="s">
        <v>139</v>
      </c>
      <c r="AB394" t="s">
        <v>139</v>
      </c>
      <c r="AC394" t="s">
        <v>139</v>
      </c>
      <c r="AD394">
        <v>152397.5</v>
      </c>
      <c r="AE394" t="s">
        <v>139</v>
      </c>
      <c r="AF394">
        <v>9973.4</v>
      </c>
      <c r="AG394">
        <v>59844.4</v>
      </c>
      <c r="AH394" s="9">
        <v>1290475</v>
      </c>
      <c r="AI394">
        <v>1000371</v>
      </c>
      <c r="AJ394">
        <v>195975.7</v>
      </c>
      <c r="AK394" t="s">
        <v>139</v>
      </c>
      <c r="AL394">
        <v>142462.79999999999</v>
      </c>
      <c r="AM394" t="s">
        <v>139</v>
      </c>
      <c r="AN394">
        <v>55247.9</v>
      </c>
      <c r="AO394" s="9">
        <v>1192060.3999999999</v>
      </c>
      <c r="AP394">
        <v>98414.6</v>
      </c>
      <c r="AQ394" t="s">
        <v>139</v>
      </c>
      <c r="AR394" t="s">
        <v>139</v>
      </c>
      <c r="AS394">
        <f t="shared" si="4"/>
        <v>1196346.7</v>
      </c>
      <c r="AT394">
        <f t="shared" si="3"/>
        <v>1.0786797840458791</v>
      </c>
    </row>
    <row r="395" spans="1:46" x14ac:dyDescent="0.4">
      <c r="A395" s="3" t="s">
        <v>526</v>
      </c>
      <c r="B395">
        <v>1035727.2</v>
      </c>
      <c r="C395">
        <v>248400.4</v>
      </c>
      <c r="D395">
        <v>140118.6</v>
      </c>
      <c r="E395" t="s">
        <v>139</v>
      </c>
      <c r="F395" t="s">
        <v>139</v>
      </c>
      <c r="G395">
        <v>108281.9</v>
      </c>
      <c r="H395" t="s">
        <v>139</v>
      </c>
      <c r="I395" t="s">
        <v>139</v>
      </c>
      <c r="J395">
        <v>787326.8</v>
      </c>
      <c r="K395">
        <v>253760.9</v>
      </c>
      <c r="L395">
        <v>218099.5</v>
      </c>
      <c r="M395" t="s">
        <v>139</v>
      </c>
      <c r="N395" t="s">
        <v>139</v>
      </c>
      <c r="O395" t="s">
        <v>139</v>
      </c>
      <c r="P395" t="s">
        <v>139</v>
      </c>
      <c r="Q395" t="s">
        <v>139</v>
      </c>
      <c r="R395" t="s">
        <v>139</v>
      </c>
      <c r="S395" t="s">
        <v>139</v>
      </c>
      <c r="T395" t="s">
        <v>139</v>
      </c>
      <c r="U395">
        <v>171671.6</v>
      </c>
      <c r="V395" s="6" t="s">
        <v>139</v>
      </c>
      <c r="W395" t="s">
        <v>139</v>
      </c>
      <c r="X395" t="s">
        <v>139</v>
      </c>
      <c r="Y395" t="s">
        <v>139</v>
      </c>
      <c r="Z395">
        <v>143794.79999999999</v>
      </c>
      <c r="AA395" t="s">
        <v>139</v>
      </c>
      <c r="AB395" t="s">
        <v>139</v>
      </c>
      <c r="AC395" t="s">
        <v>139</v>
      </c>
      <c r="AD395">
        <v>152532.70000000001</v>
      </c>
      <c r="AE395" t="s">
        <v>139</v>
      </c>
      <c r="AF395">
        <v>10646.5</v>
      </c>
      <c r="AG395">
        <v>67757.5</v>
      </c>
      <c r="AH395" s="9">
        <v>1317650.3999999999</v>
      </c>
      <c r="AI395">
        <v>1008972.6</v>
      </c>
      <c r="AJ395">
        <v>197237.3</v>
      </c>
      <c r="AK395" t="s">
        <v>139</v>
      </c>
      <c r="AL395">
        <v>146754.70000000001</v>
      </c>
      <c r="AM395" t="s">
        <v>139</v>
      </c>
      <c r="AN395">
        <v>67367.8</v>
      </c>
      <c r="AO395" s="9">
        <v>1219985.7</v>
      </c>
      <c r="AP395">
        <v>97664.7</v>
      </c>
      <c r="AQ395" t="s">
        <v>139</v>
      </c>
      <c r="AR395" t="s">
        <v>139</v>
      </c>
      <c r="AS395">
        <f t="shared" si="4"/>
        <v>1206209.8999999999</v>
      </c>
      <c r="AT395">
        <f t="shared" si="3"/>
        <v>1.092388978070898</v>
      </c>
    </row>
    <row r="396" spans="1:46" x14ac:dyDescent="0.4">
      <c r="A396" s="3" t="s">
        <v>527</v>
      </c>
      <c r="B396">
        <v>1046514.8</v>
      </c>
      <c r="C396">
        <v>248363.3</v>
      </c>
      <c r="D396">
        <v>140211.1</v>
      </c>
      <c r="E396" t="s">
        <v>139</v>
      </c>
      <c r="F396" t="s">
        <v>139</v>
      </c>
      <c r="G396">
        <v>108152.2</v>
      </c>
      <c r="H396" t="s">
        <v>139</v>
      </c>
      <c r="I396" t="s">
        <v>139</v>
      </c>
      <c r="J396">
        <v>798151.6</v>
      </c>
      <c r="K396">
        <v>258734.9</v>
      </c>
      <c r="L396">
        <v>220590.3</v>
      </c>
      <c r="M396" t="s">
        <v>139</v>
      </c>
      <c r="N396" t="s">
        <v>139</v>
      </c>
      <c r="O396" t="s">
        <v>139</v>
      </c>
      <c r="P396" t="s">
        <v>139</v>
      </c>
      <c r="Q396" t="s">
        <v>139</v>
      </c>
      <c r="R396" t="s">
        <v>139</v>
      </c>
      <c r="S396" t="s">
        <v>139</v>
      </c>
      <c r="T396" t="s">
        <v>139</v>
      </c>
      <c r="U396">
        <v>174589.9</v>
      </c>
      <c r="V396" s="6" t="s">
        <v>139</v>
      </c>
      <c r="W396" t="s">
        <v>139</v>
      </c>
      <c r="X396" t="s">
        <v>139</v>
      </c>
      <c r="Y396" t="s">
        <v>139</v>
      </c>
      <c r="Z396">
        <v>144236.4</v>
      </c>
      <c r="AA396" t="s">
        <v>139</v>
      </c>
      <c r="AB396" t="s">
        <v>139</v>
      </c>
      <c r="AC396" t="s">
        <v>139</v>
      </c>
      <c r="AD396">
        <v>150834.29999999999</v>
      </c>
      <c r="AE396" t="s">
        <v>139</v>
      </c>
      <c r="AF396">
        <v>11263.8</v>
      </c>
      <c r="AG396">
        <v>67751.8</v>
      </c>
      <c r="AH396" s="9">
        <v>1327346.3</v>
      </c>
      <c r="AI396">
        <v>1008597.3</v>
      </c>
      <c r="AJ396">
        <v>196380.1</v>
      </c>
      <c r="AK396" t="s">
        <v>139</v>
      </c>
      <c r="AL396">
        <v>152293.29999999999</v>
      </c>
      <c r="AM396" t="s">
        <v>139</v>
      </c>
      <c r="AN396">
        <v>67531</v>
      </c>
      <c r="AO396" s="9">
        <v>1227590.8</v>
      </c>
      <c r="AP396">
        <v>99755.6</v>
      </c>
      <c r="AQ396" t="s">
        <v>139</v>
      </c>
      <c r="AR396" t="s">
        <v>139</v>
      </c>
      <c r="AS396">
        <f t="shared" si="4"/>
        <v>1204977.4000000001</v>
      </c>
      <c r="AT396">
        <f t="shared" si="3"/>
        <v>1.101552858999679</v>
      </c>
    </row>
    <row r="397" spans="1:46" x14ac:dyDescent="0.4">
      <c r="A397" s="3" t="s">
        <v>528</v>
      </c>
      <c r="B397">
        <v>1061027.5</v>
      </c>
      <c r="C397">
        <v>249117.8</v>
      </c>
      <c r="D397">
        <v>140423.70000000001</v>
      </c>
      <c r="E397" t="s">
        <v>139</v>
      </c>
      <c r="F397" t="s">
        <v>139</v>
      </c>
      <c r="G397">
        <v>108694.1</v>
      </c>
      <c r="H397" t="s">
        <v>139</v>
      </c>
      <c r="I397" t="s">
        <v>139</v>
      </c>
      <c r="J397">
        <v>811909.7</v>
      </c>
      <c r="K397">
        <v>263481.5</v>
      </c>
      <c r="L397">
        <v>223968.8</v>
      </c>
      <c r="M397" t="s">
        <v>139</v>
      </c>
      <c r="N397" t="s">
        <v>139</v>
      </c>
      <c r="O397" t="s">
        <v>139</v>
      </c>
      <c r="P397" t="s">
        <v>139</v>
      </c>
      <c r="Q397" t="s">
        <v>139</v>
      </c>
      <c r="R397" t="s">
        <v>139</v>
      </c>
      <c r="S397" t="s">
        <v>139</v>
      </c>
      <c r="T397" t="s">
        <v>139</v>
      </c>
      <c r="U397">
        <v>177119</v>
      </c>
      <c r="V397" s="6" t="s">
        <v>139</v>
      </c>
      <c r="W397" t="s">
        <v>139</v>
      </c>
      <c r="X397" t="s">
        <v>139</v>
      </c>
      <c r="Y397" t="s">
        <v>139</v>
      </c>
      <c r="Z397">
        <v>147340.29999999999</v>
      </c>
      <c r="AA397" t="s">
        <v>139</v>
      </c>
      <c r="AB397" t="s">
        <v>139</v>
      </c>
      <c r="AC397" t="s">
        <v>139</v>
      </c>
      <c r="AD397">
        <v>153837.29999999999</v>
      </c>
      <c r="AE397" t="s">
        <v>139</v>
      </c>
      <c r="AF397">
        <v>11672.7</v>
      </c>
      <c r="AG397">
        <v>69056.600000000006</v>
      </c>
      <c r="AH397" s="9">
        <v>1350975</v>
      </c>
      <c r="AI397">
        <v>1019544.6</v>
      </c>
      <c r="AJ397">
        <v>197973.6</v>
      </c>
      <c r="AK397" t="s">
        <v>139</v>
      </c>
      <c r="AL397">
        <v>158996.20000000001</v>
      </c>
      <c r="AM397" t="s">
        <v>139</v>
      </c>
      <c r="AN397">
        <v>69051</v>
      </c>
      <c r="AO397" s="9">
        <v>1246448.6000000001</v>
      </c>
      <c r="AP397">
        <v>104526.39999999999</v>
      </c>
      <c r="AQ397" t="s">
        <v>139</v>
      </c>
      <c r="AR397" t="s">
        <v>139</v>
      </c>
      <c r="AS397">
        <f t="shared" si="4"/>
        <v>1217518.2</v>
      </c>
      <c r="AT397">
        <f t="shared" si="3"/>
        <v>1.109613802898388</v>
      </c>
    </row>
    <row r="398" spans="1:46" x14ac:dyDescent="0.4">
      <c r="A398" s="3" t="s">
        <v>529</v>
      </c>
      <c r="B398">
        <v>1075045.8999999999</v>
      </c>
      <c r="C398">
        <v>250570.2</v>
      </c>
      <c r="D398">
        <v>140741.70000000001</v>
      </c>
      <c r="E398" t="s">
        <v>139</v>
      </c>
      <c r="F398" t="s">
        <v>139</v>
      </c>
      <c r="G398">
        <v>109828.6</v>
      </c>
      <c r="H398" t="s">
        <v>139</v>
      </c>
      <c r="I398" t="s">
        <v>139</v>
      </c>
      <c r="J398">
        <v>824475.7</v>
      </c>
      <c r="K398">
        <v>267863.09999999998</v>
      </c>
      <c r="L398">
        <v>228092.1</v>
      </c>
      <c r="M398" t="s">
        <v>139</v>
      </c>
      <c r="N398" t="s">
        <v>139</v>
      </c>
      <c r="O398" t="s">
        <v>139</v>
      </c>
      <c r="P398" t="s">
        <v>139</v>
      </c>
      <c r="Q398" t="s">
        <v>139</v>
      </c>
      <c r="R398" t="s">
        <v>139</v>
      </c>
      <c r="S398" t="s">
        <v>139</v>
      </c>
      <c r="T398" t="s">
        <v>139</v>
      </c>
      <c r="U398">
        <v>178945.7</v>
      </c>
      <c r="V398" s="6" t="s">
        <v>139</v>
      </c>
      <c r="W398" t="s">
        <v>139</v>
      </c>
      <c r="X398" t="s">
        <v>139</v>
      </c>
      <c r="Y398" t="s">
        <v>139</v>
      </c>
      <c r="Z398">
        <v>149574.79999999999</v>
      </c>
      <c r="AA398" t="s">
        <v>139</v>
      </c>
      <c r="AB398" t="s">
        <v>139</v>
      </c>
      <c r="AC398" t="s">
        <v>139</v>
      </c>
      <c r="AD398">
        <v>159229.79999999999</v>
      </c>
      <c r="AE398" t="s">
        <v>139</v>
      </c>
      <c r="AF398">
        <v>10949.7</v>
      </c>
      <c r="AG398">
        <v>72004</v>
      </c>
      <c r="AH398" s="9">
        <v>1373937.6</v>
      </c>
      <c r="AI398">
        <v>1034071.2</v>
      </c>
      <c r="AJ398">
        <v>201122.6</v>
      </c>
      <c r="AK398" t="s">
        <v>139</v>
      </c>
      <c r="AL398">
        <v>164553</v>
      </c>
      <c r="AM398" t="s">
        <v>139</v>
      </c>
      <c r="AN398">
        <v>69584.3</v>
      </c>
      <c r="AO398" s="9">
        <v>1267349.3999999999</v>
      </c>
      <c r="AP398">
        <v>106588.2</v>
      </c>
      <c r="AQ398" t="s">
        <v>139</v>
      </c>
      <c r="AR398" t="s">
        <v>139</v>
      </c>
      <c r="AS398">
        <f t="shared" si="4"/>
        <v>1235193.8</v>
      </c>
      <c r="AT398">
        <f t="shared" si="3"/>
        <v>1.1123255314267284</v>
      </c>
    </row>
    <row r="399" spans="1:46" x14ac:dyDescent="0.4">
      <c r="A399" s="3" t="s">
        <v>530</v>
      </c>
      <c r="B399">
        <v>1083022.5</v>
      </c>
      <c r="C399">
        <v>251101</v>
      </c>
      <c r="D399">
        <v>140249.60000000001</v>
      </c>
      <c r="E399" t="s">
        <v>139</v>
      </c>
      <c r="F399" t="s">
        <v>139</v>
      </c>
      <c r="G399">
        <v>110851.4</v>
      </c>
      <c r="H399" t="s">
        <v>139</v>
      </c>
      <c r="I399" t="s">
        <v>139</v>
      </c>
      <c r="J399">
        <v>831921.5</v>
      </c>
      <c r="K399">
        <v>270645.2</v>
      </c>
      <c r="L399">
        <v>230943.6</v>
      </c>
      <c r="M399" t="s">
        <v>139</v>
      </c>
      <c r="N399" t="s">
        <v>139</v>
      </c>
      <c r="O399" t="s">
        <v>139</v>
      </c>
      <c r="P399" t="s">
        <v>139</v>
      </c>
      <c r="Q399" t="s">
        <v>139</v>
      </c>
      <c r="R399" t="s">
        <v>139</v>
      </c>
      <c r="S399" t="s">
        <v>139</v>
      </c>
      <c r="T399" t="s">
        <v>139</v>
      </c>
      <c r="U399">
        <v>180678.39999999999</v>
      </c>
      <c r="V399" s="6" t="s">
        <v>139</v>
      </c>
      <c r="W399" t="s">
        <v>139</v>
      </c>
      <c r="X399" t="s">
        <v>139</v>
      </c>
      <c r="Y399" t="s">
        <v>139</v>
      </c>
      <c r="Z399">
        <v>149654.29999999999</v>
      </c>
      <c r="AA399" t="s">
        <v>139</v>
      </c>
      <c r="AB399" t="s">
        <v>139</v>
      </c>
      <c r="AC399" t="s">
        <v>139</v>
      </c>
      <c r="AD399">
        <v>159376.1</v>
      </c>
      <c r="AE399" t="s">
        <v>139</v>
      </c>
      <c r="AF399">
        <v>10868.4</v>
      </c>
      <c r="AG399">
        <v>73452.5</v>
      </c>
      <c r="AH399" s="9">
        <v>1385777.2</v>
      </c>
      <c r="AI399">
        <v>1031012.6</v>
      </c>
      <c r="AJ399">
        <v>202947.1</v>
      </c>
      <c r="AK399" t="s">
        <v>139</v>
      </c>
      <c r="AL399">
        <v>168103.4</v>
      </c>
      <c r="AM399" t="s">
        <v>139</v>
      </c>
      <c r="AN399">
        <v>71096.3</v>
      </c>
      <c r="AO399" s="9">
        <v>1270762.8</v>
      </c>
      <c r="AP399">
        <v>115014.39999999999</v>
      </c>
      <c r="AQ399" t="s">
        <v>139</v>
      </c>
      <c r="AR399" t="s">
        <v>139</v>
      </c>
      <c r="AS399">
        <f t="shared" si="4"/>
        <v>1233959.7</v>
      </c>
      <c r="AT399">
        <f t="shared" si="3"/>
        <v>1.1230327862409122</v>
      </c>
    </row>
    <row r="400" spans="1:46" x14ac:dyDescent="0.4">
      <c r="A400" s="3" t="s">
        <v>531</v>
      </c>
      <c r="B400">
        <v>1098503.3999999999</v>
      </c>
      <c r="C400">
        <v>254939.6</v>
      </c>
      <c r="D400">
        <v>142648.79999999999</v>
      </c>
      <c r="E400" t="s">
        <v>139</v>
      </c>
      <c r="F400" t="s">
        <v>139</v>
      </c>
      <c r="G400">
        <v>112290.8</v>
      </c>
      <c r="H400" t="s">
        <v>139</v>
      </c>
      <c r="I400" t="s">
        <v>139</v>
      </c>
      <c r="J400">
        <v>843563.8</v>
      </c>
      <c r="K400">
        <v>274376.09999999998</v>
      </c>
      <c r="L400">
        <v>233928.1</v>
      </c>
      <c r="M400" t="s">
        <v>139</v>
      </c>
      <c r="N400" t="s">
        <v>139</v>
      </c>
      <c r="O400" t="s">
        <v>139</v>
      </c>
      <c r="P400" t="s">
        <v>139</v>
      </c>
      <c r="Q400" t="s">
        <v>139</v>
      </c>
      <c r="R400" t="s">
        <v>139</v>
      </c>
      <c r="S400" t="s">
        <v>139</v>
      </c>
      <c r="T400" t="s">
        <v>139</v>
      </c>
      <c r="U400">
        <v>182109.1</v>
      </c>
      <c r="V400" s="6" t="s">
        <v>139</v>
      </c>
      <c r="W400" t="s">
        <v>139</v>
      </c>
      <c r="X400" t="s">
        <v>139</v>
      </c>
      <c r="Y400" t="s">
        <v>139</v>
      </c>
      <c r="Z400">
        <v>153150.6</v>
      </c>
      <c r="AA400" t="s">
        <v>139</v>
      </c>
      <c r="AB400" t="s">
        <v>139</v>
      </c>
      <c r="AC400" t="s">
        <v>139</v>
      </c>
      <c r="AD400">
        <v>167412.1</v>
      </c>
      <c r="AE400" t="s">
        <v>139</v>
      </c>
      <c r="AF400">
        <v>11708.5</v>
      </c>
      <c r="AG400">
        <v>76152.899999999994</v>
      </c>
      <c r="AH400" s="9">
        <v>1419593.7</v>
      </c>
      <c r="AI400">
        <v>1056407.3</v>
      </c>
      <c r="AJ400">
        <v>206889.60000000001</v>
      </c>
      <c r="AK400" t="s">
        <v>139</v>
      </c>
      <c r="AL400">
        <v>174291.8</v>
      </c>
      <c r="AM400" t="s">
        <v>139</v>
      </c>
      <c r="AN400">
        <v>72701.399999999994</v>
      </c>
      <c r="AO400" s="9">
        <v>1303648.3999999999</v>
      </c>
      <c r="AP400">
        <v>115945.3</v>
      </c>
      <c r="AQ400" t="s">
        <v>139</v>
      </c>
      <c r="AR400" t="s">
        <v>139</v>
      </c>
      <c r="AS400">
        <f t="shared" si="4"/>
        <v>1263296.9000000001</v>
      </c>
      <c r="AT400">
        <f t="shared" si="3"/>
        <v>1.1237213516474234</v>
      </c>
    </row>
    <row r="401" spans="1:46" x14ac:dyDescent="0.4">
      <c r="A401" s="3" t="s">
        <v>532</v>
      </c>
      <c r="B401">
        <v>1104333.1000000001</v>
      </c>
      <c r="C401">
        <v>255611.1</v>
      </c>
      <c r="D401">
        <v>143927.6</v>
      </c>
      <c r="E401" t="s">
        <v>139</v>
      </c>
      <c r="F401" t="s">
        <v>139</v>
      </c>
      <c r="G401">
        <v>111683.5</v>
      </c>
      <c r="H401" t="s">
        <v>139</v>
      </c>
      <c r="I401" t="s">
        <v>139</v>
      </c>
      <c r="J401">
        <v>848722</v>
      </c>
      <c r="K401">
        <v>276150.59999999998</v>
      </c>
      <c r="L401">
        <v>236887.2</v>
      </c>
      <c r="M401" t="s">
        <v>139</v>
      </c>
      <c r="N401" t="s">
        <v>139</v>
      </c>
      <c r="O401" t="s">
        <v>139</v>
      </c>
      <c r="P401" t="s">
        <v>139</v>
      </c>
      <c r="Q401" t="s">
        <v>139</v>
      </c>
      <c r="R401" t="s">
        <v>139</v>
      </c>
      <c r="S401" t="s">
        <v>139</v>
      </c>
      <c r="T401" t="s">
        <v>139</v>
      </c>
      <c r="U401">
        <v>183042.2</v>
      </c>
      <c r="V401" s="6" t="s">
        <v>139</v>
      </c>
      <c r="W401" t="s">
        <v>139</v>
      </c>
      <c r="X401" t="s">
        <v>139</v>
      </c>
      <c r="Y401" t="s">
        <v>139</v>
      </c>
      <c r="Z401">
        <v>152642</v>
      </c>
      <c r="AA401" t="s">
        <v>139</v>
      </c>
      <c r="AB401" t="s">
        <v>139</v>
      </c>
      <c r="AC401" t="s">
        <v>139</v>
      </c>
      <c r="AD401">
        <v>173148.2</v>
      </c>
      <c r="AE401" t="s">
        <v>139</v>
      </c>
      <c r="AF401">
        <v>12688.6</v>
      </c>
      <c r="AG401">
        <v>78803.399999999994</v>
      </c>
      <c r="AH401" s="9">
        <v>1430890.5</v>
      </c>
      <c r="AI401">
        <v>1064854.3</v>
      </c>
      <c r="AJ401">
        <v>209475</v>
      </c>
      <c r="AK401" t="s">
        <v>139</v>
      </c>
      <c r="AL401">
        <v>173780.7</v>
      </c>
      <c r="AM401" t="s">
        <v>139</v>
      </c>
      <c r="AN401">
        <v>75769.399999999994</v>
      </c>
      <c r="AO401" s="9">
        <v>1314845.5</v>
      </c>
      <c r="AP401">
        <v>116045</v>
      </c>
      <c r="AQ401" t="s">
        <v>139</v>
      </c>
      <c r="AR401" t="s">
        <v>139</v>
      </c>
      <c r="AS401">
        <f t="shared" si="4"/>
        <v>1274329.3</v>
      </c>
      <c r="AT401">
        <f t="shared" si="3"/>
        <v>1.1228577260210528</v>
      </c>
    </row>
    <row r="402" spans="1:46" x14ac:dyDescent="0.4">
      <c r="A402" s="3" t="s">
        <v>533</v>
      </c>
      <c r="B402">
        <v>1103769.3</v>
      </c>
      <c r="C402">
        <v>256997.3</v>
      </c>
      <c r="D402">
        <v>144950</v>
      </c>
      <c r="E402" t="s">
        <v>139</v>
      </c>
      <c r="F402" t="s">
        <v>139</v>
      </c>
      <c r="G402">
        <v>112047.3</v>
      </c>
      <c r="H402" t="s">
        <v>139</v>
      </c>
      <c r="I402" t="s">
        <v>139</v>
      </c>
      <c r="J402">
        <v>846771.9</v>
      </c>
      <c r="K402">
        <v>277238.2</v>
      </c>
      <c r="L402">
        <v>239268</v>
      </c>
      <c r="M402" t="s">
        <v>139</v>
      </c>
      <c r="N402" t="s">
        <v>139</v>
      </c>
      <c r="O402" t="s">
        <v>139</v>
      </c>
      <c r="P402" t="s">
        <v>139</v>
      </c>
      <c r="Q402" t="s">
        <v>139</v>
      </c>
      <c r="R402" t="s">
        <v>139</v>
      </c>
      <c r="S402" t="s">
        <v>139</v>
      </c>
      <c r="T402" t="s">
        <v>139</v>
      </c>
      <c r="U402">
        <v>183738.1</v>
      </c>
      <c r="V402" s="6" t="s">
        <v>139</v>
      </c>
      <c r="W402" t="s">
        <v>139</v>
      </c>
      <c r="X402" t="s">
        <v>139</v>
      </c>
      <c r="Y402" t="s">
        <v>139</v>
      </c>
      <c r="Z402">
        <v>146527.70000000001</v>
      </c>
      <c r="AA402" t="s">
        <v>139</v>
      </c>
      <c r="AB402" t="s">
        <v>139</v>
      </c>
      <c r="AC402" t="s">
        <v>139</v>
      </c>
      <c r="AD402">
        <v>170595</v>
      </c>
      <c r="AE402" t="s">
        <v>139</v>
      </c>
      <c r="AF402">
        <v>13174.9</v>
      </c>
      <c r="AG402">
        <v>79626.2</v>
      </c>
      <c r="AH402" s="9">
        <v>1426909.6</v>
      </c>
      <c r="AI402">
        <v>1069869.8999999999</v>
      </c>
      <c r="AJ402">
        <v>211110.7</v>
      </c>
      <c r="AK402" t="s">
        <v>139</v>
      </c>
      <c r="AL402">
        <v>169014.6</v>
      </c>
      <c r="AM402" t="s">
        <v>139</v>
      </c>
      <c r="AN402">
        <v>75197.7</v>
      </c>
      <c r="AO402" s="9">
        <v>1314153.3</v>
      </c>
      <c r="AP402">
        <v>112756.3</v>
      </c>
      <c r="AQ402" t="s">
        <v>139</v>
      </c>
      <c r="AR402" t="s">
        <v>139</v>
      </c>
      <c r="AS402">
        <f t="shared" si="4"/>
        <v>1280980.5999999999</v>
      </c>
      <c r="AT402">
        <f t="shared" si="3"/>
        <v>1.1139197580353677</v>
      </c>
    </row>
    <row r="403" spans="1:46" x14ac:dyDescent="0.4">
      <c r="A403" s="3" t="s">
        <v>534</v>
      </c>
      <c r="B403">
        <v>1110030.3</v>
      </c>
      <c r="C403">
        <v>257806.2</v>
      </c>
      <c r="D403">
        <v>146062.29999999999</v>
      </c>
      <c r="E403" t="s">
        <v>139</v>
      </c>
      <c r="F403" t="s">
        <v>139</v>
      </c>
      <c r="G403">
        <v>111743.9</v>
      </c>
      <c r="H403" t="s">
        <v>139</v>
      </c>
      <c r="I403" t="s">
        <v>139</v>
      </c>
      <c r="J403">
        <v>852224.1</v>
      </c>
      <c r="K403">
        <v>279725.7</v>
      </c>
      <c r="L403">
        <v>241674.7</v>
      </c>
      <c r="M403" t="s">
        <v>139</v>
      </c>
      <c r="N403" t="s">
        <v>139</v>
      </c>
      <c r="O403" t="s">
        <v>139</v>
      </c>
      <c r="P403" t="s">
        <v>139</v>
      </c>
      <c r="Q403" t="s">
        <v>139</v>
      </c>
      <c r="R403" t="s">
        <v>139</v>
      </c>
      <c r="S403" t="s">
        <v>139</v>
      </c>
      <c r="T403" t="s">
        <v>139</v>
      </c>
      <c r="U403">
        <v>183781.1</v>
      </c>
      <c r="V403" s="6" t="s">
        <v>139</v>
      </c>
      <c r="W403" t="s">
        <v>139</v>
      </c>
      <c r="X403" t="s">
        <v>139</v>
      </c>
      <c r="Y403" t="s">
        <v>139</v>
      </c>
      <c r="Z403">
        <v>147042.6</v>
      </c>
      <c r="AA403" t="s">
        <v>139</v>
      </c>
      <c r="AB403" t="s">
        <v>139</v>
      </c>
      <c r="AC403" t="s">
        <v>139</v>
      </c>
      <c r="AD403">
        <v>167392.1</v>
      </c>
      <c r="AE403" t="s">
        <v>139</v>
      </c>
      <c r="AF403">
        <v>13228.9</v>
      </c>
      <c r="AG403">
        <v>81107.199999999997</v>
      </c>
      <c r="AH403" s="9">
        <v>1433090.2</v>
      </c>
      <c r="AI403">
        <v>1072677.3</v>
      </c>
      <c r="AJ403">
        <v>211789.3</v>
      </c>
      <c r="AK403" t="s">
        <v>139</v>
      </c>
      <c r="AL403">
        <v>176016.2</v>
      </c>
      <c r="AM403" t="s">
        <v>139</v>
      </c>
      <c r="AN403">
        <v>76000.399999999994</v>
      </c>
      <c r="AO403" s="9">
        <v>1322519.3</v>
      </c>
      <c r="AP403">
        <v>110570.9</v>
      </c>
      <c r="AQ403" t="s">
        <v>139</v>
      </c>
      <c r="AR403" t="s">
        <v>139</v>
      </c>
      <c r="AS403">
        <f t="shared" si="4"/>
        <v>1284466.6000000001</v>
      </c>
      <c r="AT403">
        <f t="shared" si="3"/>
        <v>1.1157084193547733</v>
      </c>
    </row>
    <row r="404" spans="1:46" x14ac:dyDescent="0.4">
      <c r="A404" s="3" t="s">
        <v>535</v>
      </c>
      <c r="B404">
        <v>1114859.1000000001</v>
      </c>
      <c r="C404">
        <v>257060.2</v>
      </c>
      <c r="D404">
        <v>144643.9</v>
      </c>
      <c r="E404" t="s">
        <v>139</v>
      </c>
      <c r="F404" t="s">
        <v>139</v>
      </c>
      <c r="G404">
        <v>112416.4</v>
      </c>
      <c r="H404" t="s">
        <v>139</v>
      </c>
      <c r="I404" t="s">
        <v>139</v>
      </c>
      <c r="J404">
        <v>857798.8</v>
      </c>
      <c r="K404">
        <v>281850.09999999998</v>
      </c>
      <c r="L404">
        <v>244114.9</v>
      </c>
      <c r="M404" t="s">
        <v>139</v>
      </c>
      <c r="N404" t="s">
        <v>139</v>
      </c>
      <c r="O404" t="s">
        <v>139</v>
      </c>
      <c r="P404" t="s">
        <v>139</v>
      </c>
      <c r="Q404" t="s">
        <v>139</v>
      </c>
      <c r="R404" t="s">
        <v>139</v>
      </c>
      <c r="S404" t="s">
        <v>139</v>
      </c>
      <c r="T404" t="s">
        <v>139</v>
      </c>
      <c r="U404">
        <v>184532.8</v>
      </c>
      <c r="V404" s="6" t="s">
        <v>139</v>
      </c>
      <c r="W404" t="s">
        <v>139</v>
      </c>
      <c r="X404" t="s">
        <v>139</v>
      </c>
      <c r="Y404" t="s">
        <v>139</v>
      </c>
      <c r="Z404">
        <v>147301</v>
      </c>
      <c r="AA404" t="s">
        <v>139</v>
      </c>
      <c r="AB404" t="s">
        <v>139</v>
      </c>
      <c r="AC404" t="s">
        <v>139</v>
      </c>
      <c r="AD404">
        <v>169991.8</v>
      </c>
      <c r="AE404" t="s">
        <v>139</v>
      </c>
      <c r="AF404">
        <v>12960.2</v>
      </c>
      <c r="AG404">
        <v>84025.2</v>
      </c>
      <c r="AH404" s="9">
        <v>1441872.9</v>
      </c>
      <c r="AI404">
        <v>1077088.3</v>
      </c>
      <c r="AJ404">
        <v>214968.5</v>
      </c>
      <c r="AK404" t="s">
        <v>139</v>
      </c>
      <c r="AL404">
        <v>177992.2</v>
      </c>
      <c r="AM404" t="s">
        <v>139</v>
      </c>
      <c r="AN404">
        <v>78586.7</v>
      </c>
      <c r="AO404" s="9">
        <v>1330775.5</v>
      </c>
      <c r="AP404">
        <v>111097.4</v>
      </c>
      <c r="AQ404" t="s">
        <v>139</v>
      </c>
      <c r="AR404" t="s">
        <v>139</v>
      </c>
      <c r="AS404">
        <f t="shared" si="4"/>
        <v>1292056.8</v>
      </c>
      <c r="AT404">
        <f t="shared" si="3"/>
        <v>1.1159516361819386</v>
      </c>
    </row>
    <row r="405" spans="1:46" x14ac:dyDescent="0.4">
      <c r="A405" s="3" t="s">
        <v>536</v>
      </c>
      <c r="B405">
        <v>1128276.7</v>
      </c>
      <c r="C405">
        <v>259930.2</v>
      </c>
      <c r="D405">
        <v>146824.79999999999</v>
      </c>
      <c r="E405" t="s">
        <v>139</v>
      </c>
      <c r="F405" t="s">
        <v>139</v>
      </c>
      <c r="G405">
        <v>113105.4</v>
      </c>
      <c r="H405" t="s">
        <v>139</v>
      </c>
      <c r="I405" t="s">
        <v>139</v>
      </c>
      <c r="J405">
        <v>868346.4</v>
      </c>
      <c r="K405">
        <v>285673.09999999998</v>
      </c>
      <c r="L405">
        <v>247048</v>
      </c>
      <c r="M405" t="s">
        <v>139</v>
      </c>
      <c r="N405" t="s">
        <v>139</v>
      </c>
      <c r="O405" t="s">
        <v>139</v>
      </c>
      <c r="P405" t="s">
        <v>139</v>
      </c>
      <c r="Q405" t="s">
        <v>139</v>
      </c>
      <c r="R405" t="s">
        <v>139</v>
      </c>
      <c r="S405" t="s">
        <v>139</v>
      </c>
      <c r="T405" t="s">
        <v>139</v>
      </c>
      <c r="U405">
        <v>186182.5</v>
      </c>
      <c r="V405" s="6" t="s">
        <v>139</v>
      </c>
      <c r="W405" t="s">
        <v>139</v>
      </c>
      <c r="X405" t="s">
        <v>139</v>
      </c>
      <c r="Y405" t="s">
        <v>139</v>
      </c>
      <c r="Z405">
        <v>149442.79999999999</v>
      </c>
      <c r="AA405" t="s">
        <v>139</v>
      </c>
      <c r="AB405" t="s">
        <v>139</v>
      </c>
      <c r="AC405" t="s">
        <v>139</v>
      </c>
      <c r="AD405">
        <v>170888.7</v>
      </c>
      <c r="AE405" t="s">
        <v>139</v>
      </c>
      <c r="AF405">
        <v>14160.9</v>
      </c>
      <c r="AG405">
        <v>86935.8</v>
      </c>
      <c r="AH405" s="9">
        <v>1462023.3</v>
      </c>
      <c r="AI405">
        <v>1086636.2</v>
      </c>
      <c r="AJ405">
        <v>218345.60000000001</v>
      </c>
      <c r="AK405" t="s">
        <v>139</v>
      </c>
      <c r="AL405">
        <v>182317</v>
      </c>
      <c r="AM405" t="s">
        <v>139</v>
      </c>
      <c r="AN405">
        <v>79991.5</v>
      </c>
      <c r="AO405" s="9">
        <v>1345525</v>
      </c>
      <c r="AP405">
        <v>116498.3</v>
      </c>
      <c r="AQ405" t="s">
        <v>139</v>
      </c>
      <c r="AR405" t="s">
        <v>139</v>
      </c>
      <c r="AS405">
        <f t="shared" si="4"/>
        <v>1304981.8</v>
      </c>
      <c r="AT405">
        <f t="shared" si="3"/>
        <v>1.1203399924811213</v>
      </c>
    </row>
    <row r="406" spans="1:46" x14ac:dyDescent="0.4">
      <c r="A406" s="3" t="s">
        <v>537</v>
      </c>
      <c r="B406">
        <v>1138055.5</v>
      </c>
      <c r="C406">
        <v>261530.7</v>
      </c>
      <c r="D406">
        <v>148341.9</v>
      </c>
      <c r="E406" t="s">
        <v>139</v>
      </c>
      <c r="F406" t="s">
        <v>139</v>
      </c>
      <c r="G406">
        <v>113188.8</v>
      </c>
      <c r="H406" t="s">
        <v>139</v>
      </c>
      <c r="I406" t="s">
        <v>139</v>
      </c>
      <c r="J406">
        <v>876524.8</v>
      </c>
      <c r="K406">
        <v>289384.40000000002</v>
      </c>
      <c r="L406">
        <v>248992.3</v>
      </c>
      <c r="M406" t="s">
        <v>139</v>
      </c>
      <c r="N406" t="s">
        <v>139</v>
      </c>
      <c r="O406" t="s">
        <v>139</v>
      </c>
      <c r="P406" t="s">
        <v>139</v>
      </c>
      <c r="Q406" t="s">
        <v>139</v>
      </c>
      <c r="R406" t="s">
        <v>139</v>
      </c>
      <c r="S406" t="s">
        <v>139</v>
      </c>
      <c r="T406" t="s">
        <v>139</v>
      </c>
      <c r="U406">
        <v>186476.79999999999</v>
      </c>
      <c r="V406" s="6" t="s">
        <v>139</v>
      </c>
      <c r="W406" t="s">
        <v>139</v>
      </c>
      <c r="X406" t="s">
        <v>139</v>
      </c>
      <c r="Y406" t="s">
        <v>139</v>
      </c>
      <c r="Z406">
        <v>151671.29999999999</v>
      </c>
      <c r="AA406" t="s">
        <v>139</v>
      </c>
      <c r="AB406" t="s">
        <v>139</v>
      </c>
      <c r="AC406" t="s">
        <v>139</v>
      </c>
      <c r="AD406">
        <v>170946.7</v>
      </c>
      <c r="AE406" t="s">
        <v>139</v>
      </c>
      <c r="AF406">
        <v>14581.1</v>
      </c>
      <c r="AG406">
        <v>90085.4</v>
      </c>
      <c r="AH406" s="9">
        <v>1472143.5</v>
      </c>
      <c r="AI406">
        <v>1093771.7</v>
      </c>
      <c r="AJ406">
        <v>223028</v>
      </c>
      <c r="AK406" t="s">
        <v>139</v>
      </c>
      <c r="AL406">
        <v>179851.6</v>
      </c>
      <c r="AM406" t="s">
        <v>139</v>
      </c>
      <c r="AN406">
        <v>81217.899999999994</v>
      </c>
      <c r="AO406" s="9">
        <v>1350078.7</v>
      </c>
      <c r="AP406">
        <v>122064.8</v>
      </c>
      <c r="AQ406" t="s">
        <v>139</v>
      </c>
      <c r="AR406" t="s">
        <v>139</v>
      </c>
      <c r="AS406">
        <f t="shared" si="4"/>
        <v>1316799.7</v>
      </c>
      <c r="AT406">
        <f t="shared" si="3"/>
        <v>1.1179707133894397</v>
      </c>
    </row>
    <row r="407" spans="1:46" x14ac:dyDescent="0.4">
      <c r="A407" s="3" t="s">
        <v>538</v>
      </c>
      <c r="B407">
        <v>1140083</v>
      </c>
      <c r="C407">
        <v>263121.8</v>
      </c>
      <c r="D407">
        <v>148228.1</v>
      </c>
      <c r="E407" t="s">
        <v>139</v>
      </c>
      <c r="F407" t="s">
        <v>139</v>
      </c>
      <c r="G407">
        <v>114893.7</v>
      </c>
      <c r="H407" t="s">
        <v>139</v>
      </c>
      <c r="I407" t="s">
        <v>139</v>
      </c>
      <c r="J407">
        <v>876961.2</v>
      </c>
      <c r="K407">
        <v>290601.8</v>
      </c>
      <c r="L407">
        <v>250682.9</v>
      </c>
      <c r="M407" t="s">
        <v>139</v>
      </c>
      <c r="N407" t="s">
        <v>139</v>
      </c>
      <c r="O407" t="s">
        <v>139</v>
      </c>
      <c r="P407" t="s">
        <v>139</v>
      </c>
      <c r="Q407" t="s">
        <v>139</v>
      </c>
      <c r="R407" t="s">
        <v>139</v>
      </c>
      <c r="S407" t="s">
        <v>139</v>
      </c>
      <c r="T407" t="s">
        <v>139</v>
      </c>
      <c r="U407">
        <v>184453.4</v>
      </c>
      <c r="V407" s="6" t="s">
        <v>139</v>
      </c>
      <c r="W407" t="s">
        <v>139</v>
      </c>
      <c r="X407" t="s">
        <v>139</v>
      </c>
      <c r="Y407" t="s">
        <v>139</v>
      </c>
      <c r="Z407">
        <v>151223.1</v>
      </c>
      <c r="AA407" t="s">
        <v>139</v>
      </c>
      <c r="AB407" t="s">
        <v>139</v>
      </c>
      <c r="AC407" t="s">
        <v>139</v>
      </c>
      <c r="AD407">
        <v>170241</v>
      </c>
      <c r="AE407" t="s">
        <v>139</v>
      </c>
      <c r="AF407">
        <v>14802.5</v>
      </c>
      <c r="AG407">
        <v>93210.6</v>
      </c>
      <c r="AH407" s="9">
        <v>1480934.7</v>
      </c>
      <c r="AI407">
        <v>1098916.8999999999</v>
      </c>
      <c r="AJ407">
        <v>228902.5</v>
      </c>
      <c r="AK407" t="s">
        <v>139</v>
      </c>
      <c r="AL407">
        <v>183698.8</v>
      </c>
      <c r="AM407" t="s">
        <v>139</v>
      </c>
      <c r="AN407">
        <v>82397.600000000006</v>
      </c>
      <c r="AO407" s="9">
        <v>1357846.1</v>
      </c>
      <c r="AP407">
        <v>123088.6</v>
      </c>
      <c r="AQ407" t="s">
        <v>139</v>
      </c>
      <c r="AR407" t="s">
        <v>139</v>
      </c>
      <c r="AS407">
        <f t="shared" si="4"/>
        <v>1327819.3999999999</v>
      </c>
      <c r="AT407">
        <f t="shared" si="3"/>
        <v>1.1153133475832633</v>
      </c>
    </row>
    <row r="408" spans="1:46" x14ac:dyDescent="0.4">
      <c r="A408" s="3" t="s">
        <v>539</v>
      </c>
      <c r="B408">
        <v>1136948.6000000001</v>
      </c>
      <c r="C408">
        <v>266679.59999999998</v>
      </c>
      <c r="D408">
        <v>149715.1</v>
      </c>
      <c r="E408" t="s">
        <v>139</v>
      </c>
      <c r="F408" t="s">
        <v>139</v>
      </c>
      <c r="G408">
        <v>116964.5</v>
      </c>
      <c r="H408" t="s">
        <v>139</v>
      </c>
      <c r="I408" t="s">
        <v>139</v>
      </c>
      <c r="J408">
        <v>870269</v>
      </c>
      <c r="K408">
        <v>287878.40000000002</v>
      </c>
      <c r="L408">
        <v>251325.4</v>
      </c>
      <c r="M408" t="s">
        <v>139</v>
      </c>
      <c r="N408" t="s">
        <v>139</v>
      </c>
      <c r="O408" t="s">
        <v>139</v>
      </c>
      <c r="P408" t="s">
        <v>139</v>
      </c>
      <c r="Q408" t="s">
        <v>139</v>
      </c>
      <c r="R408" t="s">
        <v>139</v>
      </c>
      <c r="S408" t="s">
        <v>139</v>
      </c>
      <c r="T408" t="s">
        <v>139</v>
      </c>
      <c r="U408">
        <v>181590</v>
      </c>
      <c r="V408" s="6" t="s">
        <v>139</v>
      </c>
      <c r="W408" t="s">
        <v>139</v>
      </c>
      <c r="X408" t="s">
        <v>139</v>
      </c>
      <c r="Y408" t="s">
        <v>139</v>
      </c>
      <c r="Z408">
        <v>149475.1</v>
      </c>
      <c r="AA408" t="s">
        <v>139</v>
      </c>
      <c r="AB408" t="s">
        <v>139</v>
      </c>
      <c r="AC408" t="s">
        <v>139</v>
      </c>
      <c r="AD408">
        <v>169140.3</v>
      </c>
      <c r="AE408" t="s">
        <v>139</v>
      </c>
      <c r="AF408">
        <v>15162.3</v>
      </c>
      <c r="AG408">
        <v>96531.1</v>
      </c>
      <c r="AH408" s="9">
        <v>1485100.9</v>
      </c>
      <c r="AI408">
        <v>1100419.2</v>
      </c>
      <c r="AJ408">
        <v>229561.4</v>
      </c>
      <c r="AK408" t="s">
        <v>139</v>
      </c>
      <c r="AL408">
        <v>190863.1</v>
      </c>
      <c r="AM408" t="s">
        <v>139</v>
      </c>
      <c r="AN408">
        <v>84083</v>
      </c>
      <c r="AO408" s="9">
        <v>1366636.2</v>
      </c>
      <c r="AP408">
        <v>118464.8</v>
      </c>
      <c r="AQ408" t="s">
        <v>139</v>
      </c>
      <c r="AR408" t="s">
        <v>139</v>
      </c>
      <c r="AS408">
        <f t="shared" si="4"/>
        <v>1329980.5999999999</v>
      </c>
      <c r="AT408">
        <f t="shared" si="3"/>
        <v>1.1166335057819641</v>
      </c>
    </row>
    <row r="409" spans="1:46" x14ac:dyDescent="0.4">
      <c r="A409" s="3" t="s">
        <v>540</v>
      </c>
      <c r="B409">
        <v>1137038.2</v>
      </c>
      <c r="C409">
        <v>270215.2</v>
      </c>
      <c r="D409">
        <v>152287.9</v>
      </c>
      <c r="E409" t="s">
        <v>139</v>
      </c>
      <c r="F409" t="s">
        <v>139</v>
      </c>
      <c r="G409">
        <v>117927.2</v>
      </c>
      <c r="H409" t="s">
        <v>139</v>
      </c>
      <c r="I409" t="s">
        <v>139</v>
      </c>
      <c r="J409">
        <v>866823</v>
      </c>
      <c r="K409">
        <v>287037.8</v>
      </c>
      <c r="L409">
        <v>252047.5</v>
      </c>
      <c r="M409" t="s">
        <v>139</v>
      </c>
      <c r="N409" t="s">
        <v>139</v>
      </c>
      <c r="O409" t="s">
        <v>139</v>
      </c>
      <c r="P409" t="s">
        <v>139</v>
      </c>
      <c r="Q409" t="s">
        <v>139</v>
      </c>
      <c r="R409" t="s">
        <v>139</v>
      </c>
      <c r="S409" t="s">
        <v>139</v>
      </c>
      <c r="T409" t="s">
        <v>139</v>
      </c>
      <c r="U409">
        <v>179783.4</v>
      </c>
      <c r="V409" s="6" t="s">
        <v>139</v>
      </c>
      <c r="W409" t="s">
        <v>139</v>
      </c>
      <c r="X409" t="s">
        <v>139</v>
      </c>
      <c r="Y409" t="s">
        <v>139</v>
      </c>
      <c r="Z409">
        <v>147954.29999999999</v>
      </c>
      <c r="AA409" t="s">
        <v>139</v>
      </c>
      <c r="AB409" t="s">
        <v>139</v>
      </c>
      <c r="AC409" t="s">
        <v>139</v>
      </c>
      <c r="AD409">
        <v>167181.70000000001</v>
      </c>
      <c r="AE409" t="s">
        <v>139</v>
      </c>
      <c r="AF409">
        <v>14832.1</v>
      </c>
      <c r="AG409">
        <v>99409.3</v>
      </c>
      <c r="AH409" s="9">
        <v>1488359.7</v>
      </c>
      <c r="AI409">
        <v>1104727.8999999999</v>
      </c>
      <c r="AJ409">
        <v>230701.5</v>
      </c>
      <c r="AK409" t="s">
        <v>139</v>
      </c>
      <c r="AL409">
        <v>195560.8</v>
      </c>
      <c r="AM409" t="s">
        <v>139</v>
      </c>
      <c r="AN409">
        <v>85055.3</v>
      </c>
      <c r="AO409" s="9">
        <v>1372534.8</v>
      </c>
      <c r="AP409">
        <v>115824.9</v>
      </c>
      <c r="AQ409" t="s">
        <v>139</v>
      </c>
      <c r="AR409" t="s">
        <v>139</v>
      </c>
      <c r="AS409">
        <f t="shared" si="4"/>
        <v>1335429.3999999999</v>
      </c>
      <c r="AT409">
        <f t="shared" si="3"/>
        <v>1.1145176974537179</v>
      </c>
    </row>
    <row r="410" spans="1:46" x14ac:dyDescent="0.4">
      <c r="A410" s="3" t="s">
        <v>541</v>
      </c>
      <c r="B410">
        <v>1145310.5</v>
      </c>
      <c r="C410">
        <v>275352.7</v>
      </c>
      <c r="D410">
        <v>155973.70000000001</v>
      </c>
      <c r="E410" t="s">
        <v>139</v>
      </c>
      <c r="F410" t="s">
        <v>139</v>
      </c>
      <c r="G410">
        <v>119379</v>
      </c>
      <c r="H410" t="s">
        <v>139</v>
      </c>
      <c r="I410" t="s">
        <v>139</v>
      </c>
      <c r="J410">
        <v>869957.9</v>
      </c>
      <c r="K410">
        <v>288058.3</v>
      </c>
      <c r="L410">
        <v>253624.3</v>
      </c>
      <c r="M410" t="s">
        <v>139</v>
      </c>
      <c r="N410" t="s">
        <v>139</v>
      </c>
      <c r="O410" t="s">
        <v>139</v>
      </c>
      <c r="P410" t="s">
        <v>139</v>
      </c>
      <c r="Q410" t="s">
        <v>139</v>
      </c>
      <c r="R410" t="s">
        <v>139</v>
      </c>
      <c r="S410" t="s">
        <v>139</v>
      </c>
      <c r="T410" t="s">
        <v>139</v>
      </c>
      <c r="U410">
        <v>179244.4</v>
      </c>
      <c r="V410" s="6" t="s">
        <v>139</v>
      </c>
      <c r="W410" t="s">
        <v>139</v>
      </c>
      <c r="X410" t="s">
        <v>139</v>
      </c>
      <c r="Y410" t="s">
        <v>139</v>
      </c>
      <c r="Z410">
        <v>149030.9</v>
      </c>
      <c r="AA410" t="s">
        <v>139</v>
      </c>
      <c r="AB410" t="s">
        <v>139</v>
      </c>
      <c r="AC410" t="s">
        <v>139</v>
      </c>
      <c r="AD410">
        <v>170691.5</v>
      </c>
      <c r="AE410" t="s">
        <v>139</v>
      </c>
      <c r="AF410">
        <v>14643.4</v>
      </c>
      <c r="AG410">
        <v>100646.7</v>
      </c>
      <c r="AH410" s="9">
        <v>1503190.9</v>
      </c>
      <c r="AI410">
        <v>1113592.7</v>
      </c>
      <c r="AJ410">
        <v>230914.3</v>
      </c>
      <c r="AK410" t="s">
        <v>139</v>
      </c>
      <c r="AL410">
        <v>201973.7</v>
      </c>
      <c r="AM410" t="s">
        <v>139</v>
      </c>
      <c r="AN410">
        <v>86862.3</v>
      </c>
      <c r="AO410" s="9">
        <v>1388233</v>
      </c>
      <c r="AP410">
        <v>114957.9</v>
      </c>
      <c r="AQ410" t="s">
        <v>139</v>
      </c>
      <c r="AR410" t="s">
        <v>139</v>
      </c>
      <c r="AS410">
        <f t="shared" si="4"/>
        <v>1344507</v>
      </c>
      <c r="AT410">
        <f t="shared" si="3"/>
        <v>1.1180238555842401</v>
      </c>
    </row>
    <row r="411" spans="1:46" x14ac:dyDescent="0.4">
      <c r="A411" s="3" t="s">
        <v>542</v>
      </c>
      <c r="B411">
        <v>1157130.8</v>
      </c>
      <c r="C411">
        <v>280782.2</v>
      </c>
      <c r="D411">
        <v>160767.5</v>
      </c>
      <c r="E411" t="s">
        <v>139</v>
      </c>
      <c r="F411" t="s">
        <v>139</v>
      </c>
      <c r="G411">
        <v>120014.7</v>
      </c>
      <c r="H411" t="s">
        <v>139</v>
      </c>
      <c r="I411" t="s">
        <v>139</v>
      </c>
      <c r="J411">
        <v>876348.6</v>
      </c>
      <c r="K411">
        <v>291449.09999999998</v>
      </c>
      <c r="L411">
        <v>255042.8</v>
      </c>
      <c r="M411" t="s">
        <v>139</v>
      </c>
      <c r="N411" t="s">
        <v>139</v>
      </c>
      <c r="O411" t="s">
        <v>139</v>
      </c>
      <c r="P411" t="s">
        <v>139</v>
      </c>
      <c r="Q411" t="s">
        <v>139</v>
      </c>
      <c r="R411" t="s">
        <v>139</v>
      </c>
      <c r="S411" t="s">
        <v>139</v>
      </c>
      <c r="T411" t="s">
        <v>139</v>
      </c>
      <c r="U411">
        <v>178805.9</v>
      </c>
      <c r="V411" s="6" t="s">
        <v>139</v>
      </c>
      <c r="W411" t="s">
        <v>139</v>
      </c>
      <c r="X411" t="s">
        <v>139</v>
      </c>
      <c r="Y411" t="s">
        <v>139</v>
      </c>
      <c r="Z411">
        <v>151050.79999999999</v>
      </c>
      <c r="AA411" t="s">
        <v>139</v>
      </c>
      <c r="AB411" t="s">
        <v>139</v>
      </c>
      <c r="AC411" t="s">
        <v>139</v>
      </c>
      <c r="AD411">
        <v>169764.8</v>
      </c>
      <c r="AE411" t="s">
        <v>139</v>
      </c>
      <c r="AF411">
        <v>15340.6</v>
      </c>
      <c r="AG411">
        <v>102188</v>
      </c>
      <c r="AH411" s="9">
        <v>1520642.4</v>
      </c>
      <c r="AI411">
        <v>1121598.8</v>
      </c>
      <c r="AJ411">
        <v>231849.3</v>
      </c>
      <c r="AK411" t="s">
        <v>139</v>
      </c>
      <c r="AL411">
        <v>206289.3</v>
      </c>
      <c r="AM411" t="s">
        <v>139</v>
      </c>
      <c r="AN411">
        <v>87334.7</v>
      </c>
      <c r="AO411" s="9">
        <v>1400169</v>
      </c>
      <c r="AP411">
        <v>120473.4</v>
      </c>
      <c r="AQ411" t="s">
        <v>139</v>
      </c>
      <c r="AR411" t="s">
        <v>139</v>
      </c>
      <c r="AS411">
        <f t="shared" si="4"/>
        <v>1353448.1</v>
      </c>
      <c r="AT411">
        <f t="shared" si="3"/>
        <v>1.1235321103188218</v>
      </c>
    </row>
    <row r="412" spans="1:46" x14ac:dyDescent="0.4">
      <c r="A412" s="3" t="s">
        <v>543</v>
      </c>
      <c r="B412">
        <v>1165597.6000000001</v>
      </c>
      <c r="C412">
        <v>284309.59999999998</v>
      </c>
      <c r="D412">
        <v>163551</v>
      </c>
      <c r="E412" t="s">
        <v>139</v>
      </c>
      <c r="F412" t="s">
        <v>139</v>
      </c>
      <c r="G412">
        <v>120758.6</v>
      </c>
      <c r="H412" t="s">
        <v>139</v>
      </c>
      <c r="I412" t="s">
        <v>139</v>
      </c>
      <c r="J412">
        <v>881288</v>
      </c>
      <c r="K412">
        <v>294792.5</v>
      </c>
      <c r="L412">
        <v>256287.5</v>
      </c>
      <c r="M412" t="s">
        <v>139</v>
      </c>
      <c r="N412" t="s">
        <v>139</v>
      </c>
      <c r="O412" t="s">
        <v>139</v>
      </c>
      <c r="P412" t="s">
        <v>139</v>
      </c>
      <c r="Q412" t="s">
        <v>139</v>
      </c>
      <c r="R412" t="s">
        <v>139</v>
      </c>
      <c r="S412" t="s">
        <v>139</v>
      </c>
      <c r="T412" t="s">
        <v>139</v>
      </c>
      <c r="U412">
        <v>178435.8</v>
      </c>
      <c r="V412" s="6" t="s">
        <v>139</v>
      </c>
      <c r="W412" t="s">
        <v>139</v>
      </c>
      <c r="X412" t="s">
        <v>139</v>
      </c>
      <c r="Y412" t="s">
        <v>139</v>
      </c>
      <c r="Z412">
        <v>151772.20000000001</v>
      </c>
      <c r="AA412" t="s">
        <v>139</v>
      </c>
      <c r="AB412" t="s">
        <v>139</v>
      </c>
      <c r="AC412" t="s">
        <v>139</v>
      </c>
      <c r="AD412">
        <v>173220.9</v>
      </c>
      <c r="AE412" t="s">
        <v>139</v>
      </c>
      <c r="AF412">
        <v>15674.6</v>
      </c>
      <c r="AG412">
        <v>104479.3</v>
      </c>
      <c r="AH412" s="9">
        <v>1534163.3</v>
      </c>
      <c r="AI412">
        <v>1137348</v>
      </c>
      <c r="AJ412">
        <v>234716.3</v>
      </c>
      <c r="AK412" t="s">
        <v>139</v>
      </c>
      <c r="AL412">
        <v>206838.2</v>
      </c>
      <c r="AM412" t="s">
        <v>139</v>
      </c>
      <c r="AN412">
        <v>88676.3</v>
      </c>
      <c r="AO412" s="9">
        <v>1417152.6</v>
      </c>
      <c r="AP412">
        <v>117010.7</v>
      </c>
      <c r="AQ412" t="s">
        <v>139</v>
      </c>
      <c r="AR412" t="s">
        <v>139</v>
      </c>
      <c r="AS412">
        <f t="shared" si="4"/>
        <v>1372064.3</v>
      </c>
      <c r="AT412">
        <f t="shared" si="3"/>
        <v>1.1181424223339971</v>
      </c>
    </row>
    <row r="413" spans="1:46" x14ac:dyDescent="0.4">
      <c r="A413" s="3" t="s">
        <v>544</v>
      </c>
      <c r="B413">
        <v>1178875.3</v>
      </c>
      <c r="C413">
        <v>286904.40000000002</v>
      </c>
      <c r="D413">
        <v>165128.29999999999</v>
      </c>
      <c r="E413" t="s">
        <v>139</v>
      </c>
      <c r="F413" t="s">
        <v>139</v>
      </c>
      <c r="G413">
        <v>121776.1</v>
      </c>
      <c r="H413" t="s">
        <v>139</v>
      </c>
      <c r="I413" t="s">
        <v>139</v>
      </c>
      <c r="J413">
        <v>891970.9</v>
      </c>
      <c r="K413">
        <v>299957.3</v>
      </c>
      <c r="L413">
        <v>258403.5</v>
      </c>
      <c r="M413" t="s">
        <v>139</v>
      </c>
      <c r="N413" t="s">
        <v>139</v>
      </c>
      <c r="O413" t="s">
        <v>139</v>
      </c>
      <c r="P413" t="s">
        <v>139</v>
      </c>
      <c r="Q413" t="s">
        <v>139</v>
      </c>
      <c r="R413" t="s">
        <v>139</v>
      </c>
      <c r="S413" t="s">
        <v>139</v>
      </c>
      <c r="T413" t="s">
        <v>139</v>
      </c>
      <c r="U413">
        <v>178513.7</v>
      </c>
      <c r="V413" s="6" t="s">
        <v>139</v>
      </c>
      <c r="W413" t="s">
        <v>139</v>
      </c>
      <c r="X413" t="s">
        <v>139</v>
      </c>
      <c r="Y413" t="s">
        <v>139</v>
      </c>
      <c r="Z413">
        <v>155096.4</v>
      </c>
      <c r="AA413" t="s">
        <v>139</v>
      </c>
      <c r="AB413" t="s">
        <v>139</v>
      </c>
      <c r="AC413" t="s">
        <v>139</v>
      </c>
      <c r="AD413">
        <v>176446.5</v>
      </c>
      <c r="AE413" t="s">
        <v>139</v>
      </c>
      <c r="AF413">
        <v>16317.2</v>
      </c>
      <c r="AG413">
        <v>105541</v>
      </c>
      <c r="AH413" s="9">
        <v>1552958.2</v>
      </c>
      <c r="AI413">
        <v>1153636</v>
      </c>
      <c r="AJ413">
        <v>237554.2</v>
      </c>
      <c r="AK413" t="s">
        <v>139</v>
      </c>
      <c r="AL413">
        <v>208053.6</v>
      </c>
      <c r="AM413" t="s">
        <v>139</v>
      </c>
      <c r="AN413">
        <v>88838.6</v>
      </c>
      <c r="AO413" s="9">
        <v>1435567.7</v>
      </c>
      <c r="AP413">
        <v>117390.5</v>
      </c>
      <c r="AQ413" t="s">
        <v>139</v>
      </c>
      <c r="AR413" t="s">
        <v>139</v>
      </c>
      <c r="AS413">
        <f t="shared" si="4"/>
        <v>1391190.2</v>
      </c>
      <c r="AT413">
        <f t="shared" si="3"/>
        <v>1.1162802900710485</v>
      </c>
    </row>
    <row r="414" spans="1:46" x14ac:dyDescent="0.4">
      <c r="A414" s="3" t="s">
        <v>545</v>
      </c>
      <c r="B414">
        <v>1196039.2</v>
      </c>
      <c r="C414">
        <v>291553.8</v>
      </c>
      <c r="D414">
        <v>169435.7</v>
      </c>
      <c r="E414" t="s">
        <v>139</v>
      </c>
      <c r="F414" t="s">
        <v>139</v>
      </c>
      <c r="G414">
        <v>122118.1</v>
      </c>
      <c r="H414" t="s">
        <v>139</v>
      </c>
      <c r="I414" t="s">
        <v>139</v>
      </c>
      <c r="J414">
        <v>904485.5</v>
      </c>
      <c r="K414">
        <v>307374.3</v>
      </c>
      <c r="L414">
        <v>260606.8</v>
      </c>
      <c r="M414" t="s">
        <v>139</v>
      </c>
      <c r="N414" t="s">
        <v>139</v>
      </c>
      <c r="O414" t="s">
        <v>139</v>
      </c>
      <c r="P414" t="s">
        <v>139</v>
      </c>
      <c r="Q414" t="s">
        <v>139</v>
      </c>
      <c r="R414" t="s">
        <v>139</v>
      </c>
      <c r="S414" t="s">
        <v>139</v>
      </c>
      <c r="T414" t="s">
        <v>139</v>
      </c>
      <c r="U414">
        <v>178718.9</v>
      </c>
      <c r="V414" s="6" t="s">
        <v>139</v>
      </c>
      <c r="W414" t="s">
        <v>139</v>
      </c>
      <c r="X414" t="s">
        <v>139</v>
      </c>
      <c r="Y414" t="s">
        <v>139</v>
      </c>
      <c r="Z414">
        <v>157785.4</v>
      </c>
      <c r="AA414" t="s">
        <v>139</v>
      </c>
      <c r="AB414" t="s">
        <v>139</v>
      </c>
      <c r="AC414" t="s">
        <v>139</v>
      </c>
      <c r="AD414">
        <v>188325.1</v>
      </c>
      <c r="AE414" t="s">
        <v>139</v>
      </c>
      <c r="AF414">
        <v>17114.8</v>
      </c>
      <c r="AG414">
        <v>96287</v>
      </c>
      <c r="AH414" s="9">
        <v>1578332.7</v>
      </c>
      <c r="AI414">
        <v>1178866.3999999999</v>
      </c>
      <c r="AJ414">
        <v>244328.7</v>
      </c>
      <c r="AK414" t="s">
        <v>139</v>
      </c>
      <c r="AL414">
        <v>209988</v>
      </c>
      <c r="AM414" t="s">
        <v>139</v>
      </c>
      <c r="AN414">
        <v>89740.7</v>
      </c>
      <c r="AO414" s="9">
        <v>1463960.2</v>
      </c>
      <c r="AP414">
        <v>114372.5</v>
      </c>
      <c r="AQ414" t="s">
        <v>139</v>
      </c>
      <c r="AR414" t="s">
        <v>139</v>
      </c>
      <c r="AS414">
        <f t="shared" si="4"/>
        <v>1423195.0999999999</v>
      </c>
      <c r="AT414">
        <f t="shared" si="3"/>
        <v>1.1090065585526538</v>
      </c>
    </row>
    <row r="415" spans="1:46" x14ac:dyDescent="0.4">
      <c r="A415" s="3" t="s">
        <v>546</v>
      </c>
      <c r="B415">
        <v>1207190.3999999999</v>
      </c>
      <c r="C415">
        <v>293428.2</v>
      </c>
      <c r="D415">
        <v>171491.3</v>
      </c>
      <c r="E415" t="s">
        <v>139</v>
      </c>
      <c r="F415" t="s">
        <v>139</v>
      </c>
      <c r="G415">
        <v>121936.9</v>
      </c>
      <c r="H415" t="s">
        <v>139</v>
      </c>
      <c r="I415" t="s">
        <v>139</v>
      </c>
      <c r="J415">
        <v>913762.2</v>
      </c>
      <c r="K415">
        <v>312038.3</v>
      </c>
      <c r="L415">
        <v>262283.40000000002</v>
      </c>
      <c r="M415" t="s">
        <v>139</v>
      </c>
      <c r="N415" t="s">
        <v>139</v>
      </c>
      <c r="O415" t="s">
        <v>139</v>
      </c>
      <c r="P415" t="s">
        <v>139</v>
      </c>
      <c r="Q415" t="s">
        <v>139</v>
      </c>
      <c r="R415" t="s">
        <v>139</v>
      </c>
      <c r="S415" t="s">
        <v>139</v>
      </c>
      <c r="T415" t="s">
        <v>139</v>
      </c>
      <c r="U415">
        <v>178693</v>
      </c>
      <c r="V415" s="6" t="s">
        <v>139</v>
      </c>
      <c r="W415" t="s">
        <v>139</v>
      </c>
      <c r="X415" t="s">
        <v>139</v>
      </c>
      <c r="Y415" t="s">
        <v>139</v>
      </c>
      <c r="Z415">
        <v>160747.5</v>
      </c>
      <c r="AA415" t="s">
        <v>139</v>
      </c>
      <c r="AB415" t="s">
        <v>139</v>
      </c>
      <c r="AC415" t="s">
        <v>139</v>
      </c>
      <c r="AD415">
        <v>182826.6</v>
      </c>
      <c r="AE415" t="s">
        <v>139</v>
      </c>
      <c r="AF415">
        <v>18647.5</v>
      </c>
      <c r="AG415">
        <v>98240.1</v>
      </c>
      <c r="AH415" s="9">
        <v>1588268.7</v>
      </c>
      <c r="AI415">
        <v>1185088.1000000001</v>
      </c>
      <c r="AJ415">
        <v>252110.8</v>
      </c>
      <c r="AK415" t="s">
        <v>139</v>
      </c>
      <c r="AL415">
        <v>211512.4</v>
      </c>
      <c r="AM415" t="s">
        <v>139</v>
      </c>
      <c r="AN415">
        <v>92340.6</v>
      </c>
      <c r="AO415" s="9">
        <v>1473739.1</v>
      </c>
      <c r="AP415">
        <v>114529.60000000001</v>
      </c>
      <c r="AQ415" t="s">
        <v>139</v>
      </c>
      <c r="AR415" t="s">
        <v>139</v>
      </c>
      <c r="AS415">
        <f t="shared" si="4"/>
        <v>1437198.9000000001</v>
      </c>
      <c r="AT415">
        <f t="shared" si="3"/>
        <v>1.1051140520633573</v>
      </c>
    </row>
    <row r="416" spans="1:46" x14ac:dyDescent="0.4">
      <c r="A416" s="3" t="s">
        <v>547</v>
      </c>
      <c r="B416">
        <v>1214611.3</v>
      </c>
      <c r="C416">
        <v>295738.59999999998</v>
      </c>
      <c r="D416">
        <v>174074</v>
      </c>
      <c r="E416" t="s">
        <v>139</v>
      </c>
      <c r="F416" t="s">
        <v>139</v>
      </c>
      <c r="G416">
        <v>121664.7</v>
      </c>
      <c r="H416" t="s">
        <v>139</v>
      </c>
      <c r="I416" t="s">
        <v>139</v>
      </c>
      <c r="J416">
        <v>918872.7</v>
      </c>
      <c r="K416">
        <v>312452.2</v>
      </c>
      <c r="L416">
        <v>263770.7</v>
      </c>
      <c r="M416" t="s">
        <v>139</v>
      </c>
      <c r="N416" t="s">
        <v>139</v>
      </c>
      <c r="O416" t="s">
        <v>139</v>
      </c>
      <c r="P416" t="s">
        <v>139</v>
      </c>
      <c r="Q416" t="s">
        <v>139</v>
      </c>
      <c r="R416" t="s">
        <v>139</v>
      </c>
      <c r="S416" t="s">
        <v>139</v>
      </c>
      <c r="T416" t="s">
        <v>139</v>
      </c>
      <c r="U416">
        <v>178827.8</v>
      </c>
      <c r="V416" s="6" t="s">
        <v>139</v>
      </c>
      <c r="W416" t="s">
        <v>139</v>
      </c>
      <c r="X416" t="s">
        <v>139</v>
      </c>
      <c r="Y416" t="s">
        <v>139</v>
      </c>
      <c r="Z416">
        <v>163822</v>
      </c>
      <c r="AA416" t="s">
        <v>139</v>
      </c>
      <c r="AB416" t="s">
        <v>139</v>
      </c>
      <c r="AC416" t="s">
        <v>139</v>
      </c>
      <c r="AD416">
        <v>182970.7</v>
      </c>
      <c r="AE416" t="s">
        <v>139</v>
      </c>
      <c r="AF416">
        <v>19297.900000000001</v>
      </c>
      <c r="AG416">
        <v>99776.8</v>
      </c>
      <c r="AH416" s="9">
        <v>1599378.6</v>
      </c>
      <c r="AI416">
        <v>1194324.7</v>
      </c>
      <c r="AJ416">
        <v>263616.5</v>
      </c>
      <c r="AK416" t="s">
        <v>139</v>
      </c>
      <c r="AL416">
        <v>212901.3</v>
      </c>
      <c r="AM416" t="s">
        <v>139</v>
      </c>
      <c r="AN416">
        <v>94186</v>
      </c>
      <c r="AO416" s="9">
        <v>1484955.3</v>
      </c>
      <c r="AP416">
        <v>114423.3</v>
      </c>
      <c r="AQ416" t="s">
        <v>139</v>
      </c>
      <c r="AR416" t="s">
        <v>139</v>
      </c>
      <c r="AS416">
        <f t="shared" si="4"/>
        <v>1457941.2</v>
      </c>
      <c r="AT416">
        <f t="shared" si="3"/>
        <v>1.0970117313373133</v>
      </c>
    </row>
    <row r="417" spans="1:46" x14ac:dyDescent="0.4">
      <c r="A417" s="3" t="s">
        <v>548</v>
      </c>
      <c r="B417">
        <v>1220482</v>
      </c>
      <c r="C417">
        <v>297931</v>
      </c>
      <c r="D417">
        <v>175205</v>
      </c>
      <c r="E417" t="s">
        <v>139</v>
      </c>
      <c r="F417" t="s">
        <v>139</v>
      </c>
      <c r="G417">
        <v>122726</v>
      </c>
      <c r="H417" t="s">
        <v>139</v>
      </c>
      <c r="I417" t="s">
        <v>139</v>
      </c>
      <c r="J417">
        <v>922551</v>
      </c>
      <c r="K417">
        <v>313117</v>
      </c>
      <c r="L417">
        <v>265153.09999999998</v>
      </c>
      <c r="M417" t="s">
        <v>139</v>
      </c>
      <c r="N417" t="s">
        <v>139</v>
      </c>
      <c r="O417" t="s">
        <v>139</v>
      </c>
      <c r="P417" t="s">
        <v>139</v>
      </c>
      <c r="Q417" t="s">
        <v>139</v>
      </c>
      <c r="R417" t="s">
        <v>139</v>
      </c>
      <c r="S417" t="s">
        <v>139</v>
      </c>
      <c r="T417" t="s">
        <v>139</v>
      </c>
      <c r="U417">
        <v>179135.5</v>
      </c>
      <c r="V417" s="6" t="s">
        <v>139</v>
      </c>
      <c r="W417" t="s">
        <v>139</v>
      </c>
      <c r="X417" t="s">
        <v>139</v>
      </c>
      <c r="Y417" t="s">
        <v>139</v>
      </c>
      <c r="Z417">
        <v>165145.4</v>
      </c>
      <c r="AA417" t="s">
        <v>139</v>
      </c>
      <c r="AB417" t="s">
        <v>139</v>
      </c>
      <c r="AC417" t="s">
        <v>139</v>
      </c>
      <c r="AD417">
        <v>186196.1</v>
      </c>
      <c r="AE417" t="s">
        <v>139</v>
      </c>
      <c r="AF417">
        <v>20388.5</v>
      </c>
      <c r="AG417">
        <v>104255.1</v>
      </c>
      <c r="AH417" s="9">
        <v>1615003.8</v>
      </c>
      <c r="AI417">
        <v>1202174.8</v>
      </c>
      <c r="AJ417">
        <v>266994</v>
      </c>
      <c r="AK417" t="s">
        <v>139</v>
      </c>
      <c r="AL417">
        <v>214076.5</v>
      </c>
      <c r="AM417" t="s">
        <v>139</v>
      </c>
      <c r="AN417">
        <v>96570.8</v>
      </c>
      <c r="AO417" s="9">
        <v>1495424.6</v>
      </c>
      <c r="AP417">
        <v>119579.2</v>
      </c>
      <c r="AQ417" t="s">
        <v>139</v>
      </c>
      <c r="AR417" t="s">
        <v>139</v>
      </c>
      <c r="AS417">
        <f t="shared" si="4"/>
        <v>1469168.8</v>
      </c>
      <c r="AT417">
        <f t="shared" si="3"/>
        <v>1.0992636108253864</v>
      </c>
    </row>
    <row r="418" spans="1:46" x14ac:dyDescent="0.4">
      <c r="A418" s="3" t="s">
        <v>549</v>
      </c>
      <c r="B418">
        <v>1225235.5</v>
      </c>
      <c r="C418">
        <v>299683.20000000001</v>
      </c>
      <c r="D418">
        <v>176031.4</v>
      </c>
      <c r="E418" t="s">
        <v>139</v>
      </c>
      <c r="F418" t="s">
        <v>139</v>
      </c>
      <c r="G418">
        <v>123651.8</v>
      </c>
      <c r="H418" t="s">
        <v>139</v>
      </c>
      <c r="I418" t="s">
        <v>139</v>
      </c>
      <c r="J418">
        <v>925552.3</v>
      </c>
      <c r="K418">
        <v>314393.3</v>
      </c>
      <c r="L418">
        <v>266839.2</v>
      </c>
      <c r="M418" t="s">
        <v>139</v>
      </c>
      <c r="N418" t="s">
        <v>139</v>
      </c>
      <c r="O418" t="s">
        <v>139</v>
      </c>
      <c r="P418" t="s">
        <v>139</v>
      </c>
      <c r="Q418" t="s">
        <v>139</v>
      </c>
      <c r="R418" t="s">
        <v>139</v>
      </c>
      <c r="S418" t="s">
        <v>139</v>
      </c>
      <c r="T418" t="s">
        <v>139</v>
      </c>
      <c r="U418">
        <v>179767.2</v>
      </c>
      <c r="V418" s="6" t="s">
        <v>139</v>
      </c>
      <c r="W418" t="s">
        <v>139</v>
      </c>
      <c r="X418" t="s">
        <v>139</v>
      </c>
      <c r="Y418" t="s">
        <v>139</v>
      </c>
      <c r="Z418">
        <v>164552.6</v>
      </c>
      <c r="AA418" t="s">
        <v>139</v>
      </c>
      <c r="AB418" t="s">
        <v>139</v>
      </c>
      <c r="AC418" t="s">
        <v>139</v>
      </c>
      <c r="AD418">
        <v>192074.2</v>
      </c>
      <c r="AE418" t="s">
        <v>139</v>
      </c>
      <c r="AF418">
        <v>21000.1</v>
      </c>
      <c r="AG418">
        <v>107197.5</v>
      </c>
      <c r="AH418" s="9">
        <v>1631582.5</v>
      </c>
      <c r="AI418">
        <v>1213209</v>
      </c>
      <c r="AJ418">
        <v>269973.8</v>
      </c>
      <c r="AK418" t="s">
        <v>139</v>
      </c>
      <c r="AL418">
        <v>220646.5</v>
      </c>
      <c r="AM418" t="s">
        <v>139</v>
      </c>
      <c r="AN418">
        <v>97441.9</v>
      </c>
      <c r="AO418" s="9">
        <v>1511440</v>
      </c>
      <c r="AP418">
        <v>120142.5</v>
      </c>
      <c r="AQ418" t="s">
        <v>139</v>
      </c>
      <c r="AR418" t="s">
        <v>139</v>
      </c>
      <c r="AS418">
        <f t="shared" si="4"/>
        <v>1483182.8</v>
      </c>
      <c r="AT418">
        <f t="shared" si="3"/>
        <v>1.1000548954586042</v>
      </c>
    </row>
    <row r="419" spans="1:46" x14ac:dyDescent="0.4">
      <c r="A419" s="3" t="s">
        <v>550</v>
      </c>
      <c r="B419">
        <v>1234559.6000000001</v>
      </c>
      <c r="C419">
        <v>301853.8</v>
      </c>
      <c r="D419">
        <v>178190.4</v>
      </c>
      <c r="E419" t="s">
        <v>139</v>
      </c>
      <c r="F419" t="s">
        <v>139</v>
      </c>
      <c r="G419">
        <v>123663.4</v>
      </c>
      <c r="H419" t="s">
        <v>139</v>
      </c>
      <c r="I419" t="s">
        <v>139</v>
      </c>
      <c r="J419">
        <v>932705.8</v>
      </c>
      <c r="K419">
        <v>318502.40000000002</v>
      </c>
      <c r="L419">
        <v>268623.5</v>
      </c>
      <c r="M419" t="s">
        <v>139</v>
      </c>
      <c r="N419" t="s">
        <v>139</v>
      </c>
      <c r="O419" t="s">
        <v>139</v>
      </c>
      <c r="P419" t="s">
        <v>139</v>
      </c>
      <c r="Q419" t="s">
        <v>139</v>
      </c>
      <c r="R419" t="s">
        <v>139</v>
      </c>
      <c r="S419" t="s">
        <v>139</v>
      </c>
      <c r="T419" t="s">
        <v>139</v>
      </c>
      <c r="U419">
        <v>179802.6</v>
      </c>
      <c r="V419" s="6" t="s">
        <v>139</v>
      </c>
      <c r="W419" t="s">
        <v>139</v>
      </c>
      <c r="X419" t="s">
        <v>139</v>
      </c>
      <c r="Y419" t="s">
        <v>139</v>
      </c>
      <c r="Z419">
        <v>165777.4</v>
      </c>
      <c r="AA419" t="s">
        <v>139</v>
      </c>
      <c r="AB419" t="s">
        <v>139</v>
      </c>
      <c r="AC419" t="s">
        <v>139</v>
      </c>
      <c r="AD419">
        <v>198234.1</v>
      </c>
      <c r="AE419" t="s">
        <v>139</v>
      </c>
      <c r="AF419">
        <v>22619.3</v>
      </c>
      <c r="AG419">
        <v>108962.7</v>
      </c>
      <c r="AH419" s="9">
        <v>1651551.3</v>
      </c>
      <c r="AI419">
        <v>1224248.2</v>
      </c>
      <c r="AJ419">
        <v>274142.59999999998</v>
      </c>
      <c r="AK419" t="s">
        <v>139</v>
      </c>
      <c r="AL419">
        <v>228266.7</v>
      </c>
      <c r="AM419" t="s">
        <v>139</v>
      </c>
      <c r="AN419">
        <v>98255.3</v>
      </c>
      <c r="AO419" s="9">
        <v>1528784.5</v>
      </c>
      <c r="AP419">
        <v>122766.8</v>
      </c>
      <c r="AQ419" t="s">
        <v>139</v>
      </c>
      <c r="AR419" t="s">
        <v>139</v>
      </c>
      <c r="AS419">
        <f t="shared" si="4"/>
        <v>1498390.7999999998</v>
      </c>
      <c r="AT419">
        <f t="shared" si="3"/>
        <v>1.1022166580307355</v>
      </c>
    </row>
    <row r="420" spans="1:46" x14ac:dyDescent="0.4">
      <c r="A420" s="3" t="s">
        <v>551</v>
      </c>
      <c r="B420">
        <v>1248273</v>
      </c>
      <c r="C420">
        <v>303459</v>
      </c>
      <c r="D420">
        <v>180146.8</v>
      </c>
      <c r="E420" t="s">
        <v>139</v>
      </c>
      <c r="F420" t="s">
        <v>139</v>
      </c>
      <c r="G420">
        <v>123312.2</v>
      </c>
      <c r="H420" t="s">
        <v>139</v>
      </c>
      <c r="I420" t="s">
        <v>139</v>
      </c>
      <c r="J420">
        <v>944814</v>
      </c>
      <c r="K420">
        <v>324080</v>
      </c>
      <c r="L420">
        <v>271257.2</v>
      </c>
      <c r="M420" t="s">
        <v>139</v>
      </c>
      <c r="N420" t="s">
        <v>139</v>
      </c>
      <c r="O420" t="s">
        <v>139</v>
      </c>
      <c r="P420" t="s">
        <v>139</v>
      </c>
      <c r="Q420" t="s">
        <v>139</v>
      </c>
      <c r="R420" t="s">
        <v>139</v>
      </c>
      <c r="S420" t="s">
        <v>139</v>
      </c>
      <c r="T420" t="s">
        <v>139</v>
      </c>
      <c r="U420">
        <v>180625.7</v>
      </c>
      <c r="V420" s="6" t="s">
        <v>139</v>
      </c>
      <c r="W420" t="s">
        <v>139</v>
      </c>
      <c r="X420" t="s">
        <v>139</v>
      </c>
      <c r="Y420" t="s">
        <v>139</v>
      </c>
      <c r="Z420">
        <v>168851.1</v>
      </c>
      <c r="AA420" t="s">
        <v>139</v>
      </c>
      <c r="AB420" t="s">
        <v>139</v>
      </c>
      <c r="AC420" t="s">
        <v>139</v>
      </c>
      <c r="AD420">
        <v>198254.4</v>
      </c>
      <c r="AE420" t="s">
        <v>139</v>
      </c>
      <c r="AF420">
        <v>22831.3</v>
      </c>
      <c r="AG420">
        <v>110988.7</v>
      </c>
      <c r="AH420" s="9">
        <v>1662547.7</v>
      </c>
      <c r="AI420">
        <v>1234558.2</v>
      </c>
      <c r="AJ420">
        <v>279286</v>
      </c>
      <c r="AK420" t="s">
        <v>139</v>
      </c>
      <c r="AL420">
        <v>223095.5</v>
      </c>
      <c r="AM420" t="s">
        <v>139</v>
      </c>
      <c r="AN420">
        <v>97820.3</v>
      </c>
      <c r="AO420" s="9">
        <v>1536169.6</v>
      </c>
      <c r="AP420">
        <v>126378.1</v>
      </c>
      <c r="AQ420" t="s">
        <v>139</v>
      </c>
      <c r="AR420" t="s">
        <v>139</v>
      </c>
      <c r="AS420">
        <f t="shared" si="4"/>
        <v>1513844.2</v>
      </c>
      <c r="AT420">
        <f t="shared" si="3"/>
        <v>1.0982290647875126</v>
      </c>
    </row>
    <row r="421" spans="1:46" x14ac:dyDescent="0.4">
      <c r="A421" s="3" t="s">
        <v>552</v>
      </c>
      <c r="B421">
        <v>1257481</v>
      </c>
      <c r="C421">
        <v>305196.3</v>
      </c>
      <c r="D421">
        <v>181720.4</v>
      </c>
      <c r="E421" t="s">
        <v>139</v>
      </c>
      <c r="F421" t="s">
        <v>139</v>
      </c>
      <c r="G421">
        <v>123475.8</v>
      </c>
      <c r="H421" t="s">
        <v>139</v>
      </c>
      <c r="I421" t="s">
        <v>139</v>
      </c>
      <c r="J421">
        <v>952284.8</v>
      </c>
      <c r="K421">
        <v>328172.59999999998</v>
      </c>
      <c r="L421">
        <v>273403.8</v>
      </c>
      <c r="M421" t="s">
        <v>139</v>
      </c>
      <c r="N421" t="s">
        <v>139</v>
      </c>
      <c r="O421" t="s">
        <v>139</v>
      </c>
      <c r="P421" t="s">
        <v>139</v>
      </c>
      <c r="Q421" t="s">
        <v>139</v>
      </c>
      <c r="R421" t="s">
        <v>139</v>
      </c>
      <c r="S421" t="s">
        <v>139</v>
      </c>
      <c r="T421" t="s">
        <v>139</v>
      </c>
      <c r="U421">
        <v>180978.7</v>
      </c>
      <c r="V421" s="6" t="s">
        <v>139</v>
      </c>
      <c r="W421" t="s">
        <v>139</v>
      </c>
      <c r="X421" t="s">
        <v>139</v>
      </c>
      <c r="Y421" t="s">
        <v>139</v>
      </c>
      <c r="Z421">
        <v>169729.8</v>
      </c>
      <c r="AA421" t="s">
        <v>139</v>
      </c>
      <c r="AB421" t="s">
        <v>139</v>
      </c>
      <c r="AC421" t="s">
        <v>139</v>
      </c>
      <c r="AD421">
        <v>206796.4</v>
      </c>
      <c r="AE421" t="s">
        <v>139</v>
      </c>
      <c r="AF421">
        <v>24306.7</v>
      </c>
      <c r="AG421">
        <v>112406.6</v>
      </c>
      <c r="AH421" s="9">
        <v>1683112.7</v>
      </c>
      <c r="AI421">
        <v>1249552.8</v>
      </c>
      <c r="AJ421">
        <v>283733.09999999998</v>
      </c>
      <c r="AK421" t="s">
        <v>139</v>
      </c>
      <c r="AL421">
        <v>229410.4</v>
      </c>
      <c r="AM421" t="s">
        <v>139</v>
      </c>
      <c r="AN421">
        <v>97729.1</v>
      </c>
      <c r="AO421" s="9">
        <v>1556871.5</v>
      </c>
      <c r="AP421">
        <v>126241.2</v>
      </c>
      <c r="AQ421" t="s">
        <v>139</v>
      </c>
      <c r="AR421" t="s">
        <v>139</v>
      </c>
      <c r="AS421">
        <f t="shared" si="4"/>
        <v>1533285.9</v>
      </c>
      <c r="AT421">
        <f t="shared" si="3"/>
        <v>1.0977161532627411</v>
      </c>
    </row>
    <row r="422" spans="1:46" x14ac:dyDescent="0.4">
      <c r="A422" s="3" t="s">
        <v>553</v>
      </c>
      <c r="B422">
        <v>1263387</v>
      </c>
      <c r="C422">
        <v>304783.90000000002</v>
      </c>
      <c r="D422">
        <v>181631.1</v>
      </c>
      <c r="E422" t="s">
        <v>139</v>
      </c>
      <c r="F422" t="s">
        <v>139</v>
      </c>
      <c r="G422">
        <v>123152.9</v>
      </c>
      <c r="H422" t="s">
        <v>139</v>
      </c>
      <c r="I422" t="s">
        <v>139</v>
      </c>
      <c r="J422">
        <v>958603.1</v>
      </c>
      <c r="K422">
        <v>331857.09999999998</v>
      </c>
      <c r="L422">
        <v>274761.8</v>
      </c>
      <c r="M422" t="s">
        <v>139</v>
      </c>
      <c r="N422" t="s">
        <v>139</v>
      </c>
      <c r="O422" t="s">
        <v>139</v>
      </c>
      <c r="P422" t="s">
        <v>139</v>
      </c>
      <c r="Q422" t="s">
        <v>139</v>
      </c>
      <c r="R422" t="s">
        <v>139</v>
      </c>
      <c r="S422" t="s">
        <v>139</v>
      </c>
      <c r="T422" t="s">
        <v>139</v>
      </c>
      <c r="U422">
        <v>181038.9</v>
      </c>
      <c r="V422" s="6" t="s">
        <v>139</v>
      </c>
      <c r="W422" t="s">
        <v>139</v>
      </c>
      <c r="X422" t="s">
        <v>139</v>
      </c>
      <c r="Y422" t="s">
        <v>139</v>
      </c>
      <c r="Z422">
        <v>170945.4</v>
      </c>
      <c r="AA422" t="s">
        <v>139</v>
      </c>
      <c r="AB422" t="s">
        <v>139</v>
      </c>
      <c r="AC422" t="s">
        <v>139</v>
      </c>
      <c r="AD422">
        <v>201599</v>
      </c>
      <c r="AE422" t="s">
        <v>139</v>
      </c>
      <c r="AF422">
        <v>25918.1</v>
      </c>
      <c r="AG422">
        <v>112065.7</v>
      </c>
      <c r="AH422" s="9">
        <v>1684195.3</v>
      </c>
      <c r="AI422">
        <v>1248034.8</v>
      </c>
      <c r="AJ422">
        <v>287625.09999999998</v>
      </c>
      <c r="AK422" t="s">
        <v>139</v>
      </c>
      <c r="AL422">
        <v>226316.9</v>
      </c>
      <c r="AM422" t="s">
        <v>139</v>
      </c>
      <c r="AN422">
        <v>97966.3</v>
      </c>
      <c r="AO422" s="9">
        <v>1556018.2</v>
      </c>
      <c r="AP422">
        <v>128177.1</v>
      </c>
      <c r="AQ422" t="s">
        <v>139</v>
      </c>
      <c r="AR422" t="s">
        <v>139</v>
      </c>
      <c r="AS422">
        <f t="shared" si="4"/>
        <v>1535659.9</v>
      </c>
      <c r="AT422">
        <f t="shared" si="3"/>
        <v>1.0967241509659789</v>
      </c>
    </row>
    <row r="423" spans="1:46" x14ac:dyDescent="0.4">
      <c r="A423" s="3" t="s">
        <v>554</v>
      </c>
      <c r="B423">
        <v>1270715.7</v>
      </c>
      <c r="C423">
        <v>304612.8</v>
      </c>
      <c r="D423">
        <v>181555.3</v>
      </c>
      <c r="E423" t="s">
        <v>139</v>
      </c>
      <c r="F423" t="s">
        <v>139</v>
      </c>
      <c r="G423">
        <v>123057.5</v>
      </c>
      <c r="H423" t="s">
        <v>139</v>
      </c>
      <c r="I423" t="s">
        <v>139</v>
      </c>
      <c r="J423">
        <v>966102.9</v>
      </c>
      <c r="K423">
        <v>336523</v>
      </c>
      <c r="L423">
        <v>277057.7</v>
      </c>
      <c r="M423" t="s">
        <v>139</v>
      </c>
      <c r="N423" t="s">
        <v>139</v>
      </c>
      <c r="O423" t="s">
        <v>139</v>
      </c>
      <c r="P423" t="s">
        <v>139</v>
      </c>
      <c r="Q423" t="s">
        <v>139</v>
      </c>
      <c r="R423" t="s">
        <v>139</v>
      </c>
      <c r="S423" t="s">
        <v>139</v>
      </c>
      <c r="T423" t="s">
        <v>139</v>
      </c>
      <c r="U423">
        <v>181716.3</v>
      </c>
      <c r="V423" s="6" t="s">
        <v>139</v>
      </c>
      <c r="W423" t="s">
        <v>139</v>
      </c>
      <c r="X423" t="s">
        <v>139</v>
      </c>
      <c r="Y423" t="s">
        <v>139</v>
      </c>
      <c r="Z423">
        <v>170805.9</v>
      </c>
      <c r="AA423" t="s">
        <v>139</v>
      </c>
      <c r="AB423" t="s">
        <v>139</v>
      </c>
      <c r="AC423" t="s">
        <v>139</v>
      </c>
      <c r="AD423">
        <v>211198.4</v>
      </c>
      <c r="AE423" t="s">
        <v>139</v>
      </c>
      <c r="AF423">
        <v>25947.1</v>
      </c>
      <c r="AG423">
        <v>115415.7</v>
      </c>
      <c r="AH423" s="9">
        <v>1701692.5</v>
      </c>
      <c r="AI423">
        <v>1260557.5</v>
      </c>
      <c r="AJ423">
        <v>290877.2</v>
      </c>
      <c r="AK423" t="s">
        <v>139</v>
      </c>
      <c r="AL423">
        <v>226666.3</v>
      </c>
      <c r="AM423" t="s">
        <v>139</v>
      </c>
      <c r="AN423">
        <v>97552.8</v>
      </c>
      <c r="AO423" s="9">
        <v>1567480.8</v>
      </c>
      <c r="AP423">
        <v>134211.6</v>
      </c>
      <c r="AQ423" t="s">
        <v>139</v>
      </c>
      <c r="AR423" t="s">
        <v>139</v>
      </c>
      <c r="AS423">
        <f t="shared" si="4"/>
        <v>1551434.7</v>
      </c>
      <c r="AT423">
        <f t="shared" si="3"/>
        <v>1.096850869714336</v>
      </c>
    </row>
    <row r="424" spans="1:46" x14ac:dyDescent="0.4">
      <c r="A424" s="3" t="s">
        <v>555</v>
      </c>
      <c r="B424">
        <v>1277556.8</v>
      </c>
      <c r="C424">
        <v>305480.7</v>
      </c>
      <c r="D424">
        <v>181163.1</v>
      </c>
      <c r="E424" t="s">
        <v>139</v>
      </c>
      <c r="F424" t="s">
        <v>139</v>
      </c>
      <c r="G424">
        <v>124317.5</v>
      </c>
      <c r="H424" t="s">
        <v>139</v>
      </c>
      <c r="I424" t="s">
        <v>139</v>
      </c>
      <c r="J424">
        <v>972076.1</v>
      </c>
      <c r="K424">
        <v>338115.5</v>
      </c>
      <c r="L424">
        <v>278728.8</v>
      </c>
      <c r="M424" t="s">
        <v>139</v>
      </c>
      <c r="N424" t="s">
        <v>139</v>
      </c>
      <c r="O424" t="s">
        <v>139</v>
      </c>
      <c r="P424" t="s">
        <v>139</v>
      </c>
      <c r="Q424" t="s">
        <v>139</v>
      </c>
      <c r="R424" t="s">
        <v>139</v>
      </c>
      <c r="S424" t="s">
        <v>139</v>
      </c>
      <c r="T424" t="s">
        <v>139</v>
      </c>
      <c r="U424">
        <v>182154.1</v>
      </c>
      <c r="V424" s="6" t="s">
        <v>139</v>
      </c>
      <c r="W424" t="s">
        <v>139</v>
      </c>
      <c r="X424" t="s">
        <v>139</v>
      </c>
      <c r="Y424" t="s">
        <v>139</v>
      </c>
      <c r="Z424">
        <v>173077.7</v>
      </c>
      <c r="AA424" t="s">
        <v>139</v>
      </c>
      <c r="AB424" t="s">
        <v>139</v>
      </c>
      <c r="AC424" t="s">
        <v>139</v>
      </c>
      <c r="AD424">
        <v>215142.5</v>
      </c>
      <c r="AE424" t="s">
        <v>139</v>
      </c>
      <c r="AF424">
        <v>26531.7</v>
      </c>
      <c r="AG424">
        <v>119159.7</v>
      </c>
      <c r="AH424" s="9">
        <v>1718800.3</v>
      </c>
      <c r="AI424">
        <v>1273811.3999999999</v>
      </c>
      <c r="AJ424">
        <v>293074.3</v>
      </c>
      <c r="AK424" t="s">
        <v>139</v>
      </c>
      <c r="AL424">
        <v>236014.8</v>
      </c>
      <c r="AM424" t="s">
        <v>139</v>
      </c>
      <c r="AN424">
        <v>97391.8</v>
      </c>
      <c r="AO424" s="9">
        <v>1587140.1</v>
      </c>
      <c r="AP424">
        <v>131660.20000000001</v>
      </c>
      <c r="AQ424" t="s">
        <v>139</v>
      </c>
      <c r="AR424" t="s">
        <v>139</v>
      </c>
      <c r="AS424">
        <f t="shared" si="4"/>
        <v>1566885.7</v>
      </c>
      <c r="AT424">
        <f t="shared" si="3"/>
        <v>1.096953211073405</v>
      </c>
    </row>
    <row r="425" spans="1:46" x14ac:dyDescent="0.4">
      <c r="A425" s="3" t="s">
        <v>556</v>
      </c>
      <c r="B425">
        <v>1283725.8</v>
      </c>
      <c r="C425">
        <v>306941.7</v>
      </c>
      <c r="D425">
        <v>180944.3</v>
      </c>
      <c r="E425" t="s">
        <v>139</v>
      </c>
      <c r="F425" t="s">
        <v>139</v>
      </c>
      <c r="G425">
        <v>125997.4</v>
      </c>
      <c r="H425" t="s">
        <v>139</v>
      </c>
      <c r="I425" t="s">
        <v>139</v>
      </c>
      <c r="J425">
        <v>976784.1</v>
      </c>
      <c r="K425">
        <v>341198.9</v>
      </c>
      <c r="L425">
        <v>280151.5</v>
      </c>
      <c r="M425" t="s">
        <v>139</v>
      </c>
      <c r="N425" t="s">
        <v>139</v>
      </c>
      <c r="O425" t="s">
        <v>139</v>
      </c>
      <c r="P425" t="s">
        <v>139</v>
      </c>
      <c r="Q425" t="s">
        <v>139</v>
      </c>
      <c r="R425" t="s">
        <v>139</v>
      </c>
      <c r="S425" t="s">
        <v>139</v>
      </c>
      <c r="T425" t="s">
        <v>139</v>
      </c>
      <c r="U425">
        <v>182109.3</v>
      </c>
      <c r="V425" s="6" t="s">
        <v>139</v>
      </c>
      <c r="W425" t="s">
        <v>139</v>
      </c>
      <c r="X425" t="s">
        <v>139</v>
      </c>
      <c r="Y425" t="s">
        <v>139</v>
      </c>
      <c r="Z425">
        <v>173324.5</v>
      </c>
      <c r="AA425" t="s">
        <v>139</v>
      </c>
      <c r="AB425" t="s">
        <v>139</v>
      </c>
      <c r="AC425" t="s">
        <v>139</v>
      </c>
      <c r="AD425">
        <v>164990.29999999999</v>
      </c>
      <c r="AE425" t="s">
        <v>139</v>
      </c>
      <c r="AF425">
        <v>26438.7</v>
      </c>
      <c r="AG425">
        <v>121500.4</v>
      </c>
      <c r="AH425" s="9">
        <v>1676986.2</v>
      </c>
      <c r="AI425">
        <v>1229314.1000000001</v>
      </c>
      <c r="AJ425">
        <v>294936.3</v>
      </c>
      <c r="AK425" t="s">
        <v>139</v>
      </c>
      <c r="AL425">
        <v>240372.1</v>
      </c>
      <c r="AM425" t="s">
        <v>139</v>
      </c>
      <c r="AN425">
        <v>98339.1</v>
      </c>
      <c r="AO425" s="9">
        <v>1544940.7</v>
      </c>
      <c r="AP425">
        <v>132045.5</v>
      </c>
      <c r="AQ425" t="s">
        <v>139</v>
      </c>
      <c r="AR425" t="s">
        <v>139</v>
      </c>
      <c r="AS425">
        <f t="shared" si="4"/>
        <v>1524250.4000000001</v>
      </c>
      <c r="AT425">
        <f t="shared" si="3"/>
        <v>1.1002038772632108</v>
      </c>
    </row>
    <row r="426" spans="1:46" x14ac:dyDescent="0.4">
      <c r="A426" s="3" t="s">
        <v>557</v>
      </c>
      <c r="B426">
        <v>1290453.7</v>
      </c>
      <c r="C426">
        <v>306826</v>
      </c>
      <c r="D426">
        <v>178039.5</v>
      </c>
      <c r="E426" t="s">
        <v>139</v>
      </c>
      <c r="F426" t="s">
        <v>139</v>
      </c>
      <c r="G426">
        <v>128786.4</v>
      </c>
      <c r="H426" t="s">
        <v>139</v>
      </c>
      <c r="I426" t="s">
        <v>139</v>
      </c>
      <c r="J426">
        <v>983627.8</v>
      </c>
      <c r="K426">
        <v>345508.8</v>
      </c>
      <c r="L426">
        <v>281617.3</v>
      </c>
      <c r="M426" t="s">
        <v>139</v>
      </c>
      <c r="N426" t="s">
        <v>139</v>
      </c>
      <c r="O426" t="s">
        <v>139</v>
      </c>
      <c r="P426" t="s">
        <v>139</v>
      </c>
      <c r="Q426" t="s">
        <v>139</v>
      </c>
      <c r="R426" t="s">
        <v>139</v>
      </c>
      <c r="S426" t="s">
        <v>139</v>
      </c>
      <c r="T426" t="s">
        <v>139</v>
      </c>
      <c r="U426">
        <v>181957</v>
      </c>
      <c r="V426" s="6" t="s">
        <v>139</v>
      </c>
      <c r="W426" t="s">
        <v>139</v>
      </c>
      <c r="X426" t="s">
        <v>139</v>
      </c>
      <c r="Y426" t="s">
        <v>139</v>
      </c>
      <c r="Z426">
        <v>174544.7</v>
      </c>
      <c r="AA426" t="s">
        <v>139</v>
      </c>
      <c r="AB426" t="s">
        <v>139</v>
      </c>
      <c r="AC426" t="s">
        <v>139</v>
      </c>
      <c r="AD426">
        <v>173293</v>
      </c>
      <c r="AE426" t="s">
        <v>139</v>
      </c>
      <c r="AF426">
        <v>27030.400000000001</v>
      </c>
      <c r="AG426">
        <v>127173.3</v>
      </c>
      <c r="AH426" s="9">
        <v>1702474.2</v>
      </c>
      <c r="AI426">
        <v>1243259.3999999999</v>
      </c>
      <c r="AJ426">
        <v>295843.20000000001</v>
      </c>
      <c r="AK426" t="s">
        <v>139</v>
      </c>
      <c r="AL426">
        <v>253964.79999999999</v>
      </c>
      <c r="AM426" t="s">
        <v>139</v>
      </c>
      <c r="AN426">
        <v>100981.1</v>
      </c>
      <c r="AO426" s="9">
        <v>1572966.8</v>
      </c>
      <c r="AP426">
        <v>129507.4</v>
      </c>
      <c r="AQ426" t="s">
        <v>139</v>
      </c>
      <c r="AR426" t="s">
        <v>139</v>
      </c>
      <c r="AS426">
        <f t="shared" si="4"/>
        <v>1539102.5999999999</v>
      </c>
      <c r="AT426">
        <f t="shared" si="3"/>
        <v>1.1061473094776137</v>
      </c>
    </row>
    <row r="427" spans="1:46" x14ac:dyDescent="0.4">
      <c r="A427" s="3" t="s">
        <v>558</v>
      </c>
      <c r="B427">
        <v>1285375.2</v>
      </c>
      <c r="C427">
        <v>306842.8</v>
      </c>
      <c r="D427">
        <v>179799</v>
      </c>
      <c r="E427" t="s">
        <v>139</v>
      </c>
      <c r="F427" t="s">
        <v>139</v>
      </c>
      <c r="G427">
        <v>127043.8</v>
      </c>
      <c r="H427" t="s">
        <v>139</v>
      </c>
      <c r="I427" t="s">
        <v>139</v>
      </c>
      <c r="J427">
        <v>978532.4</v>
      </c>
      <c r="K427">
        <v>350307.7</v>
      </c>
      <c r="L427">
        <v>283586.7</v>
      </c>
      <c r="M427" t="s">
        <v>139</v>
      </c>
      <c r="N427" t="s">
        <v>139</v>
      </c>
      <c r="O427" t="s">
        <v>139</v>
      </c>
      <c r="P427" t="s">
        <v>139</v>
      </c>
      <c r="Q427" t="s">
        <v>139</v>
      </c>
      <c r="R427" t="s">
        <v>139</v>
      </c>
      <c r="S427" t="s">
        <v>139</v>
      </c>
      <c r="T427" t="s">
        <v>139</v>
      </c>
      <c r="U427">
        <v>182142.7</v>
      </c>
      <c r="V427" s="6" t="s">
        <v>139</v>
      </c>
      <c r="W427" t="s">
        <v>139</v>
      </c>
      <c r="X427" t="s">
        <v>139</v>
      </c>
      <c r="Y427" t="s">
        <v>139</v>
      </c>
      <c r="Z427">
        <v>162495.4</v>
      </c>
      <c r="AA427" t="s">
        <v>139</v>
      </c>
      <c r="AB427" t="s">
        <v>139</v>
      </c>
      <c r="AC427" t="s">
        <v>139</v>
      </c>
      <c r="AD427">
        <v>171758.6</v>
      </c>
      <c r="AE427" t="s">
        <v>139</v>
      </c>
      <c r="AF427">
        <v>26594.6</v>
      </c>
      <c r="AG427">
        <v>129503.7</v>
      </c>
      <c r="AH427" s="9">
        <v>1696849.5</v>
      </c>
      <c r="AI427">
        <v>1248223.6000000001</v>
      </c>
      <c r="AJ427">
        <v>298088.09999999998</v>
      </c>
      <c r="AK427" t="s">
        <v>139</v>
      </c>
      <c r="AL427">
        <v>254827.1</v>
      </c>
      <c r="AM427" t="s">
        <v>139</v>
      </c>
      <c r="AN427">
        <v>96491.4</v>
      </c>
      <c r="AO427" s="9">
        <v>1586847</v>
      </c>
      <c r="AP427">
        <v>110002.5</v>
      </c>
      <c r="AQ427" t="s">
        <v>139</v>
      </c>
      <c r="AR427" t="s">
        <v>139</v>
      </c>
      <c r="AS427">
        <f t="shared" si="4"/>
        <v>1546311.7000000002</v>
      </c>
      <c r="AT427">
        <f t="shared" si="3"/>
        <v>1.0973528170290632</v>
      </c>
    </row>
    <row r="428" spans="1:46" x14ac:dyDescent="0.4">
      <c r="A428" s="3" t="s">
        <v>559</v>
      </c>
      <c r="B428">
        <v>1290440.7</v>
      </c>
      <c r="C428">
        <v>305908.90000000002</v>
      </c>
      <c r="D428">
        <v>181071.5</v>
      </c>
      <c r="E428" t="s">
        <v>139</v>
      </c>
      <c r="F428" t="s">
        <v>139</v>
      </c>
      <c r="G428">
        <v>124837.4</v>
      </c>
      <c r="H428" t="s">
        <v>139</v>
      </c>
      <c r="I428" t="s">
        <v>139</v>
      </c>
      <c r="J428">
        <v>984531.8</v>
      </c>
      <c r="K428">
        <v>354845.5</v>
      </c>
      <c r="L428">
        <v>285400.2</v>
      </c>
      <c r="M428" t="s">
        <v>139</v>
      </c>
      <c r="N428" t="s">
        <v>139</v>
      </c>
      <c r="O428" t="s">
        <v>139</v>
      </c>
      <c r="P428" t="s">
        <v>139</v>
      </c>
      <c r="Q428" t="s">
        <v>139</v>
      </c>
      <c r="R428" t="s">
        <v>139</v>
      </c>
      <c r="S428" t="s">
        <v>139</v>
      </c>
      <c r="T428" t="s">
        <v>139</v>
      </c>
      <c r="U428">
        <v>182505.8</v>
      </c>
      <c r="V428" s="6" t="s">
        <v>139</v>
      </c>
      <c r="W428" t="s">
        <v>139</v>
      </c>
      <c r="X428" t="s">
        <v>139</v>
      </c>
      <c r="Y428" t="s">
        <v>139</v>
      </c>
      <c r="Z428">
        <v>161780.29999999999</v>
      </c>
      <c r="AA428" t="s">
        <v>139</v>
      </c>
      <c r="AB428" t="s">
        <v>139</v>
      </c>
      <c r="AC428" t="s">
        <v>139</v>
      </c>
      <c r="AD428">
        <v>171629.8</v>
      </c>
      <c r="AE428" t="s">
        <v>139</v>
      </c>
      <c r="AF428">
        <v>27298.9</v>
      </c>
      <c r="AG428">
        <v>130961.7</v>
      </c>
      <c r="AH428" s="9">
        <v>1705945.9</v>
      </c>
      <c r="AI428">
        <v>1256047.6000000001</v>
      </c>
      <c r="AJ428">
        <v>303535</v>
      </c>
      <c r="AK428" t="s">
        <v>139</v>
      </c>
      <c r="AL428">
        <v>257525.4</v>
      </c>
      <c r="AM428" t="s">
        <v>139</v>
      </c>
      <c r="AN428">
        <v>97050.1</v>
      </c>
      <c r="AO428" s="9">
        <v>1603457.9</v>
      </c>
      <c r="AP428">
        <v>102487.9</v>
      </c>
      <c r="AQ428" t="s">
        <v>139</v>
      </c>
      <c r="AR428" t="s">
        <v>139</v>
      </c>
      <c r="AS428">
        <f t="shared" si="4"/>
        <v>1559582.6</v>
      </c>
      <c r="AT428">
        <f t="shared" si="3"/>
        <v>1.0938477384910552</v>
      </c>
    </row>
    <row r="429" spans="1:46" x14ac:dyDescent="0.4">
      <c r="A429" s="3" t="s">
        <v>560</v>
      </c>
      <c r="B429">
        <v>1304242.8</v>
      </c>
      <c r="C429">
        <v>308529.2</v>
      </c>
      <c r="D429">
        <v>182700.7</v>
      </c>
      <c r="E429" t="s">
        <v>139</v>
      </c>
      <c r="F429" t="s">
        <v>139</v>
      </c>
      <c r="G429">
        <v>125828.4</v>
      </c>
      <c r="H429" t="s">
        <v>139</v>
      </c>
      <c r="I429" t="s">
        <v>139</v>
      </c>
      <c r="J429">
        <v>995713.6</v>
      </c>
      <c r="K429">
        <v>360713.7</v>
      </c>
      <c r="L429">
        <v>287562.3</v>
      </c>
      <c r="M429" t="s">
        <v>139</v>
      </c>
      <c r="N429" t="s">
        <v>139</v>
      </c>
      <c r="O429" t="s">
        <v>139</v>
      </c>
      <c r="P429" t="s">
        <v>139</v>
      </c>
      <c r="Q429" t="s">
        <v>139</v>
      </c>
      <c r="R429" t="s">
        <v>139</v>
      </c>
      <c r="S429" t="s">
        <v>139</v>
      </c>
      <c r="T429" t="s">
        <v>139</v>
      </c>
      <c r="U429">
        <v>182852.3</v>
      </c>
      <c r="V429" s="6" t="s">
        <v>139</v>
      </c>
      <c r="W429" t="s">
        <v>139</v>
      </c>
      <c r="X429" t="s">
        <v>139</v>
      </c>
      <c r="Y429" t="s">
        <v>139</v>
      </c>
      <c r="Z429">
        <v>164585.29999999999</v>
      </c>
      <c r="AA429" t="s">
        <v>139</v>
      </c>
      <c r="AB429" t="s">
        <v>139</v>
      </c>
      <c r="AC429" t="s">
        <v>139</v>
      </c>
      <c r="AD429">
        <v>170850.6</v>
      </c>
      <c r="AE429" t="s">
        <v>139</v>
      </c>
      <c r="AF429">
        <v>26897</v>
      </c>
      <c r="AG429">
        <v>130780</v>
      </c>
      <c r="AH429" s="9">
        <v>1718897.2</v>
      </c>
      <c r="AI429">
        <v>1260096.3999999999</v>
      </c>
      <c r="AJ429">
        <v>307095.7</v>
      </c>
      <c r="AK429" t="s">
        <v>139</v>
      </c>
      <c r="AL429">
        <v>262687.90000000002</v>
      </c>
      <c r="AM429" t="s">
        <v>139</v>
      </c>
      <c r="AN429">
        <v>96371.6</v>
      </c>
      <c r="AO429" s="9">
        <v>1612445.9</v>
      </c>
      <c r="AP429">
        <v>106451.3</v>
      </c>
      <c r="AQ429" t="s">
        <v>139</v>
      </c>
      <c r="AR429" t="s">
        <v>139</v>
      </c>
      <c r="AS429">
        <f t="shared" si="4"/>
        <v>1567192.0999999999</v>
      </c>
      <c r="AT429">
        <f t="shared" si="3"/>
        <v>1.0968005772872389</v>
      </c>
    </row>
    <row r="430" spans="1:46" x14ac:dyDescent="0.4">
      <c r="A430" s="3" t="s">
        <v>561</v>
      </c>
      <c r="B430">
        <v>1312177.5</v>
      </c>
      <c r="C430">
        <v>309680.5</v>
      </c>
      <c r="D430">
        <v>182075.9</v>
      </c>
      <c r="E430" t="s">
        <v>139</v>
      </c>
      <c r="F430" t="s">
        <v>139</v>
      </c>
      <c r="G430">
        <v>127604.6</v>
      </c>
      <c r="H430" t="s">
        <v>139</v>
      </c>
      <c r="I430" t="s">
        <v>139</v>
      </c>
      <c r="J430">
        <v>1002497.1</v>
      </c>
      <c r="K430">
        <v>363974.6</v>
      </c>
      <c r="L430">
        <v>290207</v>
      </c>
      <c r="M430" t="s">
        <v>139</v>
      </c>
      <c r="N430" t="s">
        <v>139</v>
      </c>
      <c r="O430" t="s">
        <v>139</v>
      </c>
      <c r="P430" t="s">
        <v>139</v>
      </c>
      <c r="Q430" t="s">
        <v>139</v>
      </c>
      <c r="R430" t="s">
        <v>139</v>
      </c>
      <c r="S430" t="s">
        <v>139</v>
      </c>
      <c r="T430" t="s">
        <v>139</v>
      </c>
      <c r="U430">
        <v>183228.1</v>
      </c>
      <c r="V430" s="6" t="s">
        <v>139</v>
      </c>
      <c r="W430" t="s">
        <v>139</v>
      </c>
      <c r="X430" t="s">
        <v>139</v>
      </c>
      <c r="Y430" t="s">
        <v>139</v>
      </c>
      <c r="Z430">
        <v>165087.4</v>
      </c>
      <c r="AA430" t="s">
        <v>139</v>
      </c>
      <c r="AB430" t="s">
        <v>139</v>
      </c>
      <c r="AC430" t="s">
        <v>139</v>
      </c>
      <c r="AD430">
        <v>169896.4</v>
      </c>
      <c r="AE430" t="s">
        <v>139</v>
      </c>
      <c r="AF430">
        <v>26513</v>
      </c>
      <c r="AG430">
        <v>132051.1</v>
      </c>
      <c r="AH430" s="9">
        <v>1729562.5</v>
      </c>
      <c r="AI430">
        <v>1270044.6000000001</v>
      </c>
      <c r="AJ430">
        <v>311758.8</v>
      </c>
      <c r="AK430" t="s">
        <v>139</v>
      </c>
      <c r="AL430">
        <v>267438.8</v>
      </c>
      <c r="AM430" t="s">
        <v>139</v>
      </c>
      <c r="AN430">
        <v>96876.6</v>
      </c>
      <c r="AO430" s="9">
        <v>1626932.9</v>
      </c>
      <c r="AP430">
        <v>102629.6</v>
      </c>
      <c r="AQ430" t="s">
        <v>139</v>
      </c>
      <c r="AR430" t="s">
        <v>139</v>
      </c>
      <c r="AS430">
        <f t="shared" si="4"/>
        <v>1581803.4000000001</v>
      </c>
      <c r="AT430">
        <f t="shared" si="3"/>
        <v>1.0934117982045051</v>
      </c>
    </row>
    <row r="431" spans="1:46" x14ac:dyDescent="0.4">
      <c r="A431" s="3" t="s">
        <v>562</v>
      </c>
      <c r="B431">
        <v>1326309.5</v>
      </c>
      <c r="C431">
        <v>313807.7</v>
      </c>
      <c r="D431">
        <v>186048.8</v>
      </c>
      <c r="E431" t="s">
        <v>139</v>
      </c>
      <c r="F431" t="s">
        <v>139</v>
      </c>
      <c r="G431">
        <v>127758.8</v>
      </c>
      <c r="H431" t="s">
        <v>139</v>
      </c>
      <c r="I431" t="s">
        <v>139</v>
      </c>
      <c r="J431">
        <v>1012501.8</v>
      </c>
      <c r="K431">
        <v>371056.5</v>
      </c>
      <c r="L431">
        <v>291825.59999999998</v>
      </c>
      <c r="M431" t="s">
        <v>139</v>
      </c>
      <c r="N431" t="s">
        <v>139</v>
      </c>
      <c r="O431" t="s">
        <v>139</v>
      </c>
      <c r="P431" t="s">
        <v>139</v>
      </c>
      <c r="Q431" t="s">
        <v>139</v>
      </c>
      <c r="R431" t="s">
        <v>139</v>
      </c>
      <c r="S431" t="s">
        <v>139</v>
      </c>
      <c r="T431" t="s">
        <v>139</v>
      </c>
      <c r="U431">
        <v>183980.7</v>
      </c>
      <c r="V431" s="6" t="s">
        <v>139</v>
      </c>
      <c r="W431" t="s">
        <v>139</v>
      </c>
      <c r="X431" t="s">
        <v>139</v>
      </c>
      <c r="Y431" t="s">
        <v>139</v>
      </c>
      <c r="Z431">
        <v>165639.1</v>
      </c>
      <c r="AA431" t="s">
        <v>139</v>
      </c>
      <c r="AB431" t="s">
        <v>139</v>
      </c>
      <c r="AC431" t="s">
        <v>139</v>
      </c>
      <c r="AD431">
        <v>164711.6</v>
      </c>
      <c r="AE431" t="s">
        <v>139</v>
      </c>
      <c r="AF431">
        <v>25825</v>
      </c>
      <c r="AG431">
        <v>133031</v>
      </c>
      <c r="AH431" s="9">
        <v>1737916.5</v>
      </c>
      <c r="AI431">
        <v>1277467.8</v>
      </c>
      <c r="AJ431">
        <v>316397.09999999998</v>
      </c>
      <c r="AK431" t="s">
        <v>139</v>
      </c>
      <c r="AL431">
        <v>264741.59999999998</v>
      </c>
      <c r="AM431" t="s">
        <v>139</v>
      </c>
      <c r="AN431">
        <v>97276.9</v>
      </c>
      <c r="AO431" s="9">
        <v>1632752.8</v>
      </c>
      <c r="AP431">
        <v>105163.7</v>
      </c>
      <c r="AQ431" t="s">
        <v>139</v>
      </c>
      <c r="AR431" t="s">
        <v>139</v>
      </c>
      <c r="AS431">
        <f t="shared" si="4"/>
        <v>1593864.9</v>
      </c>
      <c r="AT431">
        <f t="shared" si="3"/>
        <v>1.0903788018670844</v>
      </c>
    </row>
    <row r="432" spans="1:46" x14ac:dyDescent="0.4">
      <c r="A432" s="3" t="s">
        <v>563</v>
      </c>
      <c r="B432">
        <v>1334619.3999999999</v>
      </c>
      <c r="C432">
        <v>313855.90000000002</v>
      </c>
      <c r="D432">
        <v>184982.6</v>
      </c>
      <c r="E432" t="s">
        <v>139</v>
      </c>
      <c r="F432" t="s">
        <v>139</v>
      </c>
      <c r="G432">
        <v>128873.2</v>
      </c>
      <c r="H432" t="s">
        <v>139</v>
      </c>
      <c r="I432" t="s">
        <v>139</v>
      </c>
      <c r="J432">
        <v>1020763.6</v>
      </c>
      <c r="K432">
        <v>375982.3</v>
      </c>
      <c r="L432">
        <v>293820</v>
      </c>
      <c r="M432" t="s">
        <v>139</v>
      </c>
      <c r="N432" t="s">
        <v>139</v>
      </c>
      <c r="O432" t="s">
        <v>139</v>
      </c>
      <c r="P432" t="s">
        <v>139</v>
      </c>
      <c r="Q432" t="s">
        <v>139</v>
      </c>
      <c r="R432" t="s">
        <v>139</v>
      </c>
      <c r="S432" t="s">
        <v>139</v>
      </c>
      <c r="T432" t="s">
        <v>139</v>
      </c>
      <c r="U432">
        <v>184570</v>
      </c>
      <c r="V432" s="6" t="s">
        <v>139</v>
      </c>
      <c r="W432" t="s">
        <v>139</v>
      </c>
      <c r="X432" t="s">
        <v>139</v>
      </c>
      <c r="Y432" t="s">
        <v>139</v>
      </c>
      <c r="Z432">
        <v>166391.20000000001</v>
      </c>
      <c r="AA432" t="s">
        <v>139</v>
      </c>
      <c r="AB432" t="s">
        <v>139</v>
      </c>
      <c r="AC432" t="s">
        <v>139</v>
      </c>
      <c r="AD432">
        <v>167836.79999999999</v>
      </c>
      <c r="AE432" t="s">
        <v>139</v>
      </c>
      <c r="AF432">
        <v>25515.599999999999</v>
      </c>
      <c r="AG432">
        <v>135718.39999999999</v>
      </c>
      <c r="AH432" s="9">
        <v>1753322.3</v>
      </c>
      <c r="AI432">
        <v>1289543.1000000001</v>
      </c>
      <c r="AJ432">
        <v>318952.59999999998</v>
      </c>
      <c r="AK432" t="s">
        <v>139</v>
      </c>
      <c r="AL432">
        <v>266132.09999999998</v>
      </c>
      <c r="AM432" t="s">
        <v>139</v>
      </c>
      <c r="AN432">
        <v>98250.3</v>
      </c>
      <c r="AO432" s="9">
        <v>1648068.4</v>
      </c>
      <c r="AP432">
        <v>105254</v>
      </c>
      <c r="AQ432" t="s">
        <v>139</v>
      </c>
      <c r="AR432" t="s">
        <v>139</v>
      </c>
      <c r="AS432">
        <f t="shared" si="4"/>
        <v>1608495.7000000002</v>
      </c>
      <c r="AT432">
        <f t="shared" si="3"/>
        <v>1.0900385372494312</v>
      </c>
    </row>
    <row r="433" spans="1:46" x14ac:dyDescent="0.4">
      <c r="A433" s="3" t="s">
        <v>564</v>
      </c>
      <c r="B433">
        <v>1342955.1</v>
      </c>
      <c r="C433">
        <v>315673.40000000002</v>
      </c>
      <c r="D433">
        <v>186802.5</v>
      </c>
      <c r="E433" t="s">
        <v>139</v>
      </c>
      <c r="F433" t="s">
        <v>139</v>
      </c>
      <c r="G433">
        <v>128870.9</v>
      </c>
      <c r="H433" t="s">
        <v>139</v>
      </c>
      <c r="I433" t="s">
        <v>139</v>
      </c>
      <c r="J433">
        <v>1027281.7</v>
      </c>
      <c r="K433">
        <v>380564.2</v>
      </c>
      <c r="L433">
        <v>295646.59999999998</v>
      </c>
      <c r="M433" t="s">
        <v>139</v>
      </c>
      <c r="N433" t="s">
        <v>139</v>
      </c>
      <c r="O433" t="s">
        <v>139</v>
      </c>
      <c r="P433" t="s">
        <v>139</v>
      </c>
      <c r="Q433" t="s">
        <v>139</v>
      </c>
      <c r="R433" t="s">
        <v>139</v>
      </c>
      <c r="S433" t="s">
        <v>139</v>
      </c>
      <c r="T433" t="s">
        <v>139</v>
      </c>
      <c r="U433">
        <v>185495</v>
      </c>
      <c r="V433" s="6" t="s">
        <v>139</v>
      </c>
      <c r="W433" t="s">
        <v>139</v>
      </c>
      <c r="X433" t="s">
        <v>139</v>
      </c>
      <c r="Y433" t="s">
        <v>139</v>
      </c>
      <c r="Z433">
        <v>165575.9</v>
      </c>
      <c r="AA433" t="s">
        <v>139</v>
      </c>
      <c r="AB433" t="s">
        <v>139</v>
      </c>
      <c r="AC433" t="s">
        <v>139</v>
      </c>
      <c r="AD433">
        <v>167828.2</v>
      </c>
      <c r="AE433" t="s">
        <v>139</v>
      </c>
      <c r="AF433">
        <v>26682.2</v>
      </c>
      <c r="AG433">
        <v>138114.29999999999</v>
      </c>
      <c r="AH433" s="9">
        <v>1762717.1</v>
      </c>
      <c r="AI433">
        <v>1295361.3999999999</v>
      </c>
      <c r="AJ433">
        <v>322496.7</v>
      </c>
      <c r="AK433" t="s">
        <v>139</v>
      </c>
      <c r="AL433">
        <v>263322</v>
      </c>
      <c r="AM433" t="s">
        <v>139</v>
      </c>
      <c r="AN433">
        <v>100096</v>
      </c>
      <c r="AO433" s="9">
        <v>1653514.4</v>
      </c>
      <c r="AP433">
        <v>109202.7</v>
      </c>
      <c r="AQ433" t="s">
        <v>139</v>
      </c>
      <c r="AR433" t="s">
        <v>139</v>
      </c>
      <c r="AS433">
        <f t="shared" si="4"/>
        <v>1617858.0999999999</v>
      </c>
      <c r="AT433">
        <f t="shared" si="3"/>
        <v>1.0895375187725056</v>
      </c>
    </row>
    <row r="434" spans="1:46" x14ac:dyDescent="0.4">
      <c r="A434" s="3" t="s">
        <v>565</v>
      </c>
      <c r="B434">
        <v>1349219.9</v>
      </c>
      <c r="C434">
        <v>316846</v>
      </c>
      <c r="D434">
        <v>187888</v>
      </c>
      <c r="E434" t="s">
        <v>139</v>
      </c>
      <c r="F434" t="s">
        <v>139</v>
      </c>
      <c r="G434">
        <v>128958</v>
      </c>
      <c r="H434" t="s">
        <v>139</v>
      </c>
      <c r="I434" t="s">
        <v>139</v>
      </c>
      <c r="J434">
        <v>1032373.9</v>
      </c>
      <c r="K434">
        <v>384043.7</v>
      </c>
      <c r="L434">
        <v>295958.2</v>
      </c>
      <c r="M434" t="s">
        <v>139</v>
      </c>
      <c r="N434" t="s">
        <v>139</v>
      </c>
      <c r="O434" t="s">
        <v>139</v>
      </c>
      <c r="P434" t="s">
        <v>139</v>
      </c>
      <c r="Q434" t="s">
        <v>139</v>
      </c>
      <c r="R434" t="s">
        <v>139</v>
      </c>
      <c r="S434" t="s">
        <v>139</v>
      </c>
      <c r="T434" t="s">
        <v>139</v>
      </c>
      <c r="U434">
        <v>185631.3</v>
      </c>
      <c r="V434" s="6" t="s">
        <v>139</v>
      </c>
      <c r="W434" t="s">
        <v>139</v>
      </c>
      <c r="X434" t="s">
        <v>139</v>
      </c>
      <c r="Y434" t="s">
        <v>139</v>
      </c>
      <c r="Z434">
        <v>166740.70000000001</v>
      </c>
      <c r="AA434" t="s">
        <v>139</v>
      </c>
      <c r="AB434" t="s">
        <v>139</v>
      </c>
      <c r="AC434" t="s">
        <v>139</v>
      </c>
      <c r="AD434">
        <v>168655</v>
      </c>
      <c r="AE434" t="s">
        <v>139</v>
      </c>
      <c r="AF434">
        <v>27008.9</v>
      </c>
      <c r="AG434">
        <v>141256.6</v>
      </c>
      <c r="AH434" s="9">
        <v>1776690.8</v>
      </c>
      <c r="AI434">
        <v>1308006.2</v>
      </c>
      <c r="AJ434">
        <v>327233.5</v>
      </c>
      <c r="AK434" t="s">
        <v>139</v>
      </c>
      <c r="AL434">
        <v>264529.2</v>
      </c>
      <c r="AM434" t="s">
        <v>139</v>
      </c>
      <c r="AN434">
        <v>100696</v>
      </c>
      <c r="AO434" s="9">
        <v>1665963.9</v>
      </c>
      <c r="AP434">
        <v>110726.9</v>
      </c>
      <c r="AQ434" t="s">
        <v>139</v>
      </c>
      <c r="AR434" t="s">
        <v>139</v>
      </c>
      <c r="AS434">
        <f t="shared" si="4"/>
        <v>1635239.7</v>
      </c>
      <c r="AT434">
        <f t="shared" si="3"/>
        <v>1.0865017526176743</v>
      </c>
    </row>
    <row r="435" spans="1:46" x14ac:dyDescent="0.4">
      <c r="A435" s="3" t="s">
        <v>566</v>
      </c>
      <c r="B435">
        <v>1355417.3</v>
      </c>
      <c r="C435">
        <v>318617.59999999998</v>
      </c>
      <c r="D435">
        <v>189833.9</v>
      </c>
      <c r="E435" t="s">
        <v>139</v>
      </c>
      <c r="F435" t="s">
        <v>139</v>
      </c>
      <c r="G435">
        <v>128783.7</v>
      </c>
      <c r="H435" t="s">
        <v>139</v>
      </c>
      <c r="I435" t="s">
        <v>139</v>
      </c>
      <c r="J435">
        <v>1036799.7</v>
      </c>
      <c r="K435">
        <v>385859.3</v>
      </c>
      <c r="L435">
        <v>297087.59999999998</v>
      </c>
      <c r="M435" t="s">
        <v>139</v>
      </c>
      <c r="N435" t="s">
        <v>139</v>
      </c>
      <c r="O435" t="s">
        <v>139</v>
      </c>
      <c r="P435" t="s">
        <v>139</v>
      </c>
      <c r="Q435" t="s">
        <v>139</v>
      </c>
      <c r="R435" t="s">
        <v>139</v>
      </c>
      <c r="S435" t="s">
        <v>139</v>
      </c>
      <c r="T435" t="s">
        <v>139</v>
      </c>
      <c r="U435">
        <v>185890.2</v>
      </c>
      <c r="V435" s="6" t="s">
        <v>139</v>
      </c>
      <c r="W435" t="s">
        <v>139</v>
      </c>
      <c r="X435" t="s">
        <v>139</v>
      </c>
      <c r="Y435" t="s">
        <v>139</v>
      </c>
      <c r="Z435">
        <v>167962.6</v>
      </c>
      <c r="AA435" t="s">
        <v>139</v>
      </c>
      <c r="AB435" t="s">
        <v>139</v>
      </c>
      <c r="AC435" t="s">
        <v>139</v>
      </c>
      <c r="AD435">
        <v>177805</v>
      </c>
      <c r="AE435" t="s">
        <v>139</v>
      </c>
      <c r="AF435">
        <v>27378.7</v>
      </c>
      <c r="AG435">
        <v>144843.20000000001</v>
      </c>
      <c r="AH435" s="9">
        <v>1798259.3</v>
      </c>
      <c r="AI435">
        <v>1321932.2</v>
      </c>
      <c r="AJ435">
        <v>330309.59999999998</v>
      </c>
      <c r="AK435" t="s">
        <v>139</v>
      </c>
      <c r="AL435">
        <v>271747.5</v>
      </c>
      <c r="AM435" t="s">
        <v>139</v>
      </c>
      <c r="AN435">
        <v>102176</v>
      </c>
      <c r="AO435" s="9">
        <v>1686302.6</v>
      </c>
      <c r="AP435">
        <v>111956.7</v>
      </c>
      <c r="AQ435" t="s">
        <v>139</v>
      </c>
      <c r="AR435" t="s">
        <v>139</v>
      </c>
      <c r="AS435">
        <f t="shared" si="4"/>
        <v>1652241.7999999998</v>
      </c>
      <c r="AT435">
        <f t="shared" si="3"/>
        <v>1.0883753818599675</v>
      </c>
    </row>
    <row r="436" spans="1:46" x14ac:dyDescent="0.4">
      <c r="A436" s="3" t="s">
        <v>567</v>
      </c>
      <c r="B436">
        <v>1364473.1</v>
      </c>
      <c r="C436">
        <v>321692.09999999998</v>
      </c>
      <c r="D436">
        <v>192809.60000000001</v>
      </c>
      <c r="E436" t="s">
        <v>139</v>
      </c>
      <c r="F436" t="s">
        <v>139</v>
      </c>
      <c r="G436">
        <v>128882.5</v>
      </c>
      <c r="H436" t="s">
        <v>139</v>
      </c>
      <c r="I436" t="s">
        <v>139</v>
      </c>
      <c r="J436">
        <v>1042781</v>
      </c>
      <c r="K436">
        <v>391038.5</v>
      </c>
      <c r="L436">
        <v>297952.40000000002</v>
      </c>
      <c r="M436" t="s">
        <v>139</v>
      </c>
      <c r="N436" t="s">
        <v>139</v>
      </c>
      <c r="O436" t="s">
        <v>139</v>
      </c>
      <c r="P436" t="s">
        <v>139</v>
      </c>
      <c r="Q436" t="s">
        <v>139</v>
      </c>
      <c r="R436" t="s">
        <v>139</v>
      </c>
      <c r="S436" t="s">
        <v>139</v>
      </c>
      <c r="T436" t="s">
        <v>139</v>
      </c>
      <c r="U436">
        <v>186075.1</v>
      </c>
      <c r="V436" s="6" t="s">
        <v>139</v>
      </c>
      <c r="W436" t="s">
        <v>139</v>
      </c>
      <c r="X436" t="s">
        <v>139</v>
      </c>
      <c r="Y436" t="s">
        <v>139</v>
      </c>
      <c r="Z436">
        <v>167714.9</v>
      </c>
      <c r="AA436" t="s">
        <v>139</v>
      </c>
      <c r="AB436" t="s">
        <v>139</v>
      </c>
      <c r="AC436" t="s">
        <v>139</v>
      </c>
      <c r="AD436">
        <v>177081.4</v>
      </c>
      <c r="AE436" t="s">
        <v>139</v>
      </c>
      <c r="AF436">
        <v>27983.599999999999</v>
      </c>
      <c r="AG436">
        <v>143624.20000000001</v>
      </c>
      <c r="AH436" s="9">
        <v>1807232.1</v>
      </c>
      <c r="AI436">
        <v>1332912.8</v>
      </c>
      <c r="AJ436">
        <v>331954</v>
      </c>
      <c r="AK436" t="s">
        <v>139</v>
      </c>
      <c r="AL436">
        <v>273943.40000000002</v>
      </c>
      <c r="AM436" t="s">
        <v>139</v>
      </c>
      <c r="AN436">
        <v>102199.7</v>
      </c>
      <c r="AO436" s="9">
        <v>1699166.3</v>
      </c>
      <c r="AP436">
        <v>108065.8</v>
      </c>
      <c r="AQ436" t="s">
        <v>139</v>
      </c>
      <c r="AR436" t="s">
        <v>139</v>
      </c>
      <c r="AS436">
        <f t="shared" si="4"/>
        <v>1664866.8</v>
      </c>
      <c r="AT436">
        <f t="shared" si="3"/>
        <v>1.0855115256067331</v>
      </c>
    </row>
    <row r="437" spans="1:46" x14ac:dyDescent="0.4">
      <c r="A437" s="3" t="s">
        <v>568</v>
      </c>
      <c r="B437">
        <v>1374366.5</v>
      </c>
      <c r="C437">
        <v>325358.7</v>
      </c>
      <c r="D437">
        <v>196536.9</v>
      </c>
      <c r="E437" t="s">
        <v>139</v>
      </c>
      <c r="F437" t="s">
        <v>139</v>
      </c>
      <c r="G437">
        <v>128821.7</v>
      </c>
      <c r="H437" t="s">
        <v>139</v>
      </c>
      <c r="I437" t="s">
        <v>139</v>
      </c>
      <c r="J437">
        <v>1049007.8</v>
      </c>
      <c r="K437">
        <v>392391.7</v>
      </c>
      <c r="L437">
        <v>298668</v>
      </c>
      <c r="M437" t="s">
        <v>139</v>
      </c>
      <c r="N437" t="s">
        <v>139</v>
      </c>
      <c r="O437" t="s">
        <v>139</v>
      </c>
      <c r="P437" t="s">
        <v>139</v>
      </c>
      <c r="Q437" t="s">
        <v>139</v>
      </c>
      <c r="R437" t="s">
        <v>139</v>
      </c>
      <c r="S437" t="s">
        <v>139</v>
      </c>
      <c r="T437" t="s">
        <v>139</v>
      </c>
      <c r="U437">
        <v>186443.1</v>
      </c>
      <c r="V437" s="6" t="s">
        <v>139</v>
      </c>
      <c r="W437" t="s">
        <v>139</v>
      </c>
      <c r="X437" t="s">
        <v>139</v>
      </c>
      <c r="Y437" t="s">
        <v>139</v>
      </c>
      <c r="Z437">
        <v>171505</v>
      </c>
      <c r="AA437" t="s">
        <v>139</v>
      </c>
      <c r="AB437" t="s">
        <v>139</v>
      </c>
      <c r="AC437" t="s">
        <v>139</v>
      </c>
      <c r="AD437">
        <v>182065</v>
      </c>
      <c r="AE437" t="s">
        <v>139</v>
      </c>
      <c r="AF437">
        <v>28046.7</v>
      </c>
      <c r="AG437">
        <v>146011.9</v>
      </c>
      <c r="AH437" s="9">
        <v>1825895.1</v>
      </c>
      <c r="AI437">
        <v>1345263.6</v>
      </c>
      <c r="AJ437">
        <v>332606.5</v>
      </c>
      <c r="AK437" t="s">
        <v>139</v>
      </c>
      <c r="AL437">
        <v>277839.90000000002</v>
      </c>
      <c r="AM437" t="s">
        <v>139</v>
      </c>
      <c r="AN437">
        <v>104028.6</v>
      </c>
      <c r="AO437" s="9">
        <v>1717194.4</v>
      </c>
      <c r="AP437">
        <v>108700.7</v>
      </c>
      <c r="AQ437" t="s">
        <v>139</v>
      </c>
      <c r="AR437" t="s">
        <v>139</v>
      </c>
      <c r="AS437">
        <f t="shared" si="4"/>
        <v>1677870.1</v>
      </c>
      <c r="AT437">
        <f t="shared" si="3"/>
        <v>1.0882219666468818</v>
      </c>
    </row>
    <row r="438" spans="1:46" x14ac:dyDescent="0.4">
      <c r="A438" s="3" t="s">
        <v>569</v>
      </c>
      <c r="B438">
        <v>1374841.4</v>
      </c>
      <c r="C438">
        <v>327263.8</v>
      </c>
      <c r="D438">
        <v>198712.7</v>
      </c>
      <c r="E438" t="s">
        <v>139</v>
      </c>
      <c r="F438" t="s">
        <v>139</v>
      </c>
      <c r="G438">
        <v>128551.1</v>
      </c>
      <c r="H438" t="s">
        <v>139</v>
      </c>
      <c r="I438" t="s">
        <v>139</v>
      </c>
      <c r="J438">
        <v>1047577.6</v>
      </c>
      <c r="K438">
        <v>391975.1</v>
      </c>
      <c r="L438">
        <v>299242.40000000002</v>
      </c>
      <c r="M438" t="s">
        <v>139</v>
      </c>
      <c r="N438" t="s">
        <v>139</v>
      </c>
      <c r="O438" t="s">
        <v>139</v>
      </c>
      <c r="P438" t="s">
        <v>139</v>
      </c>
      <c r="Q438" t="s">
        <v>139</v>
      </c>
      <c r="R438" t="s">
        <v>139</v>
      </c>
      <c r="S438" t="s">
        <v>139</v>
      </c>
      <c r="T438" t="s">
        <v>139</v>
      </c>
      <c r="U438">
        <v>186821.2</v>
      </c>
      <c r="V438" s="6" t="s">
        <v>139</v>
      </c>
      <c r="W438" t="s">
        <v>139</v>
      </c>
      <c r="X438" t="s">
        <v>139</v>
      </c>
      <c r="Y438" t="s">
        <v>139</v>
      </c>
      <c r="Z438">
        <v>169538.9</v>
      </c>
      <c r="AA438" t="s">
        <v>139</v>
      </c>
      <c r="AB438" t="s">
        <v>139</v>
      </c>
      <c r="AC438" t="s">
        <v>139</v>
      </c>
      <c r="AD438">
        <v>184072.2</v>
      </c>
      <c r="AE438" t="s">
        <v>139</v>
      </c>
      <c r="AF438">
        <v>26867.200000000001</v>
      </c>
      <c r="AG438">
        <v>148357.20000000001</v>
      </c>
      <c r="AH438" s="9">
        <v>1826029.7</v>
      </c>
      <c r="AI438">
        <v>1349786.6</v>
      </c>
      <c r="AJ438">
        <v>330772.09999999998</v>
      </c>
      <c r="AK438" t="s">
        <v>139</v>
      </c>
      <c r="AL438">
        <v>274664</v>
      </c>
      <c r="AM438" t="s">
        <v>139</v>
      </c>
      <c r="AN438">
        <v>105524</v>
      </c>
      <c r="AO438" s="9">
        <v>1721059</v>
      </c>
      <c r="AP438">
        <v>104970.7</v>
      </c>
      <c r="AQ438" t="s">
        <v>139</v>
      </c>
      <c r="AR438" t="s">
        <v>139</v>
      </c>
      <c r="AS438">
        <f t="shared" si="4"/>
        <v>1680558.7000000002</v>
      </c>
      <c r="AT438">
        <f t="shared" si="3"/>
        <v>1.0865610942361013</v>
      </c>
    </row>
    <row r="439" spans="1:46" x14ac:dyDescent="0.4">
      <c r="A439" s="3" t="s">
        <v>570</v>
      </c>
      <c r="B439">
        <v>1382509.7</v>
      </c>
      <c r="C439">
        <v>333829.3</v>
      </c>
      <c r="D439">
        <v>202449.8</v>
      </c>
      <c r="E439" t="s">
        <v>139</v>
      </c>
      <c r="F439" t="s">
        <v>139</v>
      </c>
      <c r="G439">
        <v>131379.5</v>
      </c>
      <c r="H439" t="s">
        <v>139</v>
      </c>
      <c r="I439" t="s">
        <v>139</v>
      </c>
      <c r="J439">
        <v>1048680.3999999999</v>
      </c>
      <c r="K439">
        <v>392041.9</v>
      </c>
      <c r="L439">
        <v>299653</v>
      </c>
      <c r="M439" t="s">
        <v>139</v>
      </c>
      <c r="N439" t="s">
        <v>139</v>
      </c>
      <c r="O439" t="s">
        <v>139</v>
      </c>
      <c r="P439" t="s">
        <v>139</v>
      </c>
      <c r="Q439" t="s">
        <v>139</v>
      </c>
      <c r="R439" t="s">
        <v>139</v>
      </c>
      <c r="S439" t="s">
        <v>139</v>
      </c>
      <c r="T439" t="s">
        <v>139</v>
      </c>
      <c r="U439">
        <v>187852.5</v>
      </c>
      <c r="V439" s="6" t="s">
        <v>139</v>
      </c>
      <c r="W439" t="s">
        <v>139</v>
      </c>
      <c r="X439" t="s">
        <v>139</v>
      </c>
      <c r="Y439" t="s">
        <v>139</v>
      </c>
      <c r="Z439">
        <v>169133</v>
      </c>
      <c r="AA439" t="s">
        <v>139</v>
      </c>
      <c r="AB439" t="s">
        <v>139</v>
      </c>
      <c r="AC439" t="s">
        <v>139</v>
      </c>
      <c r="AD439">
        <v>189803</v>
      </c>
      <c r="AE439" t="s">
        <v>139</v>
      </c>
      <c r="AF439">
        <v>26685.1</v>
      </c>
      <c r="AG439">
        <v>150271.79999999999</v>
      </c>
      <c r="AH439" s="9">
        <v>1840845.3</v>
      </c>
      <c r="AI439">
        <v>1365510.7</v>
      </c>
      <c r="AJ439">
        <v>326736.8</v>
      </c>
      <c r="AK439" t="s">
        <v>139</v>
      </c>
      <c r="AL439">
        <v>280613.09999999998</v>
      </c>
      <c r="AM439" t="s">
        <v>139</v>
      </c>
      <c r="AN439">
        <v>106826.9</v>
      </c>
      <c r="AO439" s="9">
        <v>1742530.7</v>
      </c>
      <c r="AP439">
        <v>98314.7</v>
      </c>
      <c r="AQ439" t="s">
        <v>139</v>
      </c>
      <c r="AR439" t="s">
        <v>139</v>
      </c>
      <c r="AS439">
        <f t="shared" si="4"/>
        <v>1692247.5</v>
      </c>
      <c r="AT439">
        <f t="shared" si="3"/>
        <v>1.0878109141836523</v>
      </c>
    </row>
    <row r="440" spans="1:46" x14ac:dyDescent="0.4">
      <c r="A440" s="3" t="s">
        <v>571</v>
      </c>
      <c r="B440">
        <v>1393630.4</v>
      </c>
      <c r="C440">
        <v>339716.1</v>
      </c>
      <c r="D440">
        <v>208404.8</v>
      </c>
      <c r="E440" t="s">
        <v>139</v>
      </c>
      <c r="F440" t="s">
        <v>139</v>
      </c>
      <c r="G440">
        <v>131311.20000000001</v>
      </c>
      <c r="H440" t="s">
        <v>139</v>
      </c>
      <c r="I440" t="s">
        <v>139</v>
      </c>
      <c r="J440">
        <v>1053914.3999999999</v>
      </c>
      <c r="K440">
        <v>393186.4</v>
      </c>
      <c r="L440">
        <v>302090.5</v>
      </c>
      <c r="M440" t="s">
        <v>139</v>
      </c>
      <c r="N440" t="s">
        <v>139</v>
      </c>
      <c r="O440" t="s">
        <v>139</v>
      </c>
      <c r="P440" t="s">
        <v>139</v>
      </c>
      <c r="Q440" t="s">
        <v>139</v>
      </c>
      <c r="R440" t="s">
        <v>139</v>
      </c>
      <c r="S440" t="s">
        <v>139</v>
      </c>
      <c r="T440" t="s">
        <v>139</v>
      </c>
      <c r="U440">
        <v>187985</v>
      </c>
      <c r="V440" s="6" t="s">
        <v>139</v>
      </c>
      <c r="W440" t="s">
        <v>139</v>
      </c>
      <c r="X440" t="s">
        <v>139</v>
      </c>
      <c r="Y440" t="s">
        <v>139</v>
      </c>
      <c r="Z440">
        <v>170652.5</v>
      </c>
      <c r="AA440" t="s">
        <v>139</v>
      </c>
      <c r="AB440" t="s">
        <v>139</v>
      </c>
      <c r="AC440" t="s">
        <v>139</v>
      </c>
      <c r="AD440">
        <v>191481.7</v>
      </c>
      <c r="AE440" t="s">
        <v>139</v>
      </c>
      <c r="AF440">
        <v>26450.2</v>
      </c>
      <c r="AG440">
        <v>155171.79999999999</v>
      </c>
      <c r="AH440" s="9">
        <v>1859874.9</v>
      </c>
      <c r="AI440">
        <v>1383414.8</v>
      </c>
      <c r="AJ440">
        <v>320401.2</v>
      </c>
      <c r="AK440" t="s">
        <v>139</v>
      </c>
      <c r="AL440">
        <v>286740.3</v>
      </c>
      <c r="AM440" t="s">
        <v>139</v>
      </c>
      <c r="AN440">
        <v>107847.6</v>
      </c>
      <c r="AO440" s="9">
        <v>1763366.7</v>
      </c>
      <c r="AP440">
        <v>96508.3</v>
      </c>
      <c r="AQ440" t="s">
        <v>139</v>
      </c>
      <c r="AR440" t="s">
        <v>139</v>
      </c>
      <c r="AS440">
        <f t="shared" si="4"/>
        <v>1703816</v>
      </c>
      <c r="AT440">
        <f t="shared" si="3"/>
        <v>1.091593751907483</v>
      </c>
    </row>
    <row r="441" spans="1:46" x14ac:dyDescent="0.4">
      <c r="A441" s="3" t="s">
        <v>572</v>
      </c>
      <c r="B441">
        <v>1401392.8</v>
      </c>
      <c r="C441">
        <v>345698.2</v>
      </c>
      <c r="D441">
        <v>213407.9</v>
      </c>
      <c r="E441" t="s">
        <v>139</v>
      </c>
      <c r="F441" t="s">
        <v>139</v>
      </c>
      <c r="G441">
        <v>132290.29999999999</v>
      </c>
      <c r="H441" t="s">
        <v>139</v>
      </c>
      <c r="I441" t="s">
        <v>139</v>
      </c>
      <c r="J441">
        <v>1055694.6000000001</v>
      </c>
      <c r="K441">
        <v>393355.6</v>
      </c>
      <c r="L441">
        <v>303162.3</v>
      </c>
      <c r="M441" t="s">
        <v>139</v>
      </c>
      <c r="N441" t="s">
        <v>139</v>
      </c>
      <c r="O441" t="s">
        <v>139</v>
      </c>
      <c r="P441" t="s">
        <v>139</v>
      </c>
      <c r="Q441" t="s">
        <v>139</v>
      </c>
      <c r="R441" t="s">
        <v>139</v>
      </c>
      <c r="S441" t="s">
        <v>139</v>
      </c>
      <c r="T441" t="s">
        <v>139</v>
      </c>
      <c r="U441">
        <v>188015.5</v>
      </c>
      <c r="V441" s="6" t="s">
        <v>139</v>
      </c>
      <c r="W441" t="s">
        <v>139</v>
      </c>
      <c r="X441" t="s">
        <v>139</v>
      </c>
      <c r="Y441" t="s">
        <v>139</v>
      </c>
      <c r="Z441">
        <v>171161.2</v>
      </c>
      <c r="AA441" t="s">
        <v>139</v>
      </c>
      <c r="AB441" t="s">
        <v>139</v>
      </c>
      <c r="AC441" t="s">
        <v>139</v>
      </c>
      <c r="AD441">
        <v>190802.2</v>
      </c>
      <c r="AE441" t="s">
        <v>139</v>
      </c>
      <c r="AF441">
        <v>25841.7</v>
      </c>
      <c r="AG441">
        <v>153768.5</v>
      </c>
      <c r="AH441" s="9">
        <v>1863115.8</v>
      </c>
      <c r="AI441">
        <v>1395805.4</v>
      </c>
      <c r="AJ441">
        <v>315446.90000000002</v>
      </c>
      <c r="AK441" t="s">
        <v>139</v>
      </c>
      <c r="AL441">
        <v>277517.90000000002</v>
      </c>
      <c r="AM441" t="s">
        <v>139</v>
      </c>
      <c r="AN441">
        <v>106421.1</v>
      </c>
      <c r="AO441" s="9">
        <v>1765066.8</v>
      </c>
      <c r="AP441">
        <v>98049.1</v>
      </c>
      <c r="AQ441" t="s">
        <v>139</v>
      </c>
      <c r="AR441" t="s">
        <v>139</v>
      </c>
      <c r="AS441">
        <f t="shared" si="4"/>
        <v>1711252.2999999998</v>
      </c>
      <c r="AT441">
        <f t="shared" si="3"/>
        <v>1.0887440735653067</v>
      </c>
    </row>
    <row r="442" spans="1:46" x14ac:dyDescent="0.4">
      <c r="A442" s="3" t="s">
        <v>573</v>
      </c>
      <c r="B442">
        <v>1415405.7</v>
      </c>
      <c r="C442">
        <v>354403.6</v>
      </c>
      <c r="D442">
        <v>221696.2</v>
      </c>
      <c r="E442" t="s">
        <v>139</v>
      </c>
      <c r="F442" t="s">
        <v>139</v>
      </c>
      <c r="G442">
        <v>132707.4</v>
      </c>
      <c r="H442" t="s">
        <v>139</v>
      </c>
      <c r="I442" t="s">
        <v>139</v>
      </c>
      <c r="J442">
        <v>1061002.1000000001</v>
      </c>
      <c r="K442">
        <v>393804.79999999999</v>
      </c>
      <c r="L442">
        <v>304328.2</v>
      </c>
      <c r="M442" t="s">
        <v>139</v>
      </c>
      <c r="N442" t="s">
        <v>139</v>
      </c>
      <c r="O442" t="s">
        <v>139</v>
      </c>
      <c r="P442" t="s">
        <v>139</v>
      </c>
      <c r="Q442" t="s">
        <v>139</v>
      </c>
      <c r="R442" t="s">
        <v>139</v>
      </c>
      <c r="S442" t="s">
        <v>139</v>
      </c>
      <c r="T442" t="s">
        <v>139</v>
      </c>
      <c r="U442">
        <v>189255.5</v>
      </c>
      <c r="V442" s="6" t="s">
        <v>139</v>
      </c>
      <c r="W442" t="s">
        <v>139</v>
      </c>
      <c r="X442" t="s">
        <v>139</v>
      </c>
      <c r="Y442" t="s">
        <v>139</v>
      </c>
      <c r="Z442">
        <v>173613.6</v>
      </c>
      <c r="AA442" t="s">
        <v>139</v>
      </c>
      <c r="AB442" t="s">
        <v>139</v>
      </c>
      <c r="AC442" t="s">
        <v>139</v>
      </c>
      <c r="AD442">
        <v>189513.7</v>
      </c>
      <c r="AE442" t="s">
        <v>139</v>
      </c>
      <c r="AF442">
        <v>25850.3</v>
      </c>
      <c r="AG442">
        <v>150704</v>
      </c>
      <c r="AH442" s="9">
        <v>1870249.3</v>
      </c>
      <c r="AI442">
        <v>1406033.4</v>
      </c>
      <c r="AJ442">
        <v>313237.2</v>
      </c>
      <c r="AK442" t="s">
        <v>139</v>
      </c>
      <c r="AL442">
        <v>279266</v>
      </c>
      <c r="AM442" t="s">
        <v>139</v>
      </c>
      <c r="AN442">
        <v>103562.9</v>
      </c>
      <c r="AO442" s="9">
        <v>1775658.8</v>
      </c>
      <c r="AP442">
        <v>94590.5</v>
      </c>
      <c r="AQ442" t="s">
        <v>139</v>
      </c>
      <c r="AR442" t="s">
        <v>139</v>
      </c>
      <c r="AS442">
        <f t="shared" si="4"/>
        <v>1719270.5999999999</v>
      </c>
      <c r="AT442">
        <f t="shared" si="3"/>
        <v>1.0878155538749981</v>
      </c>
    </row>
    <row r="443" spans="1:46" x14ac:dyDescent="0.4">
      <c r="A443" s="3" t="s">
        <v>574</v>
      </c>
      <c r="B443">
        <v>1427493.4</v>
      </c>
      <c r="C443">
        <v>363315.4</v>
      </c>
      <c r="D443">
        <v>228925.6</v>
      </c>
      <c r="E443" t="s">
        <v>139</v>
      </c>
      <c r="F443" t="s">
        <v>139</v>
      </c>
      <c r="G443">
        <v>134389.79999999999</v>
      </c>
      <c r="H443" t="s">
        <v>139</v>
      </c>
      <c r="I443" t="s">
        <v>139</v>
      </c>
      <c r="J443">
        <v>1064178</v>
      </c>
      <c r="K443">
        <v>392425.9</v>
      </c>
      <c r="L443">
        <v>306256.7</v>
      </c>
      <c r="M443" t="s">
        <v>139</v>
      </c>
      <c r="N443" t="s">
        <v>139</v>
      </c>
      <c r="O443" t="s">
        <v>139</v>
      </c>
      <c r="P443" t="s">
        <v>139</v>
      </c>
      <c r="Q443" t="s">
        <v>139</v>
      </c>
      <c r="R443" t="s">
        <v>139</v>
      </c>
      <c r="S443" t="s">
        <v>139</v>
      </c>
      <c r="T443" t="s">
        <v>139</v>
      </c>
      <c r="U443">
        <v>190595.20000000001</v>
      </c>
      <c r="V443" s="6" t="s">
        <v>139</v>
      </c>
      <c r="W443" t="s">
        <v>139</v>
      </c>
      <c r="X443" t="s">
        <v>139</v>
      </c>
      <c r="Y443" t="s">
        <v>139</v>
      </c>
      <c r="Z443">
        <v>174900.1</v>
      </c>
      <c r="AA443" t="s">
        <v>139</v>
      </c>
      <c r="AB443" t="s">
        <v>139</v>
      </c>
      <c r="AC443" t="s">
        <v>139</v>
      </c>
      <c r="AD443">
        <v>187899.5</v>
      </c>
      <c r="AE443" t="s">
        <v>139</v>
      </c>
      <c r="AF443">
        <v>25412.2</v>
      </c>
      <c r="AG443">
        <v>148402.79999999999</v>
      </c>
      <c r="AH443" s="9">
        <v>1879182.3</v>
      </c>
      <c r="AI443">
        <v>1413080.7</v>
      </c>
      <c r="AJ443">
        <v>311629.8</v>
      </c>
      <c r="AK443" t="s">
        <v>139</v>
      </c>
      <c r="AL443">
        <v>278775.3</v>
      </c>
      <c r="AM443" t="s">
        <v>139</v>
      </c>
      <c r="AN443">
        <v>101277</v>
      </c>
      <c r="AO443" s="9">
        <v>1779230.4</v>
      </c>
      <c r="AP443">
        <v>99952</v>
      </c>
      <c r="AQ443" t="s">
        <v>139</v>
      </c>
      <c r="AR443" t="s">
        <v>139</v>
      </c>
      <c r="AS443">
        <f t="shared" si="4"/>
        <v>1724710.5</v>
      </c>
      <c r="AT443">
        <f t="shared" si="3"/>
        <v>1.0895639007242086</v>
      </c>
    </row>
    <row r="444" spans="1:46" x14ac:dyDescent="0.4">
      <c r="A444" s="3" t="s">
        <v>575</v>
      </c>
      <c r="B444">
        <v>1439789.3</v>
      </c>
      <c r="C444">
        <v>371712.9</v>
      </c>
      <c r="D444">
        <v>235869.9</v>
      </c>
      <c r="E444" t="s">
        <v>139</v>
      </c>
      <c r="F444" t="s">
        <v>139</v>
      </c>
      <c r="G444">
        <v>135843</v>
      </c>
      <c r="H444" t="s">
        <v>139</v>
      </c>
      <c r="I444" t="s">
        <v>139</v>
      </c>
      <c r="J444">
        <v>1068076.3999999999</v>
      </c>
      <c r="K444">
        <v>391490.6</v>
      </c>
      <c r="L444">
        <v>308313.90000000002</v>
      </c>
      <c r="M444" t="s">
        <v>139</v>
      </c>
      <c r="N444" t="s">
        <v>139</v>
      </c>
      <c r="O444" t="s">
        <v>139</v>
      </c>
      <c r="P444" t="s">
        <v>139</v>
      </c>
      <c r="Q444" t="s">
        <v>139</v>
      </c>
      <c r="R444" t="s">
        <v>139</v>
      </c>
      <c r="S444" t="s">
        <v>139</v>
      </c>
      <c r="T444" t="s">
        <v>139</v>
      </c>
      <c r="U444">
        <v>192217.4</v>
      </c>
      <c r="V444" s="6" t="s">
        <v>139</v>
      </c>
      <c r="W444" t="s">
        <v>139</v>
      </c>
      <c r="X444" t="s">
        <v>139</v>
      </c>
      <c r="Y444" t="s">
        <v>139</v>
      </c>
      <c r="Z444">
        <v>176054.5</v>
      </c>
      <c r="AA444" t="s">
        <v>139</v>
      </c>
      <c r="AB444" t="s">
        <v>139</v>
      </c>
      <c r="AC444" t="s">
        <v>139</v>
      </c>
      <c r="AD444">
        <v>193493.1</v>
      </c>
      <c r="AE444" t="s">
        <v>139</v>
      </c>
      <c r="AF444">
        <v>24611.8</v>
      </c>
      <c r="AG444">
        <v>145271.4</v>
      </c>
      <c r="AH444" s="9">
        <v>1891851.8</v>
      </c>
      <c r="AI444">
        <v>1424642.2</v>
      </c>
      <c r="AJ444">
        <v>308884.7</v>
      </c>
      <c r="AK444" t="s">
        <v>139</v>
      </c>
      <c r="AL444">
        <v>279085.2</v>
      </c>
      <c r="AM444" t="s">
        <v>139</v>
      </c>
      <c r="AN444">
        <v>99499.9</v>
      </c>
      <c r="AO444" s="9">
        <v>1791369.8</v>
      </c>
      <c r="AP444">
        <v>100482.1</v>
      </c>
      <c r="AQ444" t="s">
        <v>139</v>
      </c>
      <c r="AR444" t="s">
        <v>139</v>
      </c>
      <c r="AS444">
        <f t="shared" si="4"/>
        <v>1733526.9</v>
      </c>
      <c r="AT444">
        <f t="shared" si="3"/>
        <v>1.0913310892377845</v>
      </c>
    </row>
    <row r="445" spans="1:46" x14ac:dyDescent="0.4">
      <c r="A445" s="3" t="s">
        <v>576</v>
      </c>
      <c r="B445">
        <v>1456373.4</v>
      </c>
      <c r="C445">
        <v>380475.9</v>
      </c>
      <c r="D445">
        <v>243330.2</v>
      </c>
      <c r="E445" t="s">
        <v>139</v>
      </c>
      <c r="F445" t="s">
        <v>139</v>
      </c>
      <c r="G445">
        <v>137145.70000000001</v>
      </c>
      <c r="H445" t="s">
        <v>139</v>
      </c>
      <c r="I445" t="s">
        <v>139</v>
      </c>
      <c r="J445">
        <v>1075897.5</v>
      </c>
      <c r="K445">
        <v>393839.5</v>
      </c>
      <c r="L445">
        <v>310824.90000000002</v>
      </c>
      <c r="M445" t="s">
        <v>139</v>
      </c>
      <c r="N445" t="s">
        <v>139</v>
      </c>
      <c r="O445" t="s">
        <v>139</v>
      </c>
      <c r="P445" t="s">
        <v>139</v>
      </c>
      <c r="Q445" t="s">
        <v>139</v>
      </c>
      <c r="R445" t="s">
        <v>139</v>
      </c>
      <c r="S445" t="s">
        <v>139</v>
      </c>
      <c r="T445" t="s">
        <v>139</v>
      </c>
      <c r="U445">
        <v>193986.7</v>
      </c>
      <c r="V445" s="6" t="s">
        <v>139</v>
      </c>
      <c r="W445" t="s">
        <v>139</v>
      </c>
      <c r="X445" t="s">
        <v>139</v>
      </c>
      <c r="Y445" t="s">
        <v>139</v>
      </c>
      <c r="Z445">
        <v>177246.3</v>
      </c>
      <c r="AA445" t="s">
        <v>139</v>
      </c>
      <c r="AB445" t="s">
        <v>139</v>
      </c>
      <c r="AC445" t="s">
        <v>139</v>
      </c>
      <c r="AD445">
        <v>192018.8</v>
      </c>
      <c r="AE445" t="s">
        <v>139</v>
      </c>
      <c r="AF445">
        <v>24712.2</v>
      </c>
      <c r="AG445">
        <v>141882.70000000001</v>
      </c>
      <c r="AH445" s="9">
        <v>1903402.6</v>
      </c>
      <c r="AI445">
        <v>1430245.6</v>
      </c>
      <c r="AJ445">
        <v>308239.09999999998</v>
      </c>
      <c r="AK445" t="s">
        <v>139</v>
      </c>
      <c r="AL445">
        <v>277418.90000000002</v>
      </c>
      <c r="AM445" t="s">
        <v>139</v>
      </c>
      <c r="AN445">
        <v>101302.7</v>
      </c>
      <c r="AO445" s="9">
        <v>1798526.2</v>
      </c>
      <c r="AP445">
        <v>104876.4</v>
      </c>
      <c r="AQ445" t="s">
        <v>139</v>
      </c>
      <c r="AR445" t="s">
        <v>139</v>
      </c>
      <c r="AS445">
        <f t="shared" si="4"/>
        <v>1738484.7000000002</v>
      </c>
      <c r="AT445">
        <f t="shared" si="3"/>
        <v>1.0948630149002749</v>
      </c>
    </row>
    <row r="446" spans="1:46" x14ac:dyDescent="0.4">
      <c r="A446" s="3" t="s">
        <v>577</v>
      </c>
      <c r="B446">
        <v>1467208.4</v>
      </c>
      <c r="C446">
        <v>381458.1</v>
      </c>
      <c r="D446">
        <v>243616.6</v>
      </c>
      <c r="E446" t="s">
        <v>139</v>
      </c>
      <c r="F446" t="s">
        <v>139</v>
      </c>
      <c r="G446">
        <v>137841.5</v>
      </c>
      <c r="H446" t="s">
        <v>139</v>
      </c>
      <c r="I446" t="s">
        <v>139</v>
      </c>
      <c r="J446">
        <v>1085750.3</v>
      </c>
      <c r="K446">
        <v>397794.5</v>
      </c>
      <c r="L446">
        <v>314192.59999999998</v>
      </c>
      <c r="M446" t="s">
        <v>139</v>
      </c>
      <c r="N446" t="s">
        <v>139</v>
      </c>
      <c r="O446" t="s">
        <v>139</v>
      </c>
      <c r="P446" t="s">
        <v>139</v>
      </c>
      <c r="Q446" t="s">
        <v>139</v>
      </c>
      <c r="R446" t="s">
        <v>139</v>
      </c>
      <c r="S446" t="s">
        <v>139</v>
      </c>
      <c r="T446" t="s">
        <v>139</v>
      </c>
      <c r="U446">
        <v>196768.5</v>
      </c>
      <c r="V446" s="6" t="s">
        <v>139</v>
      </c>
      <c r="W446" t="s">
        <v>139</v>
      </c>
      <c r="X446" t="s">
        <v>139</v>
      </c>
      <c r="Y446" t="s">
        <v>139</v>
      </c>
      <c r="Z446">
        <v>176994.6</v>
      </c>
      <c r="AA446" t="s">
        <v>139</v>
      </c>
      <c r="AB446" t="s">
        <v>139</v>
      </c>
      <c r="AC446" t="s">
        <v>139</v>
      </c>
      <c r="AD446">
        <v>194216.1</v>
      </c>
      <c r="AE446" t="s">
        <v>139</v>
      </c>
      <c r="AF446">
        <v>24685.7</v>
      </c>
      <c r="AG446">
        <v>147957.79999999999</v>
      </c>
      <c r="AH446" s="9">
        <v>1928876.9</v>
      </c>
      <c r="AI446">
        <v>1440399.3</v>
      </c>
      <c r="AJ446">
        <v>308420.7</v>
      </c>
      <c r="AK446" t="s">
        <v>139</v>
      </c>
      <c r="AL446">
        <v>287372.59999999998</v>
      </c>
      <c r="AM446" t="s">
        <v>139</v>
      </c>
      <c r="AN446">
        <v>103956.4</v>
      </c>
      <c r="AO446" s="9">
        <v>1818783.3</v>
      </c>
      <c r="AP446">
        <v>110093.7</v>
      </c>
      <c r="AQ446" t="s">
        <v>139</v>
      </c>
      <c r="AR446" t="s">
        <v>139</v>
      </c>
      <c r="AS446">
        <f t="shared" si="4"/>
        <v>1748820</v>
      </c>
      <c r="AT446">
        <f t="shared" si="3"/>
        <v>1.102959080980318</v>
      </c>
    </row>
    <row r="447" spans="1:46" x14ac:dyDescent="0.4">
      <c r="A447" s="3" t="s">
        <v>578</v>
      </c>
      <c r="B447">
        <v>1479642.2</v>
      </c>
      <c r="C447">
        <v>382582</v>
      </c>
      <c r="D447">
        <v>243621</v>
      </c>
      <c r="E447" t="s">
        <v>139</v>
      </c>
      <c r="F447" t="s">
        <v>139</v>
      </c>
      <c r="G447">
        <v>138960.9</v>
      </c>
      <c r="H447" t="s">
        <v>139</v>
      </c>
      <c r="I447" t="s">
        <v>139</v>
      </c>
      <c r="J447">
        <v>1097060.3</v>
      </c>
      <c r="K447">
        <v>401586.6</v>
      </c>
      <c r="L447">
        <v>317220.09999999998</v>
      </c>
      <c r="M447" t="s">
        <v>139</v>
      </c>
      <c r="N447" t="s">
        <v>139</v>
      </c>
      <c r="O447" t="s">
        <v>139</v>
      </c>
      <c r="P447" t="s">
        <v>139</v>
      </c>
      <c r="Q447" t="s">
        <v>139</v>
      </c>
      <c r="R447" t="s">
        <v>139</v>
      </c>
      <c r="S447" t="s">
        <v>139</v>
      </c>
      <c r="T447" t="s">
        <v>139</v>
      </c>
      <c r="U447">
        <v>199827.5</v>
      </c>
      <c r="V447" s="6" t="s">
        <v>139</v>
      </c>
      <c r="W447" t="s">
        <v>139</v>
      </c>
      <c r="X447" t="s">
        <v>139</v>
      </c>
      <c r="Y447" t="s">
        <v>139</v>
      </c>
      <c r="Z447">
        <v>178426</v>
      </c>
      <c r="AA447" t="s">
        <v>139</v>
      </c>
      <c r="AB447" t="s">
        <v>139</v>
      </c>
      <c r="AC447" t="s">
        <v>139</v>
      </c>
      <c r="AD447">
        <v>192115.20000000001</v>
      </c>
      <c r="AE447" t="s">
        <v>139</v>
      </c>
      <c r="AF447">
        <v>24456.2</v>
      </c>
      <c r="AG447">
        <v>149650.4</v>
      </c>
      <c r="AH447" s="9">
        <v>1935108.1</v>
      </c>
      <c r="AI447">
        <v>1441658.5</v>
      </c>
      <c r="AJ447">
        <v>308796.5</v>
      </c>
      <c r="AK447" t="s">
        <v>139</v>
      </c>
      <c r="AL447">
        <v>283396.59999999998</v>
      </c>
      <c r="AM447" t="s">
        <v>139</v>
      </c>
      <c r="AN447">
        <v>105830.9</v>
      </c>
      <c r="AO447" s="9">
        <v>1818677.7</v>
      </c>
      <c r="AP447">
        <v>116430.39999999999</v>
      </c>
      <c r="AQ447" t="s">
        <v>139</v>
      </c>
      <c r="AR447" t="s">
        <v>139</v>
      </c>
      <c r="AS447">
        <f t="shared" si="4"/>
        <v>1750455</v>
      </c>
      <c r="AT447">
        <f t="shared" si="3"/>
        <v>1.1054886300990314</v>
      </c>
    </row>
    <row r="448" spans="1:46" x14ac:dyDescent="0.4">
      <c r="A448" s="3" t="s">
        <v>579</v>
      </c>
      <c r="B448">
        <v>1491101.5</v>
      </c>
      <c r="C448">
        <v>387217</v>
      </c>
      <c r="D448">
        <v>248415.8</v>
      </c>
      <c r="E448" t="s">
        <v>139</v>
      </c>
      <c r="F448" t="s">
        <v>139</v>
      </c>
      <c r="G448">
        <v>138801.20000000001</v>
      </c>
      <c r="H448" t="s">
        <v>139</v>
      </c>
      <c r="I448" t="s">
        <v>139</v>
      </c>
      <c r="J448">
        <v>1103884.3999999999</v>
      </c>
      <c r="K448">
        <v>402529</v>
      </c>
      <c r="L448">
        <v>320691.90000000002</v>
      </c>
      <c r="M448" t="s">
        <v>139</v>
      </c>
      <c r="N448" t="s">
        <v>139</v>
      </c>
      <c r="O448" t="s">
        <v>139</v>
      </c>
      <c r="P448" t="s">
        <v>139</v>
      </c>
      <c r="Q448" t="s">
        <v>139</v>
      </c>
      <c r="R448" t="s">
        <v>139</v>
      </c>
      <c r="S448" t="s">
        <v>139</v>
      </c>
      <c r="T448" t="s">
        <v>139</v>
      </c>
      <c r="U448">
        <v>202672.3</v>
      </c>
      <c r="V448" s="6" t="s">
        <v>139</v>
      </c>
      <c r="W448" t="s">
        <v>139</v>
      </c>
      <c r="X448" t="s">
        <v>139</v>
      </c>
      <c r="Y448" t="s">
        <v>139</v>
      </c>
      <c r="Z448">
        <v>177991.2</v>
      </c>
      <c r="AA448" t="s">
        <v>139</v>
      </c>
      <c r="AB448" t="s">
        <v>139</v>
      </c>
      <c r="AC448" t="s">
        <v>139</v>
      </c>
      <c r="AD448">
        <v>188423.5</v>
      </c>
      <c r="AE448" t="s">
        <v>139</v>
      </c>
      <c r="AF448">
        <v>25010.400000000001</v>
      </c>
      <c r="AG448">
        <v>148795.29999999999</v>
      </c>
      <c r="AH448" s="9">
        <v>1942039.3</v>
      </c>
      <c r="AI448">
        <v>1448876.6</v>
      </c>
      <c r="AJ448">
        <v>309126.7</v>
      </c>
      <c r="AK448" t="s">
        <v>139</v>
      </c>
      <c r="AL448">
        <v>284530.09999999998</v>
      </c>
      <c r="AM448" t="s">
        <v>139</v>
      </c>
      <c r="AN448">
        <v>104759.3</v>
      </c>
      <c r="AO448" s="9">
        <v>1825195.5</v>
      </c>
      <c r="AP448">
        <v>116843.8</v>
      </c>
      <c r="AQ448" t="s">
        <v>139</v>
      </c>
      <c r="AR448" t="s">
        <v>139</v>
      </c>
      <c r="AS448">
        <f t="shared" si="4"/>
        <v>1758003.3</v>
      </c>
      <c r="AT448">
        <f t="shared" si="3"/>
        <v>1.1046846726624462</v>
      </c>
    </row>
    <row r="449" spans="1:46" x14ac:dyDescent="0.4">
      <c r="A449" s="3" t="s">
        <v>580</v>
      </c>
      <c r="B449">
        <v>1507570.5</v>
      </c>
      <c r="C449">
        <v>392515.6</v>
      </c>
      <c r="D449">
        <v>254976.8</v>
      </c>
      <c r="E449" t="s">
        <v>139</v>
      </c>
      <c r="F449" t="s">
        <v>139</v>
      </c>
      <c r="G449">
        <v>137538.79999999999</v>
      </c>
      <c r="H449" t="s">
        <v>139</v>
      </c>
      <c r="I449" t="s">
        <v>139</v>
      </c>
      <c r="J449">
        <v>1115055</v>
      </c>
      <c r="K449">
        <v>405748.6</v>
      </c>
      <c r="L449">
        <v>324055.09999999998</v>
      </c>
      <c r="M449" t="s">
        <v>139</v>
      </c>
      <c r="N449" t="s">
        <v>139</v>
      </c>
      <c r="O449" t="s">
        <v>139</v>
      </c>
      <c r="P449" t="s">
        <v>139</v>
      </c>
      <c r="Q449" t="s">
        <v>139</v>
      </c>
      <c r="R449" t="s">
        <v>139</v>
      </c>
      <c r="S449" t="s">
        <v>139</v>
      </c>
      <c r="T449" t="s">
        <v>139</v>
      </c>
      <c r="U449">
        <v>206527.2</v>
      </c>
      <c r="V449" s="6" t="s">
        <v>139</v>
      </c>
      <c r="W449" t="s">
        <v>139</v>
      </c>
      <c r="X449" t="s">
        <v>139</v>
      </c>
      <c r="Y449" t="s">
        <v>139</v>
      </c>
      <c r="Z449">
        <v>178724</v>
      </c>
      <c r="AA449" t="s">
        <v>139</v>
      </c>
      <c r="AB449" t="s">
        <v>139</v>
      </c>
      <c r="AC449" t="s">
        <v>139</v>
      </c>
      <c r="AD449">
        <v>191213.5</v>
      </c>
      <c r="AE449" t="s">
        <v>139</v>
      </c>
      <c r="AF449">
        <v>25151.9</v>
      </c>
      <c r="AG449">
        <v>151185.60000000001</v>
      </c>
      <c r="AH449" s="9">
        <v>1968462.6</v>
      </c>
      <c r="AI449">
        <v>1462373.8</v>
      </c>
      <c r="AJ449">
        <v>309562.09999999998</v>
      </c>
      <c r="AK449" t="s">
        <v>139</v>
      </c>
      <c r="AL449">
        <v>296977.8</v>
      </c>
      <c r="AM449" t="s">
        <v>139</v>
      </c>
      <c r="AN449">
        <v>105377</v>
      </c>
      <c r="AO449" s="9">
        <v>1850352</v>
      </c>
      <c r="AP449">
        <v>118110.6</v>
      </c>
      <c r="AQ449" t="s">
        <v>139</v>
      </c>
      <c r="AR449" t="s">
        <v>139</v>
      </c>
      <c r="AS449">
        <f t="shared" si="4"/>
        <v>1771935.9</v>
      </c>
      <c r="AT449">
        <f t="shared" ref="AT449:AT512" si="5">AH449/AS449</f>
        <v>1.1109107276397527</v>
      </c>
    </row>
    <row r="450" spans="1:46" x14ac:dyDescent="0.4">
      <c r="A450" s="3" t="s">
        <v>581</v>
      </c>
      <c r="B450">
        <v>1522942.6</v>
      </c>
      <c r="C450">
        <v>395867.1</v>
      </c>
      <c r="D450">
        <v>258195.3</v>
      </c>
      <c r="E450" t="s">
        <v>139</v>
      </c>
      <c r="F450" t="s">
        <v>139</v>
      </c>
      <c r="G450">
        <v>137671.9</v>
      </c>
      <c r="H450" t="s">
        <v>139</v>
      </c>
      <c r="I450" t="s">
        <v>139</v>
      </c>
      <c r="J450">
        <v>1127075.5</v>
      </c>
      <c r="K450">
        <v>409617.4</v>
      </c>
      <c r="L450">
        <v>327376.3</v>
      </c>
      <c r="M450" t="s">
        <v>139</v>
      </c>
      <c r="N450" t="s">
        <v>139</v>
      </c>
      <c r="O450" t="s">
        <v>139</v>
      </c>
      <c r="P450" t="s">
        <v>139</v>
      </c>
      <c r="Q450" t="s">
        <v>139</v>
      </c>
      <c r="R450" t="s">
        <v>139</v>
      </c>
      <c r="S450" t="s">
        <v>139</v>
      </c>
      <c r="T450" t="s">
        <v>139</v>
      </c>
      <c r="U450">
        <v>209876.5</v>
      </c>
      <c r="V450" s="6" t="s">
        <v>139</v>
      </c>
      <c r="W450" t="s">
        <v>139</v>
      </c>
      <c r="X450" t="s">
        <v>139</v>
      </c>
      <c r="Y450" t="s">
        <v>139</v>
      </c>
      <c r="Z450">
        <v>180205.3</v>
      </c>
      <c r="AA450" t="s">
        <v>139</v>
      </c>
      <c r="AB450" t="s">
        <v>139</v>
      </c>
      <c r="AC450" t="s">
        <v>139</v>
      </c>
      <c r="AD450">
        <v>190321.9</v>
      </c>
      <c r="AE450" t="s">
        <v>139</v>
      </c>
      <c r="AF450">
        <v>25447.1</v>
      </c>
      <c r="AG450">
        <v>151246.70000000001</v>
      </c>
      <c r="AH450" s="9">
        <v>1976228.2</v>
      </c>
      <c r="AI450">
        <v>1470890.7</v>
      </c>
      <c r="AJ450">
        <v>313196.40000000002</v>
      </c>
      <c r="AK450" t="s">
        <v>139</v>
      </c>
      <c r="AL450">
        <v>286183.2</v>
      </c>
      <c r="AM450" t="s">
        <v>139</v>
      </c>
      <c r="AN450">
        <v>110029</v>
      </c>
      <c r="AO450" s="9">
        <v>1857536.4</v>
      </c>
      <c r="AP450">
        <v>118691.9</v>
      </c>
      <c r="AQ450" t="s">
        <v>139</v>
      </c>
      <c r="AR450" t="s">
        <v>139</v>
      </c>
      <c r="AS450">
        <f t="shared" si="4"/>
        <v>1784087.1</v>
      </c>
      <c r="AT450">
        <f t="shared" si="5"/>
        <v>1.1076971522298433</v>
      </c>
    </row>
    <row r="451" spans="1:46" x14ac:dyDescent="0.4">
      <c r="A451" s="3" t="s">
        <v>582</v>
      </c>
      <c r="B451">
        <v>1533651</v>
      </c>
      <c r="C451">
        <v>398112.8</v>
      </c>
      <c r="D451">
        <v>260361.9</v>
      </c>
      <c r="E451" t="s">
        <v>139</v>
      </c>
      <c r="F451" t="s">
        <v>139</v>
      </c>
      <c r="G451">
        <v>137750.9</v>
      </c>
      <c r="H451" t="s">
        <v>139</v>
      </c>
      <c r="I451" t="s">
        <v>139</v>
      </c>
      <c r="J451">
        <v>1135538.2</v>
      </c>
      <c r="K451">
        <v>413940.4</v>
      </c>
      <c r="L451">
        <v>330352.59999999998</v>
      </c>
      <c r="M451" t="s">
        <v>139</v>
      </c>
      <c r="N451" t="s">
        <v>139</v>
      </c>
      <c r="O451" t="s">
        <v>139</v>
      </c>
      <c r="P451" t="s">
        <v>139</v>
      </c>
      <c r="Q451" t="s">
        <v>139</v>
      </c>
      <c r="R451" t="s">
        <v>139</v>
      </c>
      <c r="S451" t="s">
        <v>139</v>
      </c>
      <c r="T451" t="s">
        <v>139</v>
      </c>
      <c r="U451">
        <v>212927.3</v>
      </c>
      <c r="V451" s="6" t="s">
        <v>139</v>
      </c>
      <c r="W451" t="s">
        <v>139</v>
      </c>
      <c r="X451" t="s">
        <v>139</v>
      </c>
      <c r="Y451" t="s">
        <v>139</v>
      </c>
      <c r="Z451">
        <v>178317.9</v>
      </c>
      <c r="AA451" t="s">
        <v>139</v>
      </c>
      <c r="AB451" t="s">
        <v>139</v>
      </c>
      <c r="AC451" t="s">
        <v>139</v>
      </c>
      <c r="AD451">
        <v>189899.3</v>
      </c>
      <c r="AE451" t="s">
        <v>139</v>
      </c>
      <c r="AF451">
        <v>26005.3</v>
      </c>
      <c r="AG451">
        <v>151620.1</v>
      </c>
      <c r="AH451" s="9">
        <v>1984844.9</v>
      </c>
      <c r="AI451">
        <v>1479122.2</v>
      </c>
      <c r="AJ451">
        <v>315407.90000000002</v>
      </c>
      <c r="AK451" t="s">
        <v>139</v>
      </c>
      <c r="AL451">
        <v>280846.2</v>
      </c>
      <c r="AM451" t="s">
        <v>139</v>
      </c>
      <c r="AN451">
        <v>115175.6</v>
      </c>
      <c r="AO451" s="9">
        <v>1867634.7</v>
      </c>
      <c r="AP451">
        <v>117210.2</v>
      </c>
      <c r="AQ451" t="s">
        <v>139</v>
      </c>
      <c r="AR451" t="s">
        <v>139</v>
      </c>
      <c r="AS451">
        <f t="shared" si="4"/>
        <v>1794530.1</v>
      </c>
      <c r="AT451">
        <f t="shared" si="5"/>
        <v>1.1060527209880735</v>
      </c>
    </row>
    <row r="452" spans="1:46" x14ac:dyDescent="0.4">
      <c r="A452" s="3" t="s">
        <v>583</v>
      </c>
      <c r="B452">
        <v>1540025.7</v>
      </c>
      <c r="C452">
        <v>398550.7</v>
      </c>
      <c r="D452">
        <v>257819.3</v>
      </c>
      <c r="E452" t="s">
        <v>139</v>
      </c>
      <c r="F452" t="s">
        <v>139</v>
      </c>
      <c r="G452">
        <v>140731.29999999999</v>
      </c>
      <c r="H452" t="s">
        <v>139</v>
      </c>
      <c r="I452" t="s">
        <v>139</v>
      </c>
      <c r="J452">
        <v>1141475.1000000001</v>
      </c>
      <c r="K452">
        <v>415605.4</v>
      </c>
      <c r="L452">
        <v>333707.5</v>
      </c>
      <c r="M452" t="s">
        <v>139</v>
      </c>
      <c r="N452" t="s">
        <v>139</v>
      </c>
      <c r="O452" t="s">
        <v>139</v>
      </c>
      <c r="P452" t="s">
        <v>139</v>
      </c>
      <c r="Q452" t="s">
        <v>139</v>
      </c>
      <c r="R452" t="s">
        <v>139</v>
      </c>
      <c r="S452" t="s">
        <v>139</v>
      </c>
      <c r="T452" t="s">
        <v>139</v>
      </c>
      <c r="U452">
        <v>215329.4</v>
      </c>
      <c r="V452" s="6" t="s">
        <v>139</v>
      </c>
      <c r="W452" t="s">
        <v>139</v>
      </c>
      <c r="X452" t="s">
        <v>139</v>
      </c>
      <c r="Y452" t="s">
        <v>139</v>
      </c>
      <c r="Z452">
        <v>176832.8</v>
      </c>
      <c r="AA452" t="s">
        <v>139</v>
      </c>
      <c r="AB452" t="s">
        <v>139</v>
      </c>
      <c r="AC452" t="s">
        <v>139</v>
      </c>
      <c r="AD452">
        <v>199008.9</v>
      </c>
      <c r="AE452" t="s">
        <v>139</v>
      </c>
      <c r="AF452">
        <v>26896.799999999999</v>
      </c>
      <c r="AG452">
        <v>152530.9</v>
      </c>
      <c r="AH452" s="9">
        <v>2009949.6</v>
      </c>
      <c r="AI452">
        <v>1489170.7</v>
      </c>
      <c r="AJ452">
        <v>305930.5</v>
      </c>
      <c r="AK452" t="s">
        <v>139</v>
      </c>
      <c r="AL452">
        <v>292280.40000000002</v>
      </c>
      <c r="AM452" t="s">
        <v>139</v>
      </c>
      <c r="AN452">
        <v>110867.4</v>
      </c>
      <c r="AO452" s="9">
        <v>1879810.7</v>
      </c>
      <c r="AP452">
        <v>130138.9</v>
      </c>
      <c r="AQ452" t="s">
        <v>139</v>
      </c>
      <c r="AR452" t="s">
        <v>139</v>
      </c>
      <c r="AS452">
        <f t="shared" si="4"/>
        <v>1795101.2</v>
      </c>
      <c r="AT452">
        <f t="shared" si="5"/>
        <v>1.1196859541957858</v>
      </c>
    </row>
    <row r="453" spans="1:46" x14ac:dyDescent="0.4">
      <c r="A453" s="3" t="s">
        <v>584</v>
      </c>
      <c r="B453">
        <v>1559938.8</v>
      </c>
      <c r="C453">
        <v>399016</v>
      </c>
      <c r="D453">
        <v>258366.9</v>
      </c>
      <c r="E453" t="s">
        <v>139</v>
      </c>
      <c r="F453" t="s">
        <v>139</v>
      </c>
      <c r="G453">
        <v>140649.1</v>
      </c>
      <c r="H453" t="s">
        <v>139</v>
      </c>
      <c r="I453" t="s">
        <v>139</v>
      </c>
      <c r="J453">
        <v>1160922.8</v>
      </c>
      <c r="K453">
        <v>423580.8</v>
      </c>
      <c r="L453">
        <v>337604.3</v>
      </c>
      <c r="M453" t="s">
        <v>139</v>
      </c>
      <c r="N453" t="s">
        <v>139</v>
      </c>
      <c r="O453" t="s">
        <v>139</v>
      </c>
      <c r="P453" t="s">
        <v>139</v>
      </c>
      <c r="Q453" t="s">
        <v>139</v>
      </c>
      <c r="R453" t="s">
        <v>139</v>
      </c>
      <c r="S453" t="s">
        <v>139</v>
      </c>
      <c r="T453" t="s">
        <v>139</v>
      </c>
      <c r="U453">
        <v>218329.3</v>
      </c>
      <c r="V453" s="6" t="s">
        <v>139</v>
      </c>
      <c r="W453" t="s">
        <v>139</v>
      </c>
      <c r="X453" t="s">
        <v>139</v>
      </c>
      <c r="Y453" t="s">
        <v>139</v>
      </c>
      <c r="Z453">
        <v>181408.4</v>
      </c>
      <c r="AA453" t="s">
        <v>139</v>
      </c>
      <c r="AB453" t="s">
        <v>139</v>
      </c>
      <c r="AC453" t="s">
        <v>139</v>
      </c>
      <c r="AD453">
        <v>189848.7</v>
      </c>
      <c r="AE453" t="s">
        <v>139</v>
      </c>
      <c r="AF453">
        <v>25873.8</v>
      </c>
      <c r="AG453">
        <v>149552.1</v>
      </c>
      <c r="AH453" s="9">
        <v>2021293.6</v>
      </c>
      <c r="AI453">
        <v>1492060.3</v>
      </c>
      <c r="AJ453">
        <v>304865.09999999998</v>
      </c>
      <c r="AK453" t="s">
        <v>139</v>
      </c>
      <c r="AL453">
        <v>294595.40000000002</v>
      </c>
      <c r="AM453" t="s">
        <v>139</v>
      </c>
      <c r="AN453">
        <v>112289</v>
      </c>
      <c r="AO453" s="9">
        <v>1888546.8</v>
      </c>
      <c r="AP453">
        <v>132746.79999999999</v>
      </c>
      <c r="AQ453" t="s">
        <v>139</v>
      </c>
      <c r="AR453" t="s">
        <v>139</v>
      </c>
      <c r="AS453">
        <f t="shared" si="4"/>
        <v>1796925.4</v>
      </c>
      <c r="AT453">
        <f t="shared" si="5"/>
        <v>1.1248622786455131</v>
      </c>
    </row>
    <row r="454" spans="1:46" x14ac:dyDescent="0.4">
      <c r="A454" s="3" t="s">
        <v>585</v>
      </c>
      <c r="B454">
        <v>1575087.2</v>
      </c>
      <c r="C454">
        <v>402664.3</v>
      </c>
      <c r="D454">
        <v>260283.9</v>
      </c>
      <c r="E454" t="s">
        <v>139</v>
      </c>
      <c r="F454" t="s">
        <v>139</v>
      </c>
      <c r="G454">
        <v>142380.4</v>
      </c>
      <c r="H454" t="s">
        <v>139</v>
      </c>
      <c r="I454" t="s">
        <v>139</v>
      </c>
      <c r="J454">
        <v>1172422.8999999999</v>
      </c>
      <c r="K454">
        <v>430946.3</v>
      </c>
      <c r="L454">
        <v>342016.3</v>
      </c>
      <c r="M454" t="s">
        <v>139</v>
      </c>
      <c r="N454" t="s">
        <v>139</v>
      </c>
      <c r="O454" t="s">
        <v>139</v>
      </c>
      <c r="P454" t="s">
        <v>139</v>
      </c>
      <c r="Q454" t="s">
        <v>139</v>
      </c>
      <c r="R454" t="s">
        <v>139</v>
      </c>
      <c r="S454" t="s">
        <v>139</v>
      </c>
      <c r="T454" t="s">
        <v>139</v>
      </c>
      <c r="U454">
        <v>221444.7</v>
      </c>
      <c r="V454" s="6" t="s">
        <v>139</v>
      </c>
      <c r="W454" t="s">
        <v>139</v>
      </c>
      <c r="X454" t="s">
        <v>139</v>
      </c>
      <c r="Y454" t="s">
        <v>139</v>
      </c>
      <c r="Z454">
        <v>178015.6</v>
      </c>
      <c r="AA454" t="s">
        <v>139</v>
      </c>
      <c r="AB454" t="s">
        <v>139</v>
      </c>
      <c r="AC454" t="s">
        <v>139</v>
      </c>
      <c r="AD454">
        <v>190893.9</v>
      </c>
      <c r="AE454" t="s">
        <v>139</v>
      </c>
      <c r="AF454">
        <v>25625.5</v>
      </c>
      <c r="AG454">
        <v>149761.1</v>
      </c>
      <c r="AH454" s="9">
        <v>2036014.4</v>
      </c>
      <c r="AI454">
        <v>1504982.5</v>
      </c>
      <c r="AJ454">
        <v>309805.3</v>
      </c>
      <c r="AK454" t="s">
        <v>139</v>
      </c>
      <c r="AL454">
        <v>294235.59999999998</v>
      </c>
      <c r="AM454" t="s">
        <v>139</v>
      </c>
      <c r="AN454">
        <v>113346.1</v>
      </c>
      <c r="AO454" s="9">
        <v>1903752.3</v>
      </c>
      <c r="AP454">
        <v>132262.1</v>
      </c>
      <c r="AQ454" t="s">
        <v>139</v>
      </c>
      <c r="AR454" t="s">
        <v>139</v>
      </c>
      <c r="AS454">
        <f t="shared" si="4"/>
        <v>1814787.8</v>
      </c>
      <c r="AT454">
        <f t="shared" si="5"/>
        <v>1.1219021860296834</v>
      </c>
    </row>
    <row r="455" spans="1:46" x14ac:dyDescent="0.4">
      <c r="A455" s="3" t="s">
        <v>586</v>
      </c>
      <c r="B455">
        <v>1592411.8</v>
      </c>
      <c r="C455">
        <v>403431.1</v>
      </c>
      <c r="D455">
        <v>260526.2</v>
      </c>
      <c r="E455" t="s">
        <v>139</v>
      </c>
      <c r="F455" t="s">
        <v>139</v>
      </c>
      <c r="G455">
        <v>142904.9</v>
      </c>
      <c r="H455" t="s">
        <v>139</v>
      </c>
      <c r="I455" t="s">
        <v>139</v>
      </c>
      <c r="J455">
        <v>1188980.6000000001</v>
      </c>
      <c r="K455">
        <v>437837.4</v>
      </c>
      <c r="L455">
        <v>346178.9</v>
      </c>
      <c r="M455" t="s">
        <v>139</v>
      </c>
      <c r="N455" t="s">
        <v>139</v>
      </c>
      <c r="O455" t="s">
        <v>139</v>
      </c>
      <c r="P455" t="s">
        <v>139</v>
      </c>
      <c r="Q455" t="s">
        <v>139</v>
      </c>
      <c r="R455" t="s">
        <v>139</v>
      </c>
      <c r="S455" t="s">
        <v>139</v>
      </c>
      <c r="T455" t="s">
        <v>139</v>
      </c>
      <c r="U455">
        <v>225175.2</v>
      </c>
      <c r="V455" s="6" t="s">
        <v>139</v>
      </c>
      <c r="W455" t="s">
        <v>139</v>
      </c>
      <c r="X455" t="s">
        <v>139</v>
      </c>
      <c r="Y455" t="s">
        <v>139</v>
      </c>
      <c r="Z455">
        <v>179789.1</v>
      </c>
      <c r="AA455" t="s">
        <v>139</v>
      </c>
      <c r="AB455" t="s">
        <v>139</v>
      </c>
      <c r="AC455" t="s">
        <v>139</v>
      </c>
      <c r="AD455">
        <v>193412.9</v>
      </c>
      <c r="AE455" t="s">
        <v>139</v>
      </c>
      <c r="AF455">
        <v>27252</v>
      </c>
      <c r="AG455">
        <v>157393.60000000001</v>
      </c>
      <c r="AH455" s="9">
        <v>2065848.4</v>
      </c>
      <c r="AI455">
        <v>1518099</v>
      </c>
      <c r="AJ455">
        <v>311142</v>
      </c>
      <c r="AK455" t="s">
        <v>139</v>
      </c>
      <c r="AL455">
        <v>298767.5</v>
      </c>
      <c r="AM455" t="s">
        <v>139</v>
      </c>
      <c r="AN455">
        <v>116386.9</v>
      </c>
      <c r="AO455" s="9">
        <v>1924283</v>
      </c>
      <c r="AP455">
        <v>141565.29999999999</v>
      </c>
      <c r="AQ455" t="s">
        <v>139</v>
      </c>
      <c r="AR455" t="s">
        <v>139</v>
      </c>
      <c r="AS455">
        <f t="shared" si="4"/>
        <v>1829241</v>
      </c>
      <c r="AT455">
        <f t="shared" si="5"/>
        <v>1.12934730852851</v>
      </c>
    </row>
    <row r="456" spans="1:46" x14ac:dyDescent="0.4">
      <c r="A456" s="3" t="s">
        <v>587</v>
      </c>
      <c r="B456">
        <v>1608490.9</v>
      </c>
      <c r="C456">
        <v>402190.5</v>
      </c>
      <c r="D456">
        <v>259628.7</v>
      </c>
      <c r="E456" t="s">
        <v>139</v>
      </c>
      <c r="F456" t="s">
        <v>139</v>
      </c>
      <c r="G456">
        <v>142561.79999999999</v>
      </c>
      <c r="H456" t="s">
        <v>139</v>
      </c>
      <c r="I456" t="s">
        <v>139</v>
      </c>
      <c r="J456">
        <v>1206300.5</v>
      </c>
      <c r="K456">
        <v>446318.3</v>
      </c>
      <c r="L456">
        <v>349749.2</v>
      </c>
      <c r="M456" t="s">
        <v>139</v>
      </c>
      <c r="N456" t="s">
        <v>139</v>
      </c>
      <c r="O456" t="s">
        <v>139</v>
      </c>
      <c r="P456" t="s">
        <v>139</v>
      </c>
      <c r="Q456" t="s">
        <v>139</v>
      </c>
      <c r="R456" t="s">
        <v>139</v>
      </c>
      <c r="S456" t="s">
        <v>139</v>
      </c>
      <c r="T456" t="s">
        <v>139</v>
      </c>
      <c r="U456">
        <v>229479.1</v>
      </c>
      <c r="V456" s="6" t="s">
        <v>139</v>
      </c>
      <c r="W456" t="s">
        <v>139</v>
      </c>
      <c r="X456" t="s">
        <v>139</v>
      </c>
      <c r="Y456" t="s">
        <v>139</v>
      </c>
      <c r="Z456">
        <v>180753.8</v>
      </c>
      <c r="AA456" t="s">
        <v>139</v>
      </c>
      <c r="AB456" t="s">
        <v>139</v>
      </c>
      <c r="AC456" t="s">
        <v>139</v>
      </c>
      <c r="AD456">
        <v>192552.2</v>
      </c>
      <c r="AE456" t="s">
        <v>139</v>
      </c>
      <c r="AF456">
        <v>28211.3</v>
      </c>
      <c r="AG456">
        <v>160973</v>
      </c>
      <c r="AH456" s="9">
        <v>2091116.4</v>
      </c>
      <c r="AI456">
        <v>1536261.6</v>
      </c>
      <c r="AJ456">
        <v>321997.5</v>
      </c>
      <c r="AK456" t="s">
        <v>139</v>
      </c>
      <c r="AL456">
        <v>301498.3</v>
      </c>
      <c r="AM456" t="s">
        <v>139</v>
      </c>
      <c r="AN456">
        <v>119571.2</v>
      </c>
      <c r="AO456" s="9">
        <v>1950590.4</v>
      </c>
      <c r="AP456">
        <v>140526</v>
      </c>
      <c r="AQ456" t="s">
        <v>139</v>
      </c>
      <c r="AR456" t="s">
        <v>139</v>
      </c>
      <c r="AS456">
        <f t="shared" si="4"/>
        <v>1858259.1</v>
      </c>
      <c r="AT456">
        <f t="shared" si="5"/>
        <v>1.125309382313801</v>
      </c>
    </row>
    <row r="457" spans="1:46" x14ac:dyDescent="0.4">
      <c r="A457" s="3" t="s">
        <v>588</v>
      </c>
      <c r="B457">
        <v>1621813</v>
      </c>
      <c r="C457">
        <v>401806.6</v>
      </c>
      <c r="D457">
        <v>259628.9</v>
      </c>
      <c r="E457" t="s">
        <v>139</v>
      </c>
      <c r="F457" t="s">
        <v>139</v>
      </c>
      <c r="G457">
        <v>142177.70000000001</v>
      </c>
      <c r="H457" t="s">
        <v>139</v>
      </c>
      <c r="I457" t="s">
        <v>139</v>
      </c>
      <c r="J457">
        <v>1220006.3999999999</v>
      </c>
      <c r="K457">
        <v>450972.3</v>
      </c>
      <c r="L457">
        <v>353738.6</v>
      </c>
      <c r="M457" t="s">
        <v>139</v>
      </c>
      <c r="N457" t="s">
        <v>139</v>
      </c>
      <c r="O457" t="s">
        <v>139</v>
      </c>
      <c r="P457" t="s">
        <v>139</v>
      </c>
      <c r="Q457" t="s">
        <v>139</v>
      </c>
      <c r="R457" t="s">
        <v>139</v>
      </c>
      <c r="S457" t="s">
        <v>139</v>
      </c>
      <c r="T457" t="s">
        <v>139</v>
      </c>
      <c r="U457">
        <v>233413.9</v>
      </c>
      <c r="V457" s="6" t="s">
        <v>139</v>
      </c>
      <c r="W457" t="s">
        <v>139</v>
      </c>
      <c r="X457" t="s">
        <v>139</v>
      </c>
      <c r="Y457" t="s">
        <v>139</v>
      </c>
      <c r="Z457">
        <v>181881.60000000001</v>
      </c>
      <c r="AA457" t="s">
        <v>139</v>
      </c>
      <c r="AB457" t="s">
        <v>139</v>
      </c>
      <c r="AC457" t="s">
        <v>139</v>
      </c>
      <c r="AD457">
        <v>192783.4</v>
      </c>
      <c r="AE457" t="s">
        <v>139</v>
      </c>
      <c r="AF457">
        <v>28263</v>
      </c>
      <c r="AG457">
        <v>162774.79999999999</v>
      </c>
      <c r="AH457" s="9">
        <v>2107000.2000000002</v>
      </c>
      <c r="AI457">
        <v>1547231.4</v>
      </c>
      <c r="AJ457">
        <v>327983.40000000002</v>
      </c>
      <c r="AK457" t="s">
        <v>139</v>
      </c>
      <c r="AL457">
        <v>305920</v>
      </c>
      <c r="AM457" t="s">
        <v>139</v>
      </c>
      <c r="AN457">
        <v>119587.5</v>
      </c>
      <c r="AO457" s="9">
        <v>1963891.8</v>
      </c>
      <c r="AP457">
        <v>143108.4</v>
      </c>
      <c r="AQ457" t="s">
        <v>139</v>
      </c>
      <c r="AR457" t="s">
        <v>139</v>
      </c>
      <c r="AS457">
        <f t="shared" ref="AS457:AS520" si="6">SUM(AI457:AK457)</f>
        <v>1875214.7999999998</v>
      </c>
      <c r="AT457">
        <f t="shared" si="5"/>
        <v>1.123604719843295</v>
      </c>
    </row>
    <row r="458" spans="1:46" x14ac:dyDescent="0.4">
      <c r="A458" s="3" t="s">
        <v>589</v>
      </c>
      <c r="B458">
        <v>1634259.9</v>
      </c>
      <c r="C458">
        <v>400660.5</v>
      </c>
      <c r="D458">
        <v>258824.9</v>
      </c>
      <c r="E458" t="s">
        <v>139</v>
      </c>
      <c r="F458" t="s">
        <v>139</v>
      </c>
      <c r="G458">
        <v>141835.6</v>
      </c>
      <c r="H458" t="s">
        <v>139</v>
      </c>
      <c r="I458" t="s">
        <v>139</v>
      </c>
      <c r="J458">
        <v>1233599.3</v>
      </c>
      <c r="K458">
        <v>455800.9</v>
      </c>
      <c r="L458">
        <v>357159.3</v>
      </c>
      <c r="M458" t="s">
        <v>139</v>
      </c>
      <c r="N458" t="s">
        <v>139</v>
      </c>
      <c r="O458" t="s">
        <v>139</v>
      </c>
      <c r="P458" t="s">
        <v>139</v>
      </c>
      <c r="Q458" t="s">
        <v>139</v>
      </c>
      <c r="R458" t="s">
        <v>139</v>
      </c>
      <c r="S458" t="s">
        <v>139</v>
      </c>
      <c r="T458" t="s">
        <v>139</v>
      </c>
      <c r="U458">
        <v>236616.3</v>
      </c>
      <c r="V458" s="6" t="s">
        <v>139</v>
      </c>
      <c r="W458" t="s">
        <v>139</v>
      </c>
      <c r="X458" t="s">
        <v>139</v>
      </c>
      <c r="Y458" t="s">
        <v>139</v>
      </c>
      <c r="Z458">
        <v>184022.8</v>
      </c>
      <c r="AA458" t="s">
        <v>139</v>
      </c>
      <c r="AB458" t="s">
        <v>139</v>
      </c>
      <c r="AC458" t="s">
        <v>139</v>
      </c>
      <c r="AD458">
        <v>194602.4</v>
      </c>
      <c r="AE458" t="s">
        <v>139</v>
      </c>
      <c r="AF458">
        <v>27668.6</v>
      </c>
      <c r="AG458">
        <v>162894.9</v>
      </c>
      <c r="AH458" s="9">
        <v>2119422.1</v>
      </c>
      <c r="AI458">
        <v>1560528.9</v>
      </c>
      <c r="AJ458">
        <v>330307.59999999998</v>
      </c>
      <c r="AK458" t="s">
        <v>139</v>
      </c>
      <c r="AL458">
        <v>303026.5</v>
      </c>
      <c r="AM458" t="s">
        <v>139</v>
      </c>
      <c r="AN458">
        <v>120651.1</v>
      </c>
      <c r="AO458" s="9">
        <v>1974778</v>
      </c>
      <c r="AP458">
        <v>144644.1</v>
      </c>
      <c r="AQ458" t="s">
        <v>139</v>
      </c>
      <c r="AR458" t="s">
        <v>139</v>
      </c>
      <c r="AS458">
        <f t="shared" si="6"/>
        <v>1890836.5</v>
      </c>
      <c r="AT458">
        <f t="shared" si="5"/>
        <v>1.1208912563302009</v>
      </c>
    </row>
    <row r="459" spans="1:46" x14ac:dyDescent="0.4">
      <c r="A459" s="3" t="s">
        <v>590</v>
      </c>
      <c r="B459">
        <v>1643246</v>
      </c>
      <c r="C459">
        <v>400484.9</v>
      </c>
      <c r="D459">
        <v>257990.8</v>
      </c>
      <c r="E459" t="s">
        <v>139</v>
      </c>
      <c r="F459" t="s">
        <v>139</v>
      </c>
      <c r="G459">
        <v>142494.20000000001</v>
      </c>
      <c r="H459" t="s">
        <v>139</v>
      </c>
      <c r="I459" t="s">
        <v>139</v>
      </c>
      <c r="J459">
        <v>1242761.1000000001</v>
      </c>
      <c r="K459">
        <v>458792.5</v>
      </c>
      <c r="L459">
        <v>360672.6</v>
      </c>
      <c r="M459" t="s">
        <v>139</v>
      </c>
      <c r="N459" t="s">
        <v>139</v>
      </c>
      <c r="O459" t="s">
        <v>139</v>
      </c>
      <c r="P459" t="s">
        <v>139</v>
      </c>
      <c r="Q459" t="s">
        <v>139</v>
      </c>
      <c r="R459" t="s">
        <v>139</v>
      </c>
      <c r="S459" t="s">
        <v>139</v>
      </c>
      <c r="T459" t="s">
        <v>139</v>
      </c>
      <c r="U459">
        <v>239346.9</v>
      </c>
      <c r="V459" s="6" t="s">
        <v>139</v>
      </c>
      <c r="W459" t="s">
        <v>139</v>
      </c>
      <c r="X459" t="s">
        <v>139</v>
      </c>
      <c r="Y459" t="s">
        <v>139</v>
      </c>
      <c r="Z459">
        <v>183949.1</v>
      </c>
      <c r="AA459" t="s">
        <v>139</v>
      </c>
      <c r="AB459" t="s">
        <v>139</v>
      </c>
      <c r="AC459" t="s">
        <v>139</v>
      </c>
      <c r="AD459">
        <v>189827.5</v>
      </c>
      <c r="AE459" t="s">
        <v>139</v>
      </c>
      <c r="AF459">
        <v>27553.7</v>
      </c>
      <c r="AG459">
        <v>162144.29999999999</v>
      </c>
      <c r="AH459" s="9">
        <v>2123791.1</v>
      </c>
      <c r="AI459">
        <v>1562564.9</v>
      </c>
      <c r="AJ459">
        <v>328372.90000000002</v>
      </c>
      <c r="AK459" t="s">
        <v>139</v>
      </c>
      <c r="AL459">
        <v>312154.8</v>
      </c>
      <c r="AM459" t="s">
        <v>139</v>
      </c>
      <c r="AN459">
        <v>118050.3</v>
      </c>
      <c r="AO459" s="9">
        <v>1983224.8</v>
      </c>
      <c r="AP459">
        <v>140566.29999999999</v>
      </c>
      <c r="AQ459" t="s">
        <v>139</v>
      </c>
      <c r="AR459" t="s">
        <v>139</v>
      </c>
      <c r="AS459">
        <f t="shared" si="6"/>
        <v>1890937.7999999998</v>
      </c>
      <c r="AT459">
        <f t="shared" si="5"/>
        <v>1.1231417024928056</v>
      </c>
    </row>
    <row r="460" spans="1:46" x14ac:dyDescent="0.4">
      <c r="A460" s="3" t="s">
        <v>591</v>
      </c>
      <c r="B460">
        <v>1655515.2</v>
      </c>
      <c r="C460">
        <v>401724.4</v>
      </c>
      <c r="D460">
        <v>258448.1</v>
      </c>
      <c r="E460" t="s">
        <v>139</v>
      </c>
      <c r="F460" t="s">
        <v>139</v>
      </c>
      <c r="G460">
        <v>143276.4</v>
      </c>
      <c r="H460" t="s">
        <v>139</v>
      </c>
      <c r="I460" t="s">
        <v>139</v>
      </c>
      <c r="J460">
        <v>1253790.7</v>
      </c>
      <c r="K460">
        <v>461914.8</v>
      </c>
      <c r="L460">
        <v>364731.4</v>
      </c>
      <c r="M460" t="s">
        <v>139</v>
      </c>
      <c r="N460" t="s">
        <v>139</v>
      </c>
      <c r="O460" t="s">
        <v>139</v>
      </c>
      <c r="P460" t="s">
        <v>139</v>
      </c>
      <c r="Q460" t="s">
        <v>139</v>
      </c>
      <c r="R460" t="s">
        <v>139</v>
      </c>
      <c r="S460" t="s">
        <v>139</v>
      </c>
      <c r="T460" t="s">
        <v>139</v>
      </c>
      <c r="U460">
        <v>242620.2</v>
      </c>
      <c r="V460" s="6" t="s">
        <v>139</v>
      </c>
      <c r="W460" t="s">
        <v>139</v>
      </c>
      <c r="X460" t="s">
        <v>139</v>
      </c>
      <c r="Y460" t="s">
        <v>139</v>
      </c>
      <c r="Z460">
        <v>184524.2</v>
      </c>
      <c r="AA460" t="s">
        <v>139</v>
      </c>
      <c r="AB460" t="s">
        <v>139</v>
      </c>
      <c r="AC460" t="s">
        <v>139</v>
      </c>
      <c r="AD460">
        <v>192590.5</v>
      </c>
      <c r="AE460" t="s">
        <v>139</v>
      </c>
      <c r="AF460">
        <v>25639.5</v>
      </c>
      <c r="AG460">
        <v>163747.9</v>
      </c>
      <c r="AH460" s="9">
        <v>2138917.5</v>
      </c>
      <c r="AI460">
        <v>1572408.2</v>
      </c>
      <c r="AJ460">
        <v>327688.3</v>
      </c>
      <c r="AK460" t="s">
        <v>139</v>
      </c>
      <c r="AL460">
        <v>313733.5</v>
      </c>
      <c r="AM460" t="s">
        <v>139</v>
      </c>
      <c r="AN460">
        <v>118031.1</v>
      </c>
      <c r="AO460" s="9">
        <v>1995104</v>
      </c>
      <c r="AP460">
        <v>143813.5</v>
      </c>
      <c r="AQ460" t="s">
        <v>139</v>
      </c>
      <c r="AR460" t="s">
        <v>139</v>
      </c>
      <c r="AS460">
        <f t="shared" si="6"/>
        <v>1900096.5</v>
      </c>
      <c r="AT460">
        <f t="shared" si="5"/>
        <v>1.1256888794858577</v>
      </c>
    </row>
    <row r="461" spans="1:46" x14ac:dyDescent="0.4">
      <c r="A461" s="3" t="s">
        <v>592</v>
      </c>
      <c r="B461">
        <v>1667109.8</v>
      </c>
      <c r="C461">
        <v>400840.3</v>
      </c>
      <c r="D461">
        <v>258354.9</v>
      </c>
      <c r="E461" t="s">
        <v>139</v>
      </c>
      <c r="F461" t="s">
        <v>139</v>
      </c>
      <c r="G461">
        <v>142485.4</v>
      </c>
      <c r="H461" t="s">
        <v>139</v>
      </c>
      <c r="I461" t="s">
        <v>139</v>
      </c>
      <c r="J461">
        <v>1266269.5</v>
      </c>
      <c r="K461">
        <v>466354.5</v>
      </c>
      <c r="L461">
        <v>367631.2</v>
      </c>
      <c r="M461" t="s">
        <v>139</v>
      </c>
      <c r="N461" t="s">
        <v>139</v>
      </c>
      <c r="O461" t="s">
        <v>139</v>
      </c>
      <c r="P461" t="s">
        <v>139</v>
      </c>
      <c r="Q461" t="s">
        <v>139</v>
      </c>
      <c r="R461" t="s">
        <v>139</v>
      </c>
      <c r="S461" t="s">
        <v>139</v>
      </c>
      <c r="T461" t="s">
        <v>139</v>
      </c>
      <c r="U461">
        <v>245760.3</v>
      </c>
      <c r="V461" s="6" t="s">
        <v>139</v>
      </c>
      <c r="W461" t="s">
        <v>139</v>
      </c>
      <c r="X461" t="s">
        <v>139</v>
      </c>
      <c r="Y461" t="s">
        <v>139</v>
      </c>
      <c r="Z461">
        <v>186523.5</v>
      </c>
      <c r="AA461" t="s">
        <v>139</v>
      </c>
      <c r="AB461" t="s">
        <v>139</v>
      </c>
      <c r="AC461" t="s">
        <v>139</v>
      </c>
      <c r="AD461">
        <v>190216.9</v>
      </c>
      <c r="AE461" t="s">
        <v>139</v>
      </c>
      <c r="AF461">
        <v>25896.5</v>
      </c>
      <c r="AG461">
        <v>161308.1</v>
      </c>
      <c r="AH461" s="9">
        <v>2146867.2999999998</v>
      </c>
      <c r="AI461">
        <v>1581338.1</v>
      </c>
      <c r="AJ461">
        <v>329797.2</v>
      </c>
      <c r="AK461" t="s">
        <v>139</v>
      </c>
      <c r="AL461">
        <v>308691</v>
      </c>
      <c r="AM461" t="s">
        <v>139</v>
      </c>
      <c r="AN461">
        <v>118430.6</v>
      </c>
      <c r="AO461" s="9">
        <v>2000712.3</v>
      </c>
      <c r="AP461">
        <v>146155</v>
      </c>
      <c r="AQ461" t="s">
        <v>139</v>
      </c>
      <c r="AR461" t="s">
        <v>139</v>
      </c>
      <c r="AS461">
        <f t="shared" si="6"/>
        <v>1911135.3</v>
      </c>
      <c r="AT461">
        <f t="shared" si="5"/>
        <v>1.12334657834011</v>
      </c>
    </row>
    <row r="462" spans="1:46" x14ac:dyDescent="0.4">
      <c r="A462" s="3" t="s">
        <v>593</v>
      </c>
      <c r="B462">
        <v>1681816.3</v>
      </c>
      <c r="C462">
        <v>400921.7</v>
      </c>
      <c r="D462">
        <v>258335.2</v>
      </c>
      <c r="E462" t="s">
        <v>139</v>
      </c>
      <c r="F462" t="s">
        <v>139</v>
      </c>
      <c r="G462">
        <v>142586.5</v>
      </c>
      <c r="H462" t="s">
        <v>139</v>
      </c>
      <c r="I462" t="s">
        <v>139</v>
      </c>
      <c r="J462">
        <v>1280894.7</v>
      </c>
      <c r="K462">
        <v>470961.8</v>
      </c>
      <c r="L462">
        <v>372396.6</v>
      </c>
      <c r="M462" t="s">
        <v>139</v>
      </c>
      <c r="N462" t="s">
        <v>139</v>
      </c>
      <c r="O462" t="s">
        <v>139</v>
      </c>
      <c r="P462" t="s">
        <v>139</v>
      </c>
      <c r="Q462" t="s">
        <v>139</v>
      </c>
      <c r="R462" t="s">
        <v>139</v>
      </c>
      <c r="S462" t="s">
        <v>139</v>
      </c>
      <c r="T462" t="s">
        <v>139</v>
      </c>
      <c r="U462">
        <v>249408.5</v>
      </c>
      <c r="V462" s="6" t="s">
        <v>139</v>
      </c>
      <c r="W462" t="s">
        <v>139</v>
      </c>
      <c r="X462" t="s">
        <v>139</v>
      </c>
      <c r="Y462" t="s">
        <v>139</v>
      </c>
      <c r="Z462">
        <v>188127.9</v>
      </c>
      <c r="AA462" t="s">
        <v>139</v>
      </c>
      <c r="AB462" t="s">
        <v>139</v>
      </c>
      <c r="AC462" t="s">
        <v>139</v>
      </c>
      <c r="AD462">
        <v>193886.6</v>
      </c>
      <c r="AE462" t="s">
        <v>139</v>
      </c>
      <c r="AF462">
        <v>26283.7</v>
      </c>
      <c r="AG462">
        <v>160943.79999999999</v>
      </c>
      <c r="AH462" s="9">
        <v>2166688.9</v>
      </c>
      <c r="AI462">
        <v>1592501.7</v>
      </c>
      <c r="AJ462">
        <v>331509</v>
      </c>
      <c r="AK462" t="s">
        <v>139</v>
      </c>
      <c r="AL462">
        <v>317224.40000000002</v>
      </c>
      <c r="AM462" t="s">
        <v>139</v>
      </c>
      <c r="AN462">
        <v>116921.1</v>
      </c>
      <c r="AO462" s="9">
        <v>2020815.9</v>
      </c>
      <c r="AP462">
        <v>145873</v>
      </c>
      <c r="AQ462" t="s">
        <v>139</v>
      </c>
      <c r="AR462" t="s">
        <v>139</v>
      </c>
      <c r="AS462">
        <f t="shared" si="6"/>
        <v>1924010.7</v>
      </c>
      <c r="AT462">
        <f t="shared" si="5"/>
        <v>1.1261314191236047</v>
      </c>
    </row>
    <row r="463" spans="1:46" x14ac:dyDescent="0.4">
      <c r="A463" s="3" t="s">
        <v>594</v>
      </c>
      <c r="B463">
        <v>1695767.9</v>
      </c>
      <c r="C463">
        <v>401113.1</v>
      </c>
      <c r="D463">
        <v>259967.4</v>
      </c>
      <c r="E463" t="s">
        <v>139</v>
      </c>
      <c r="F463" t="s">
        <v>139</v>
      </c>
      <c r="G463">
        <v>141145.60000000001</v>
      </c>
      <c r="H463" t="s">
        <v>139</v>
      </c>
      <c r="I463" t="s">
        <v>139</v>
      </c>
      <c r="J463">
        <v>1294654.8</v>
      </c>
      <c r="K463">
        <v>473352.4</v>
      </c>
      <c r="L463">
        <v>376243.1</v>
      </c>
      <c r="M463" t="s">
        <v>139</v>
      </c>
      <c r="N463" t="s">
        <v>139</v>
      </c>
      <c r="O463" t="s">
        <v>139</v>
      </c>
      <c r="P463" t="s">
        <v>139</v>
      </c>
      <c r="Q463" t="s">
        <v>139</v>
      </c>
      <c r="R463" t="s">
        <v>139</v>
      </c>
      <c r="S463" t="s">
        <v>139</v>
      </c>
      <c r="T463" t="s">
        <v>139</v>
      </c>
      <c r="U463">
        <v>253830.7</v>
      </c>
      <c r="V463" s="6" t="s">
        <v>139</v>
      </c>
      <c r="W463" t="s">
        <v>139</v>
      </c>
      <c r="X463" t="s">
        <v>139</v>
      </c>
      <c r="Y463" t="s">
        <v>139</v>
      </c>
      <c r="Z463">
        <v>191228.7</v>
      </c>
      <c r="AA463" t="s">
        <v>139</v>
      </c>
      <c r="AB463" t="s">
        <v>139</v>
      </c>
      <c r="AC463" t="s">
        <v>139</v>
      </c>
      <c r="AD463">
        <v>193503.8</v>
      </c>
      <c r="AE463" t="s">
        <v>139</v>
      </c>
      <c r="AF463">
        <v>25464.400000000001</v>
      </c>
      <c r="AG463">
        <v>162985.79999999999</v>
      </c>
      <c r="AH463" s="9">
        <v>2181158.4</v>
      </c>
      <c r="AI463">
        <v>1612433.5</v>
      </c>
      <c r="AJ463">
        <v>335006.59999999998</v>
      </c>
      <c r="AK463" t="s">
        <v>139</v>
      </c>
      <c r="AL463">
        <v>315236.59999999998</v>
      </c>
      <c r="AM463" t="s">
        <v>139</v>
      </c>
      <c r="AN463">
        <v>119362.9</v>
      </c>
      <c r="AO463" s="9">
        <v>2040411.3</v>
      </c>
      <c r="AP463">
        <v>140747</v>
      </c>
      <c r="AQ463" t="s">
        <v>139</v>
      </c>
      <c r="AR463" t="s">
        <v>139</v>
      </c>
      <c r="AS463">
        <f t="shared" si="6"/>
        <v>1947440.1</v>
      </c>
      <c r="AT463">
        <f t="shared" si="5"/>
        <v>1.1200130879506895</v>
      </c>
    </row>
    <row r="464" spans="1:46" x14ac:dyDescent="0.4">
      <c r="A464" s="3" t="s">
        <v>595</v>
      </c>
      <c r="B464">
        <v>1703711.6</v>
      </c>
      <c r="C464">
        <v>401222.7</v>
      </c>
      <c r="D464">
        <v>260059.5</v>
      </c>
      <c r="E464" t="s">
        <v>139</v>
      </c>
      <c r="F464" t="s">
        <v>139</v>
      </c>
      <c r="G464">
        <v>141163.20000000001</v>
      </c>
      <c r="H464" t="s">
        <v>139</v>
      </c>
      <c r="I464" t="s">
        <v>139</v>
      </c>
      <c r="J464">
        <v>1302489</v>
      </c>
      <c r="K464">
        <v>472959.3</v>
      </c>
      <c r="L464">
        <v>379011.1</v>
      </c>
      <c r="M464" t="s">
        <v>139</v>
      </c>
      <c r="N464" t="s">
        <v>139</v>
      </c>
      <c r="O464" t="s">
        <v>139</v>
      </c>
      <c r="P464" t="s">
        <v>139</v>
      </c>
      <c r="Q464" t="s">
        <v>139</v>
      </c>
      <c r="R464" t="s">
        <v>139</v>
      </c>
      <c r="S464" t="s">
        <v>139</v>
      </c>
      <c r="T464" t="s">
        <v>139</v>
      </c>
      <c r="U464">
        <v>258020.7</v>
      </c>
      <c r="V464" s="6" t="s">
        <v>139</v>
      </c>
      <c r="W464" t="s">
        <v>139</v>
      </c>
      <c r="X464" t="s">
        <v>139</v>
      </c>
      <c r="Y464" t="s">
        <v>139</v>
      </c>
      <c r="Z464">
        <v>192497.9</v>
      </c>
      <c r="AA464" t="s">
        <v>139</v>
      </c>
      <c r="AB464" t="s">
        <v>139</v>
      </c>
      <c r="AC464" t="s">
        <v>139</v>
      </c>
      <c r="AD464">
        <v>193034.2</v>
      </c>
      <c r="AE464" t="s">
        <v>139</v>
      </c>
      <c r="AF464">
        <v>26953.4</v>
      </c>
      <c r="AG464">
        <v>163440</v>
      </c>
      <c r="AH464" s="9">
        <v>2188372.6</v>
      </c>
      <c r="AI464">
        <v>1616854.5</v>
      </c>
      <c r="AJ464">
        <v>338186.4</v>
      </c>
      <c r="AK464" t="s">
        <v>139</v>
      </c>
      <c r="AL464">
        <v>307859.8</v>
      </c>
      <c r="AM464" t="s">
        <v>139</v>
      </c>
      <c r="AN464">
        <v>122041.5</v>
      </c>
      <c r="AO464" s="9">
        <v>2040446.4</v>
      </c>
      <c r="AP464">
        <v>147926.20000000001</v>
      </c>
      <c r="AQ464" t="s">
        <v>139</v>
      </c>
      <c r="AR464" t="s">
        <v>139</v>
      </c>
      <c r="AS464">
        <f t="shared" si="6"/>
        <v>1955040.9</v>
      </c>
      <c r="AT464">
        <f t="shared" si="5"/>
        <v>1.1193487563354814</v>
      </c>
    </row>
    <row r="465" spans="1:46" x14ac:dyDescent="0.4">
      <c r="A465" s="3" t="s">
        <v>596</v>
      </c>
      <c r="B465">
        <v>1720996.4</v>
      </c>
      <c r="C465">
        <v>406301.5</v>
      </c>
      <c r="D465">
        <v>265219.20000000001</v>
      </c>
      <c r="E465" t="s">
        <v>139</v>
      </c>
      <c r="F465" t="s">
        <v>139</v>
      </c>
      <c r="G465">
        <v>141082.29999999999</v>
      </c>
      <c r="H465" t="s">
        <v>139</v>
      </c>
      <c r="I465" t="s">
        <v>139</v>
      </c>
      <c r="J465">
        <v>1314694.8999999999</v>
      </c>
      <c r="K465">
        <v>475622.2</v>
      </c>
      <c r="L465">
        <v>383130.8</v>
      </c>
      <c r="M465" t="s">
        <v>139</v>
      </c>
      <c r="N465" t="s">
        <v>139</v>
      </c>
      <c r="O465" t="s">
        <v>139</v>
      </c>
      <c r="P465" t="s">
        <v>139</v>
      </c>
      <c r="Q465" t="s">
        <v>139</v>
      </c>
      <c r="R465" t="s">
        <v>139</v>
      </c>
      <c r="S465" t="s">
        <v>139</v>
      </c>
      <c r="T465" t="s">
        <v>139</v>
      </c>
      <c r="U465">
        <v>261826.6</v>
      </c>
      <c r="V465" s="6" t="s">
        <v>139</v>
      </c>
      <c r="W465" t="s">
        <v>139</v>
      </c>
      <c r="X465" t="s">
        <v>139</v>
      </c>
      <c r="Y465" t="s">
        <v>139</v>
      </c>
      <c r="Z465">
        <v>194115.3</v>
      </c>
      <c r="AA465" t="s">
        <v>139</v>
      </c>
      <c r="AB465" t="s">
        <v>139</v>
      </c>
      <c r="AC465" t="s">
        <v>139</v>
      </c>
      <c r="AD465">
        <v>198170.8</v>
      </c>
      <c r="AE465" t="s">
        <v>139</v>
      </c>
      <c r="AF465">
        <v>29586.799999999999</v>
      </c>
      <c r="AG465">
        <v>164002.70000000001</v>
      </c>
      <c r="AH465" s="9">
        <v>2212933.2000000002</v>
      </c>
      <c r="AI465">
        <v>1632591.9</v>
      </c>
      <c r="AJ465">
        <v>337319.1</v>
      </c>
      <c r="AK465" t="s">
        <v>139</v>
      </c>
      <c r="AL465">
        <v>308294.5</v>
      </c>
      <c r="AM465" t="s">
        <v>139</v>
      </c>
      <c r="AN465">
        <v>122881.1</v>
      </c>
      <c r="AO465" s="9">
        <v>2059649.4</v>
      </c>
      <c r="AP465">
        <v>153283.9</v>
      </c>
      <c r="AQ465" t="s">
        <v>139</v>
      </c>
      <c r="AR465" t="s">
        <v>139</v>
      </c>
      <c r="AS465">
        <f t="shared" si="6"/>
        <v>1969911</v>
      </c>
      <c r="AT465">
        <f t="shared" si="5"/>
        <v>1.1233670962799842</v>
      </c>
    </row>
    <row r="466" spans="1:46" x14ac:dyDescent="0.4">
      <c r="A466" s="3" t="s">
        <v>597</v>
      </c>
      <c r="B466">
        <v>1735890.8</v>
      </c>
      <c r="C466">
        <v>409940.6</v>
      </c>
      <c r="D466">
        <v>269287.2</v>
      </c>
      <c r="E466" t="s">
        <v>139</v>
      </c>
      <c r="F466" t="s">
        <v>139</v>
      </c>
      <c r="G466">
        <v>140653.29999999999</v>
      </c>
      <c r="H466" t="s">
        <v>139</v>
      </c>
      <c r="I466" t="s">
        <v>139</v>
      </c>
      <c r="J466">
        <v>1325950.2</v>
      </c>
      <c r="K466">
        <v>480242.2</v>
      </c>
      <c r="L466">
        <v>387193.7</v>
      </c>
      <c r="M466" t="s">
        <v>139</v>
      </c>
      <c r="N466" t="s">
        <v>139</v>
      </c>
      <c r="O466" t="s">
        <v>139</v>
      </c>
      <c r="P466" t="s">
        <v>139</v>
      </c>
      <c r="Q466" t="s">
        <v>139</v>
      </c>
      <c r="R466" t="s">
        <v>139</v>
      </c>
      <c r="S466" t="s">
        <v>139</v>
      </c>
      <c r="T466" t="s">
        <v>139</v>
      </c>
      <c r="U466">
        <v>265666.2</v>
      </c>
      <c r="V466" s="6" t="s">
        <v>139</v>
      </c>
      <c r="W466" t="s">
        <v>139</v>
      </c>
      <c r="X466" t="s">
        <v>139</v>
      </c>
      <c r="Y466" t="s">
        <v>139</v>
      </c>
      <c r="Z466">
        <v>192848.2</v>
      </c>
      <c r="AA466" t="s">
        <v>139</v>
      </c>
      <c r="AB466" t="s">
        <v>139</v>
      </c>
      <c r="AC466" t="s">
        <v>139</v>
      </c>
      <c r="AD466">
        <v>196142.2</v>
      </c>
      <c r="AE466" t="s">
        <v>139</v>
      </c>
      <c r="AF466">
        <v>29255.3</v>
      </c>
      <c r="AG466">
        <v>159764</v>
      </c>
      <c r="AH466" s="9">
        <v>2222660.9</v>
      </c>
      <c r="AI466">
        <v>1645565.2</v>
      </c>
      <c r="AJ466">
        <v>340238.8</v>
      </c>
      <c r="AK466" t="s">
        <v>139</v>
      </c>
      <c r="AL466">
        <v>301565.40000000002</v>
      </c>
      <c r="AM466" t="s">
        <v>139</v>
      </c>
      <c r="AN466">
        <v>126891.7</v>
      </c>
      <c r="AO466" s="9">
        <v>2067838.5</v>
      </c>
      <c r="AP466">
        <v>154822.5</v>
      </c>
      <c r="AQ466" t="s">
        <v>139</v>
      </c>
      <c r="AR466" t="s">
        <v>139</v>
      </c>
      <c r="AS466">
        <f t="shared" si="6"/>
        <v>1985804</v>
      </c>
      <c r="AT466">
        <f t="shared" si="5"/>
        <v>1.1192750644071621</v>
      </c>
    </row>
    <row r="467" spans="1:46" x14ac:dyDescent="0.4">
      <c r="A467" s="3" t="s">
        <v>598</v>
      </c>
      <c r="B467">
        <v>1736720</v>
      </c>
      <c r="C467">
        <v>409148.4</v>
      </c>
      <c r="D467">
        <v>270724.2</v>
      </c>
      <c r="E467" t="s">
        <v>139</v>
      </c>
      <c r="F467" t="s">
        <v>139</v>
      </c>
      <c r="G467">
        <v>138424.20000000001</v>
      </c>
      <c r="H467" t="s">
        <v>139</v>
      </c>
      <c r="I467" t="s">
        <v>139</v>
      </c>
      <c r="J467">
        <v>1327571.6000000001</v>
      </c>
      <c r="K467">
        <v>478997.4</v>
      </c>
      <c r="L467">
        <v>390538.2</v>
      </c>
      <c r="M467" t="s">
        <v>139</v>
      </c>
      <c r="N467" t="s">
        <v>139</v>
      </c>
      <c r="O467" t="s">
        <v>139</v>
      </c>
      <c r="P467" t="s">
        <v>139</v>
      </c>
      <c r="Q467" t="s">
        <v>139</v>
      </c>
      <c r="R467" t="s">
        <v>139</v>
      </c>
      <c r="S467" t="s">
        <v>139</v>
      </c>
      <c r="T467" t="s">
        <v>139</v>
      </c>
      <c r="U467">
        <v>267066.59999999998</v>
      </c>
      <c r="V467" s="6" t="s">
        <v>139</v>
      </c>
      <c r="W467" t="s">
        <v>139</v>
      </c>
      <c r="X467" t="s">
        <v>139</v>
      </c>
      <c r="Y467" t="s">
        <v>139</v>
      </c>
      <c r="Z467">
        <v>190969.3</v>
      </c>
      <c r="AA467" t="s">
        <v>139</v>
      </c>
      <c r="AB467" t="s">
        <v>139</v>
      </c>
      <c r="AC467" t="s">
        <v>139</v>
      </c>
      <c r="AD467">
        <v>203342.5</v>
      </c>
      <c r="AE467" t="s">
        <v>139</v>
      </c>
      <c r="AF467">
        <v>34815.300000000003</v>
      </c>
      <c r="AG467">
        <v>149491.70000000001</v>
      </c>
      <c r="AH467" s="9">
        <v>2227559.2999999998</v>
      </c>
      <c r="AI467">
        <v>1662910</v>
      </c>
      <c r="AJ467">
        <v>336268.3</v>
      </c>
      <c r="AK467" t="s">
        <v>139</v>
      </c>
      <c r="AL467">
        <v>282117.2</v>
      </c>
      <c r="AM467" t="s">
        <v>139</v>
      </c>
      <c r="AN467">
        <v>149205.5</v>
      </c>
      <c r="AO467" s="9">
        <v>2064669</v>
      </c>
      <c r="AP467">
        <v>162890.29999999999</v>
      </c>
      <c r="AQ467" t="s">
        <v>139</v>
      </c>
      <c r="AR467" t="s">
        <v>139</v>
      </c>
      <c r="AS467">
        <f t="shared" si="6"/>
        <v>1999178.3</v>
      </c>
      <c r="AT467">
        <f t="shared" si="5"/>
        <v>1.1142374344499437</v>
      </c>
    </row>
    <row r="468" spans="1:46" x14ac:dyDescent="0.4">
      <c r="A468" s="3" t="s">
        <v>599</v>
      </c>
      <c r="B468">
        <v>1753260.1</v>
      </c>
      <c r="C468">
        <v>413665.1</v>
      </c>
      <c r="D468">
        <v>273267.20000000001</v>
      </c>
      <c r="E468" t="s">
        <v>139</v>
      </c>
      <c r="F468" t="s">
        <v>139</v>
      </c>
      <c r="G468">
        <v>140397.9</v>
      </c>
      <c r="H468" t="s">
        <v>139</v>
      </c>
      <c r="I468" t="s">
        <v>139</v>
      </c>
      <c r="J468">
        <v>1339595</v>
      </c>
      <c r="K468">
        <v>480774.8</v>
      </c>
      <c r="L468">
        <v>394287.6</v>
      </c>
      <c r="M468" t="s">
        <v>139</v>
      </c>
      <c r="N468" t="s">
        <v>139</v>
      </c>
      <c r="O468" t="s">
        <v>139</v>
      </c>
      <c r="P468" t="s">
        <v>139</v>
      </c>
      <c r="Q468" t="s">
        <v>139</v>
      </c>
      <c r="R468" t="s">
        <v>139</v>
      </c>
      <c r="S468" t="s">
        <v>139</v>
      </c>
      <c r="T468" t="s">
        <v>139</v>
      </c>
      <c r="U468">
        <v>270753.59999999998</v>
      </c>
      <c r="V468" s="6" t="s">
        <v>139</v>
      </c>
      <c r="W468" t="s">
        <v>139</v>
      </c>
      <c r="X468" t="s">
        <v>139</v>
      </c>
      <c r="Y468" t="s">
        <v>139</v>
      </c>
      <c r="Z468">
        <v>193778.9</v>
      </c>
      <c r="AA468" t="s">
        <v>139</v>
      </c>
      <c r="AB468" t="s">
        <v>139</v>
      </c>
      <c r="AC468" t="s">
        <v>139</v>
      </c>
      <c r="AD468">
        <v>205618.4</v>
      </c>
      <c r="AE468" t="s">
        <v>139</v>
      </c>
      <c r="AF468">
        <v>35331.9</v>
      </c>
      <c r="AG468">
        <v>147739.4</v>
      </c>
      <c r="AH468" s="9">
        <v>2250121.7999999998</v>
      </c>
      <c r="AI468">
        <v>1676107.2</v>
      </c>
      <c r="AJ468">
        <v>333155.59999999998</v>
      </c>
      <c r="AK468" t="s">
        <v>139</v>
      </c>
      <c r="AL468">
        <v>295240.59999999998</v>
      </c>
      <c r="AM468" t="s">
        <v>139</v>
      </c>
      <c r="AN468">
        <v>149915.1</v>
      </c>
      <c r="AO468" s="9">
        <v>2092290.2</v>
      </c>
      <c r="AP468">
        <v>157831.70000000001</v>
      </c>
      <c r="AQ468" t="s">
        <v>139</v>
      </c>
      <c r="AR468" t="s">
        <v>139</v>
      </c>
      <c r="AS468">
        <f t="shared" si="6"/>
        <v>2009262.7999999998</v>
      </c>
      <c r="AT468">
        <f t="shared" si="5"/>
        <v>1.1198743141016696</v>
      </c>
    </row>
    <row r="469" spans="1:46" x14ac:dyDescent="0.4">
      <c r="A469" s="3" t="s">
        <v>600</v>
      </c>
      <c r="B469">
        <v>1770853.6</v>
      </c>
      <c r="C469">
        <v>419505.2</v>
      </c>
      <c r="D469">
        <v>277463.09999999998</v>
      </c>
      <c r="E469" t="s">
        <v>139</v>
      </c>
      <c r="F469" t="s">
        <v>139</v>
      </c>
      <c r="G469">
        <v>142042.1</v>
      </c>
      <c r="H469" t="s">
        <v>139</v>
      </c>
      <c r="I469" t="s">
        <v>139</v>
      </c>
      <c r="J469">
        <v>1351348.4</v>
      </c>
      <c r="K469">
        <v>482308.9</v>
      </c>
      <c r="L469">
        <v>397672.5</v>
      </c>
      <c r="M469" t="s">
        <v>139</v>
      </c>
      <c r="N469" t="s">
        <v>139</v>
      </c>
      <c r="O469" t="s">
        <v>139</v>
      </c>
      <c r="P469" t="s">
        <v>139</v>
      </c>
      <c r="Q469" t="s">
        <v>139</v>
      </c>
      <c r="R469" t="s">
        <v>139</v>
      </c>
      <c r="S469" t="s">
        <v>139</v>
      </c>
      <c r="T469" t="s">
        <v>139</v>
      </c>
      <c r="U469">
        <v>274150.2</v>
      </c>
      <c r="V469" s="6" t="s">
        <v>139</v>
      </c>
      <c r="W469" t="s">
        <v>139</v>
      </c>
      <c r="X469" t="s">
        <v>139</v>
      </c>
      <c r="Y469" t="s">
        <v>139</v>
      </c>
      <c r="Z469">
        <v>197216.8</v>
      </c>
      <c r="AA469" t="s">
        <v>139</v>
      </c>
      <c r="AB469" t="s">
        <v>139</v>
      </c>
      <c r="AC469" t="s">
        <v>139</v>
      </c>
      <c r="AD469">
        <v>205097.60000000001</v>
      </c>
      <c r="AE469" t="s">
        <v>139</v>
      </c>
      <c r="AF469">
        <v>35272.199999999997</v>
      </c>
      <c r="AG469">
        <v>149651.6</v>
      </c>
      <c r="AH469" s="9">
        <v>2274583.1</v>
      </c>
      <c r="AI469">
        <v>1687734.7</v>
      </c>
      <c r="AJ469">
        <v>331414</v>
      </c>
      <c r="AK469" t="s">
        <v>139</v>
      </c>
      <c r="AL469">
        <v>302316.2</v>
      </c>
      <c r="AM469" t="s">
        <v>139</v>
      </c>
      <c r="AN469">
        <v>151530.20000000001</v>
      </c>
      <c r="AO469" s="9">
        <v>2109813.9</v>
      </c>
      <c r="AP469">
        <v>164769.20000000001</v>
      </c>
      <c r="AQ469" t="s">
        <v>139</v>
      </c>
      <c r="AR469" t="s">
        <v>139</v>
      </c>
      <c r="AS469">
        <f t="shared" si="6"/>
        <v>2019148.7</v>
      </c>
      <c r="AT469">
        <f t="shared" si="5"/>
        <v>1.1265059873995413</v>
      </c>
    </row>
    <row r="470" spans="1:46" x14ac:dyDescent="0.4">
      <c r="A470" s="3" t="s">
        <v>601</v>
      </c>
      <c r="B470">
        <v>1782529.8</v>
      </c>
      <c r="C470">
        <v>419092.9</v>
      </c>
      <c r="D470">
        <v>274708.40000000002</v>
      </c>
      <c r="E470" t="s">
        <v>139</v>
      </c>
      <c r="F470" t="s">
        <v>139</v>
      </c>
      <c r="G470">
        <v>144384.5</v>
      </c>
      <c r="H470" t="s">
        <v>139</v>
      </c>
      <c r="I470" t="s">
        <v>139</v>
      </c>
      <c r="J470">
        <v>1363436.8</v>
      </c>
      <c r="K470">
        <v>487073.8</v>
      </c>
      <c r="L470">
        <v>401099.5</v>
      </c>
      <c r="M470" t="s">
        <v>139</v>
      </c>
      <c r="N470" t="s">
        <v>139</v>
      </c>
      <c r="O470" t="s">
        <v>139</v>
      </c>
      <c r="P470" t="s">
        <v>139</v>
      </c>
      <c r="Q470" t="s">
        <v>139</v>
      </c>
      <c r="R470" t="s">
        <v>139</v>
      </c>
      <c r="S470" t="s">
        <v>139</v>
      </c>
      <c r="T470" t="s">
        <v>139</v>
      </c>
      <c r="U470">
        <v>278021.90000000002</v>
      </c>
      <c r="V470" s="6" t="s">
        <v>139</v>
      </c>
      <c r="W470" t="s">
        <v>139</v>
      </c>
      <c r="X470" t="s">
        <v>139</v>
      </c>
      <c r="Y470" t="s">
        <v>139</v>
      </c>
      <c r="Z470">
        <v>197241.60000000001</v>
      </c>
      <c r="AA470" t="s">
        <v>139</v>
      </c>
      <c r="AB470" t="s">
        <v>139</v>
      </c>
      <c r="AC470" t="s">
        <v>139</v>
      </c>
      <c r="AD470">
        <v>205578.8</v>
      </c>
      <c r="AE470" t="s">
        <v>139</v>
      </c>
      <c r="AF470">
        <v>34302.5</v>
      </c>
      <c r="AG470">
        <v>150561.60000000001</v>
      </c>
      <c r="AH470" s="9">
        <v>2282351.4</v>
      </c>
      <c r="AI470">
        <v>1695226.1</v>
      </c>
      <c r="AJ470">
        <v>330537.40000000002</v>
      </c>
      <c r="AK470" t="s">
        <v>139</v>
      </c>
      <c r="AL470">
        <v>305251.90000000002</v>
      </c>
      <c r="AM470" t="s">
        <v>139</v>
      </c>
      <c r="AN470">
        <v>151052.29999999999</v>
      </c>
      <c r="AO470" s="9">
        <v>2117897.1</v>
      </c>
      <c r="AP470">
        <v>164454.20000000001</v>
      </c>
      <c r="AQ470" t="s">
        <v>139</v>
      </c>
      <c r="AR470" t="s">
        <v>139</v>
      </c>
      <c r="AS470">
        <f t="shared" si="6"/>
        <v>2025763.5</v>
      </c>
      <c r="AT470">
        <f t="shared" si="5"/>
        <v>1.1266623176891082</v>
      </c>
    </row>
    <row r="471" spans="1:46" x14ac:dyDescent="0.4">
      <c r="A471" s="3" t="s">
        <v>602</v>
      </c>
      <c r="B471">
        <v>1791133</v>
      </c>
      <c r="C471">
        <v>418060.5</v>
      </c>
      <c r="D471">
        <v>271422.40000000002</v>
      </c>
      <c r="E471" t="s">
        <v>139</v>
      </c>
      <c r="F471" t="s">
        <v>139</v>
      </c>
      <c r="G471">
        <v>146638</v>
      </c>
      <c r="H471" t="s">
        <v>139</v>
      </c>
      <c r="I471" t="s">
        <v>139</v>
      </c>
      <c r="J471">
        <v>1373072.5</v>
      </c>
      <c r="K471">
        <v>489911.9</v>
      </c>
      <c r="L471">
        <v>405202.8</v>
      </c>
      <c r="M471" t="s">
        <v>139</v>
      </c>
      <c r="N471" t="s">
        <v>139</v>
      </c>
      <c r="O471" t="s">
        <v>139</v>
      </c>
      <c r="P471" t="s">
        <v>139</v>
      </c>
      <c r="Q471" t="s">
        <v>139</v>
      </c>
      <c r="R471" t="s">
        <v>139</v>
      </c>
      <c r="S471" t="s">
        <v>139</v>
      </c>
      <c r="T471" t="s">
        <v>139</v>
      </c>
      <c r="U471">
        <v>281473.3</v>
      </c>
      <c r="V471" s="6" t="s">
        <v>139</v>
      </c>
      <c r="W471" t="s">
        <v>139</v>
      </c>
      <c r="X471" t="s">
        <v>139</v>
      </c>
      <c r="Y471" t="s">
        <v>139</v>
      </c>
      <c r="Z471">
        <v>196484.6</v>
      </c>
      <c r="AA471" t="s">
        <v>139</v>
      </c>
      <c r="AB471" t="s">
        <v>139</v>
      </c>
      <c r="AC471" t="s">
        <v>139</v>
      </c>
      <c r="AD471">
        <v>207230.5</v>
      </c>
      <c r="AE471" t="s">
        <v>139</v>
      </c>
      <c r="AF471">
        <v>34580.800000000003</v>
      </c>
      <c r="AG471">
        <v>148016.6</v>
      </c>
      <c r="AH471" s="9">
        <v>2290000.4</v>
      </c>
      <c r="AI471">
        <v>1707316.8</v>
      </c>
      <c r="AJ471">
        <v>333472.5</v>
      </c>
      <c r="AK471" t="s">
        <v>139</v>
      </c>
      <c r="AL471">
        <v>302164.2</v>
      </c>
      <c r="AM471" t="s">
        <v>139</v>
      </c>
      <c r="AN471">
        <v>150222.1</v>
      </c>
      <c r="AO471" s="9">
        <v>2126987.6</v>
      </c>
      <c r="AP471">
        <v>163012.79999999999</v>
      </c>
      <c r="AQ471" t="s">
        <v>139</v>
      </c>
      <c r="AR471" t="s">
        <v>139</v>
      </c>
      <c r="AS471">
        <f t="shared" si="6"/>
        <v>2040789.3</v>
      </c>
      <c r="AT471">
        <f t="shared" si="5"/>
        <v>1.1221150561696889</v>
      </c>
    </row>
    <row r="472" spans="1:46" x14ac:dyDescent="0.4">
      <c r="A472" s="3" t="s">
        <v>603</v>
      </c>
      <c r="B472">
        <v>1805878.8</v>
      </c>
      <c r="C472">
        <v>420440.4</v>
      </c>
      <c r="D472">
        <v>271703.59999999998</v>
      </c>
      <c r="E472" t="s">
        <v>139</v>
      </c>
      <c r="F472" t="s">
        <v>139</v>
      </c>
      <c r="G472">
        <v>148736.70000000001</v>
      </c>
      <c r="H472" t="s">
        <v>139</v>
      </c>
      <c r="I472" t="s">
        <v>139</v>
      </c>
      <c r="J472">
        <v>1385438.5</v>
      </c>
      <c r="K472">
        <v>494395.3</v>
      </c>
      <c r="L472">
        <v>409749.5</v>
      </c>
      <c r="M472" t="s">
        <v>139</v>
      </c>
      <c r="N472" t="s">
        <v>139</v>
      </c>
      <c r="O472" t="s">
        <v>139</v>
      </c>
      <c r="P472" t="s">
        <v>139</v>
      </c>
      <c r="Q472" t="s">
        <v>139</v>
      </c>
      <c r="R472" t="s">
        <v>139</v>
      </c>
      <c r="S472" t="s">
        <v>139</v>
      </c>
      <c r="T472" t="s">
        <v>139</v>
      </c>
      <c r="U472">
        <v>283948.5</v>
      </c>
      <c r="V472" s="6" t="s">
        <v>139</v>
      </c>
      <c r="W472" t="s">
        <v>139</v>
      </c>
      <c r="X472" t="s">
        <v>139</v>
      </c>
      <c r="Y472" t="s">
        <v>139</v>
      </c>
      <c r="Z472">
        <v>197345.2</v>
      </c>
      <c r="AA472" t="s">
        <v>139</v>
      </c>
      <c r="AB472" t="s">
        <v>139</v>
      </c>
      <c r="AC472" t="s">
        <v>139</v>
      </c>
      <c r="AD472">
        <v>208459.2</v>
      </c>
      <c r="AE472" t="s">
        <v>139</v>
      </c>
      <c r="AF472">
        <v>35712.5</v>
      </c>
      <c r="AG472">
        <v>149250.29999999999</v>
      </c>
      <c r="AH472" s="9">
        <v>2309898.2000000002</v>
      </c>
      <c r="AI472">
        <v>1722124.2</v>
      </c>
      <c r="AJ472">
        <v>336613.7</v>
      </c>
      <c r="AK472" t="s">
        <v>139</v>
      </c>
      <c r="AL472">
        <v>306576.5</v>
      </c>
      <c r="AM472" t="s">
        <v>139</v>
      </c>
      <c r="AN472">
        <v>149891.1</v>
      </c>
      <c r="AO472" s="9">
        <v>2142946.5</v>
      </c>
      <c r="AP472">
        <v>166951.70000000001</v>
      </c>
      <c r="AQ472" t="s">
        <v>139</v>
      </c>
      <c r="AR472" t="s">
        <v>139</v>
      </c>
      <c r="AS472">
        <f t="shared" si="6"/>
        <v>2058737.9</v>
      </c>
      <c r="AT472">
        <f t="shared" si="5"/>
        <v>1.1219972197529371</v>
      </c>
    </row>
    <row r="473" spans="1:46" x14ac:dyDescent="0.4">
      <c r="A473" s="3" t="s">
        <v>604</v>
      </c>
      <c r="B473">
        <v>1812320.1</v>
      </c>
      <c r="C473">
        <v>422351</v>
      </c>
      <c r="D473">
        <v>268730.8</v>
      </c>
      <c r="E473" t="s">
        <v>139</v>
      </c>
      <c r="F473" t="s">
        <v>139</v>
      </c>
      <c r="G473">
        <v>153620.20000000001</v>
      </c>
      <c r="H473" t="s">
        <v>139</v>
      </c>
      <c r="I473" t="s">
        <v>139</v>
      </c>
      <c r="J473">
        <v>1389969.1</v>
      </c>
      <c r="K473">
        <v>493304.4</v>
      </c>
      <c r="L473">
        <v>414377.7</v>
      </c>
      <c r="M473" t="s">
        <v>139</v>
      </c>
      <c r="N473" t="s">
        <v>139</v>
      </c>
      <c r="O473" t="s">
        <v>139</v>
      </c>
      <c r="P473" t="s">
        <v>139</v>
      </c>
      <c r="Q473" t="s">
        <v>139</v>
      </c>
      <c r="R473" t="s">
        <v>139</v>
      </c>
      <c r="S473" t="s">
        <v>139</v>
      </c>
      <c r="T473" t="s">
        <v>139</v>
      </c>
      <c r="U473">
        <v>287344.5</v>
      </c>
      <c r="V473" s="6" t="s">
        <v>139</v>
      </c>
      <c r="W473" t="s">
        <v>139</v>
      </c>
      <c r="X473" t="s">
        <v>139</v>
      </c>
      <c r="Y473" t="s">
        <v>139</v>
      </c>
      <c r="Z473">
        <v>194942.5</v>
      </c>
      <c r="AA473" t="s">
        <v>139</v>
      </c>
      <c r="AB473" t="s">
        <v>139</v>
      </c>
      <c r="AC473" t="s">
        <v>139</v>
      </c>
      <c r="AD473">
        <v>209013.4</v>
      </c>
      <c r="AE473" t="s">
        <v>139</v>
      </c>
      <c r="AF473">
        <v>35810.699999999997</v>
      </c>
      <c r="AG473">
        <v>146794.5</v>
      </c>
      <c r="AH473" s="9">
        <v>2314268.9</v>
      </c>
      <c r="AI473">
        <v>1731386.4</v>
      </c>
      <c r="AJ473">
        <v>339675.1</v>
      </c>
      <c r="AK473" t="s">
        <v>139</v>
      </c>
      <c r="AL473">
        <v>299800.90000000002</v>
      </c>
      <c r="AM473" t="s">
        <v>139</v>
      </c>
      <c r="AN473">
        <v>147821.70000000001</v>
      </c>
      <c r="AO473" s="9">
        <v>2143438.9</v>
      </c>
      <c r="AP473">
        <v>170830</v>
      </c>
      <c r="AQ473" t="s">
        <v>139</v>
      </c>
      <c r="AR473" t="s">
        <v>139</v>
      </c>
      <c r="AS473">
        <f t="shared" si="6"/>
        <v>2071061.5</v>
      </c>
      <c r="AT473">
        <f t="shared" si="5"/>
        <v>1.1174312785979557</v>
      </c>
    </row>
    <row r="474" spans="1:46" x14ac:dyDescent="0.4">
      <c r="A474" s="3" t="s">
        <v>605</v>
      </c>
      <c r="B474">
        <v>1833869.4</v>
      </c>
      <c r="C474">
        <v>427963.1</v>
      </c>
      <c r="D474">
        <v>265689.2</v>
      </c>
      <c r="E474" t="s">
        <v>139</v>
      </c>
      <c r="F474" t="s">
        <v>139</v>
      </c>
      <c r="G474">
        <v>162273.9</v>
      </c>
      <c r="H474" t="s">
        <v>139</v>
      </c>
      <c r="I474" t="s">
        <v>139</v>
      </c>
      <c r="J474">
        <v>1405906.3</v>
      </c>
      <c r="K474">
        <v>497058.5</v>
      </c>
      <c r="L474">
        <v>418653.3</v>
      </c>
      <c r="M474" t="s">
        <v>139</v>
      </c>
      <c r="N474" t="s">
        <v>139</v>
      </c>
      <c r="O474" t="s">
        <v>139</v>
      </c>
      <c r="P474" t="s">
        <v>139</v>
      </c>
      <c r="Q474" t="s">
        <v>139</v>
      </c>
      <c r="R474" t="s">
        <v>139</v>
      </c>
      <c r="S474" t="s">
        <v>139</v>
      </c>
      <c r="T474" t="s">
        <v>139</v>
      </c>
      <c r="U474">
        <v>289482.7</v>
      </c>
      <c r="V474" s="6" t="s">
        <v>139</v>
      </c>
      <c r="W474" t="s">
        <v>139</v>
      </c>
      <c r="X474" t="s">
        <v>139</v>
      </c>
      <c r="Y474" t="s">
        <v>139</v>
      </c>
      <c r="Z474">
        <v>200711.9</v>
      </c>
      <c r="AA474" t="s">
        <v>139</v>
      </c>
      <c r="AB474" t="s">
        <v>139</v>
      </c>
      <c r="AC474" t="s">
        <v>139</v>
      </c>
      <c r="AD474">
        <v>211781.7</v>
      </c>
      <c r="AE474" t="s">
        <v>139</v>
      </c>
      <c r="AF474">
        <v>34368.199999999997</v>
      </c>
      <c r="AG474">
        <v>147843.79999999999</v>
      </c>
      <c r="AH474" s="9">
        <v>2346009.4</v>
      </c>
      <c r="AI474">
        <v>1743863.8</v>
      </c>
      <c r="AJ474">
        <v>340704.5</v>
      </c>
      <c r="AK474" t="s">
        <v>139</v>
      </c>
      <c r="AL474">
        <v>328798.7</v>
      </c>
      <c r="AM474" t="s">
        <v>139</v>
      </c>
      <c r="AN474">
        <v>142150.1</v>
      </c>
      <c r="AO474" s="9">
        <v>2179518.4</v>
      </c>
      <c r="AP474">
        <v>166491</v>
      </c>
      <c r="AQ474" t="s">
        <v>139</v>
      </c>
      <c r="AR474" t="s">
        <v>139</v>
      </c>
      <c r="AS474">
        <f t="shared" si="6"/>
        <v>2084568.3</v>
      </c>
      <c r="AT474">
        <f t="shared" si="5"/>
        <v>1.1254173825822833</v>
      </c>
    </row>
    <row r="475" spans="1:46" x14ac:dyDescent="0.4">
      <c r="A475" s="3" t="s">
        <v>606</v>
      </c>
      <c r="B475">
        <v>1857240.2</v>
      </c>
      <c r="C475">
        <v>439382.8</v>
      </c>
      <c r="D475">
        <v>263103</v>
      </c>
      <c r="E475" t="s">
        <v>139</v>
      </c>
      <c r="F475" t="s">
        <v>139</v>
      </c>
      <c r="G475">
        <v>176279.9</v>
      </c>
      <c r="H475" t="s">
        <v>139</v>
      </c>
      <c r="I475" t="s">
        <v>139</v>
      </c>
      <c r="J475">
        <v>1417857.4</v>
      </c>
      <c r="K475">
        <v>498711</v>
      </c>
      <c r="L475">
        <v>422893.6</v>
      </c>
      <c r="M475" t="s">
        <v>139</v>
      </c>
      <c r="N475" t="s">
        <v>139</v>
      </c>
      <c r="O475" t="s">
        <v>139</v>
      </c>
      <c r="P475" t="s">
        <v>139</v>
      </c>
      <c r="Q475" t="s">
        <v>139</v>
      </c>
      <c r="R475" t="s">
        <v>139</v>
      </c>
      <c r="S475" t="s">
        <v>139</v>
      </c>
      <c r="T475" t="s">
        <v>139</v>
      </c>
      <c r="U475">
        <v>291072.59999999998</v>
      </c>
      <c r="V475" s="6" t="s">
        <v>139</v>
      </c>
      <c r="W475" t="s">
        <v>139</v>
      </c>
      <c r="X475" t="s">
        <v>139</v>
      </c>
      <c r="Y475" t="s">
        <v>139</v>
      </c>
      <c r="Z475">
        <v>205180.3</v>
      </c>
      <c r="AA475" t="s">
        <v>139</v>
      </c>
      <c r="AB475" t="s">
        <v>139</v>
      </c>
      <c r="AC475" t="s">
        <v>139</v>
      </c>
      <c r="AD475">
        <v>216587.4</v>
      </c>
      <c r="AE475" t="s">
        <v>139</v>
      </c>
      <c r="AF475">
        <v>34525.1</v>
      </c>
      <c r="AG475">
        <v>150620.4</v>
      </c>
      <c r="AH475" s="9">
        <v>2379206.1</v>
      </c>
      <c r="AI475">
        <v>1761469.9</v>
      </c>
      <c r="AJ475">
        <v>342262.6</v>
      </c>
      <c r="AK475" t="s">
        <v>139</v>
      </c>
      <c r="AL475">
        <v>347165.6</v>
      </c>
      <c r="AM475" t="s">
        <v>139</v>
      </c>
      <c r="AN475">
        <v>143081.1</v>
      </c>
      <c r="AO475" s="9">
        <v>2221630.7000000002</v>
      </c>
      <c r="AP475">
        <v>157575.29999999999</v>
      </c>
      <c r="AQ475" t="s">
        <v>139</v>
      </c>
      <c r="AR475" t="s">
        <v>139</v>
      </c>
      <c r="AS475">
        <f t="shared" si="6"/>
        <v>2103732.5</v>
      </c>
      <c r="AT475">
        <f t="shared" si="5"/>
        <v>1.1309451653192599</v>
      </c>
    </row>
    <row r="476" spans="1:46" x14ac:dyDescent="0.4">
      <c r="A476" s="3" t="s">
        <v>607</v>
      </c>
      <c r="B476">
        <v>1883350.8</v>
      </c>
      <c r="C476">
        <v>453798</v>
      </c>
      <c r="D476">
        <v>266367.59999999998</v>
      </c>
      <c r="E476" t="s">
        <v>139</v>
      </c>
      <c r="F476" t="s">
        <v>139</v>
      </c>
      <c r="G476">
        <v>187430.39999999999</v>
      </c>
      <c r="H476" t="s">
        <v>139</v>
      </c>
      <c r="I476" t="s">
        <v>139</v>
      </c>
      <c r="J476">
        <v>1429552.8</v>
      </c>
      <c r="K476">
        <v>500394</v>
      </c>
      <c r="L476">
        <v>427432.7</v>
      </c>
      <c r="M476" t="s">
        <v>139</v>
      </c>
      <c r="N476" t="s">
        <v>139</v>
      </c>
      <c r="O476" t="s">
        <v>139</v>
      </c>
      <c r="P476" t="s">
        <v>139</v>
      </c>
      <c r="Q476" t="s">
        <v>139</v>
      </c>
      <c r="R476" t="s">
        <v>139</v>
      </c>
      <c r="S476" t="s">
        <v>139</v>
      </c>
      <c r="T476" t="s">
        <v>139</v>
      </c>
      <c r="U476">
        <v>293236.90000000002</v>
      </c>
      <c r="V476" s="6" t="s">
        <v>139</v>
      </c>
      <c r="W476" t="s">
        <v>139</v>
      </c>
      <c r="X476" t="s">
        <v>139</v>
      </c>
      <c r="Y476" t="s">
        <v>139</v>
      </c>
      <c r="Z476">
        <v>208489.2</v>
      </c>
      <c r="AA476" t="s">
        <v>139</v>
      </c>
      <c r="AB476" t="s">
        <v>139</v>
      </c>
      <c r="AC476" t="s">
        <v>139</v>
      </c>
      <c r="AD476">
        <v>206310.39999999999</v>
      </c>
      <c r="AE476" t="s">
        <v>139</v>
      </c>
      <c r="AF476">
        <v>33515.699999999997</v>
      </c>
      <c r="AG476">
        <v>145824.6</v>
      </c>
      <c r="AH476" s="9">
        <v>2388530.4</v>
      </c>
      <c r="AI476">
        <v>1763323</v>
      </c>
      <c r="AJ476">
        <v>349305.5</v>
      </c>
      <c r="AK476" t="s">
        <v>139</v>
      </c>
      <c r="AL476">
        <v>339888.2</v>
      </c>
      <c r="AM476" t="s">
        <v>139</v>
      </c>
      <c r="AN476">
        <v>144740.4</v>
      </c>
      <c r="AO476" s="9">
        <v>2226462.2000000002</v>
      </c>
      <c r="AP476">
        <v>162068.20000000001</v>
      </c>
      <c r="AQ476" t="s">
        <v>139</v>
      </c>
      <c r="AR476" t="s">
        <v>139</v>
      </c>
      <c r="AS476">
        <f t="shared" si="6"/>
        <v>2112628.5</v>
      </c>
      <c r="AT476">
        <f t="shared" si="5"/>
        <v>1.1305965057273439</v>
      </c>
    </row>
    <row r="477" spans="1:46" x14ac:dyDescent="0.4">
      <c r="A477" s="3" t="s">
        <v>608</v>
      </c>
      <c r="B477">
        <v>1887827.4</v>
      </c>
      <c r="C477">
        <v>453457.9</v>
      </c>
      <c r="D477">
        <v>270189</v>
      </c>
      <c r="E477" t="s">
        <v>139</v>
      </c>
      <c r="F477" t="s">
        <v>139</v>
      </c>
      <c r="G477">
        <v>183268.9</v>
      </c>
      <c r="H477" t="s">
        <v>139</v>
      </c>
      <c r="I477" t="s">
        <v>139</v>
      </c>
      <c r="J477">
        <v>1434369.5</v>
      </c>
      <c r="K477">
        <v>500885.8</v>
      </c>
      <c r="L477">
        <v>432187.2</v>
      </c>
      <c r="M477" t="s">
        <v>139</v>
      </c>
      <c r="N477" t="s">
        <v>139</v>
      </c>
      <c r="O477" t="s">
        <v>139</v>
      </c>
      <c r="P477" t="s">
        <v>139</v>
      </c>
      <c r="Q477" t="s">
        <v>139</v>
      </c>
      <c r="R477" t="s">
        <v>139</v>
      </c>
      <c r="S477" t="s">
        <v>139</v>
      </c>
      <c r="T477" t="s">
        <v>139</v>
      </c>
      <c r="U477">
        <v>295125.7</v>
      </c>
      <c r="V477" s="6" t="s">
        <v>139</v>
      </c>
      <c r="W477" t="s">
        <v>139</v>
      </c>
      <c r="X477" t="s">
        <v>139</v>
      </c>
      <c r="Y477" t="s">
        <v>139</v>
      </c>
      <c r="Z477">
        <v>206170.8</v>
      </c>
      <c r="AA477" t="s">
        <v>139</v>
      </c>
      <c r="AB477" t="s">
        <v>139</v>
      </c>
      <c r="AC477" t="s">
        <v>139</v>
      </c>
      <c r="AD477">
        <v>214269.1</v>
      </c>
      <c r="AE477" t="s">
        <v>139</v>
      </c>
      <c r="AF477">
        <v>33982.6</v>
      </c>
      <c r="AG477">
        <v>144246.29999999999</v>
      </c>
      <c r="AH477" s="9">
        <v>2398688.7999999998</v>
      </c>
      <c r="AI477">
        <v>1769093.1</v>
      </c>
      <c r="AJ477">
        <v>349150</v>
      </c>
      <c r="AK477" t="s">
        <v>139</v>
      </c>
      <c r="AL477">
        <v>338541.5</v>
      </c>
      <c r="AM477" t="s">
        <v>139</v>
      </c>
      <c r="AN477">
        <v>144815.79999999999</v>
      </c>
      <c r="AO477" s="9">
        <v>2230432</v>
      </c>
      <c r="AP477">
        <v>168256.8</v>
      </c>
      <c r="AQ477" t="s">
        <v>139</v>
      </c>
      <c r="AR477" t="s">
        <v>139</v>
      </c>
      <c r="AS477">
        <f t="shared" si="6"/>
        <v>2118243.1</v>
      </c>
      <c r="AT477">
        <f t="shared" si="5"/>
        <v>1.132395427134874</v>
      </c>
    </row>
    <row r="478" spans="1:46" x14ac:dyDescent="0.4">
      <c r="A478" s="3" t="s">
        <v>609</v>
      </c>
      <c r="B478">
        <v>1901033</v>
      </c>
      <c r="C478">
        <v>450772.8</v>
      </c>
      <c r="D478">
        <v>269562</v>
      </c>
      <c r="E478" t="s">
        <v>139</v>
      </c>
      <c r="F478" t="s">
        <v>139</v>
      </c>
      <c r="G478">
        <v>181210.7</v>
      </c>
      <c r="H478" t="s">
        <v>139</v>
      </c>
      <c r="I478" t="s">
        <v>139</v>
      </c>
      <c r="J478">
        <v>1450260.2</v>
      </c>
      <c r="K478">
        <v>505410.7</v>
      </c>
      <c r="L478">
        <v>437092.6</v>
      </c>
      <c r="M478" t="s">
        <v>139</v>
      </c>
      <c r="N478" t="s">
        <v>139</v>
      </c>
      <c r="O478" t="s">
        <v>139</v>
      </c>
      <c r="P478" t="s">
        <v>139</v>
      </c>
      <c r="Q478" t="s">
        <v>139</v>
      </c>
      <c r="R478" t="s">
        <v>139</v>
      </c>
      <c r="S478" t="s">
        <v>139</v>
      </c>
      <c r="T478" t="s">
        <v>139</v>
      </c>
      <c r="U478">
        <v>296550</v>
      </c>
      <c r="V478" s="6" t="s">
        <v>139</v>
      </c>
      <c r="W478" t="s">
        <v>139</v>
      </c>
      <c r="X478" t="s">
        <v>139</v>
      </c>
      <c r="Y478" t="s">
        <v>139</v>
      </c>
      <c r="Z478">
        <v>211207</v>
      </c>
      <c r="AA478" t="s">
        <v>139</v>
      </c>
      <c r="AB478" t="s">
        <v>139</v>
      </c>
      <c r="AC478" t="s">
        <v>139</v>
      </c>
      <c r="AD478">
        <v>219782.9</v>
      </c>
      <c r="AE478" t="s">
        <v>139</v>
      </c>
      <c r="AF478">
        <v>34462.800000000003</v>
      </c>
      <c r="AG478">
        <v>147819.4</v>
      </c>
      <c r="AH478" s="9">
        <v>2425986.2000000002</v>
      </c>
      <c r="AI478">
        <v>1783328.4</v>
      </c>
      <c r="AJ478">
        <v>346567.6</v>
      </c>
      <c r="AK478" t="s">
        <v>139</v>
      </c>
      <c r="AL478">
        <v>347871.4</v>
      </c>
      <c r="AM478" t="s">
        <v>139</v>
      </c>
      <c r="AN478">
        <v>146408.79999999999</v>
      </c>
      <c r="AO478" s="9">
        <v>2255262.2999999998</v>
      </c>
      <c r="AP478">
        <v>170723.9</v>
      </c>
      <c r="AQ478" t="s">
        <v>139</v>
      </c>
      <c r="AR478" t="s">
        <v>139</v>
      </c>
      <c r="AS478">
        <f t="shared" si="6"/>
        <v>2129896</v>
      </c>
      <c r="AT478">
        <f t="shared" si="5"/>
        <v>1.1390162712169984</v>
      </c>
    </row>
    <row r="479" spans="1:46" x14ac:dyDescent="0.4">
      <c r="A479" s="3" t="s">
        <v>610</v>
      </c>
      <c r="B479">
        <v>1913789</v>
      </c>
      <c r="C479">
        <v>455235.4</v>
      </c>
      <c r="D479">
        <v>273916.09999999998</v>
      </c>
      <c r="E479" t="s">
        <v>139</v>
      </c>
      <c r="F479" t="s">
        <v>139</v>
      </c>
      <c r="G479">
        <v>181319.2</v>
      </c>
      <c r="H479" t="s">
        <v>139</v>
      </c>
      <c r="I479" t="s">
        <v>139</v>
      </c>
      <c r="J479">
        <v>1458553.6</v>
      </c>
      <c r="K479">
        <v>507603</v>
      </c>
      <c r="L479">
        <v>441899.9</v>
      </c>
      <c r="M479" t="s">
        <v>139</v>
      </c>
      <c r="N479" t="s">
        <v>139</v>
      </c>
      <c r="O479" t="s">
        <v>139</v>
      </c>
      <c r="P479" t="s">
        <v>139</v>
      </c>
      <c r="Q479" t="s">
        <v>139</v>
      </c>
      <c r="R479" t="s">
        <v>139</v>
      </c>
      <c r="S479" t="s">
        <v>139</v>
      </c>
      <c r="T479" t="s">
        <v>139</v>
      </c>
      <c r="U479">
        <v>298153.7</v>
      </c>
      <c r="V479" s="6" t="s">
        <v>139</v>
      </c>
      <c r="W479" t="s">
        <v>139</v>
      </c>
      <c r="X479" t="s">
        <v>139</v>
      </c>
      <c r="Y479" t="s">
        <v>139</v>
      </c>
      <c r="Z479">
        <v>210897</v>
      </c>
      <c r="AA479" t="s">
        <v>139</v>
      </c>
      <c r="AB479" t="s">
        <v>139</v>
      </c>
      <c r="AC479" t="s">
        <v>139</v>
      </c>
      <c r="AD479">
        <v>221096.5</v>
      </c>
      <c r="AE479" t="s">
        <v>139</v>
      </c>
      <c r="AF479">
        <v>36390.300000000003</v>
      </c>
      <c r="AG479">
        <v>150489.70000000001</v>
      </c>
      <c r="AH479" s="9">
        <v>2442477.4</v>
      </c>
      <c r="AI479">
        <v>1795975.5</v>
      </c>
      <c r="AJ479">
        <v>345488</v>
      </c>
      <c r="AK479" t="s">
        <v>139</v>
      </c>
      <c r="AL479">
        <v>351142.40000000002</v>
      </c>
      <c r="AM479" t="s">
        <v>139</v>
      </c>
      <c r="AN479">
        <v>145546.29999999999</v>
      </c>
      <c r="AO479" s="9">
        <v>2267235.1</v>
      </c>
      <c r="AP479">
        <v>175242.3</v>
      </c>
      <c r="AQ479" t="s">
        <v>139</v>
      </c>
      <c r="AR479" t="s">
        <v>139</v>
      </c>
      <c r="AS479">
        <f t="shared" si="6"/>
        <v>2141463.5</v>
      </c>
      <c r="AT479">
        <f t="shared" si="5"/>
        <v>1.1405645718453759</v>
      </c>
    </row>
    <row r="480" spans="1:46" x14ac:dyDescent="0.4">
      <c r="A480" s="3" t="s">
        <v>611</v>
      </c>
      <c r="B480">
        <v>1922984.1</v>
      </c>
      <c r="C480">
        <v>458098.2</v>
      </c>
      <c r="D480">
        <v>277298.59999999998</v>
      </c>
      <c r="E480" t="s">
        <v>139</v>
      </c>
      <c r="F480" t="s">
        <v>139</v>
      </c>
      <c r="G480">
        <v>180799.6</v>
      </c>
      <c r="H480" t="s">
        <v>139</v>
      </c>
      <c r="I480" t="s">
        <v>139</v>
      </c>
      <c r="J480">
        <v>1464886</v>
      </c>
      <c r="K480">
        <v>507929</v>
      </c>
      <c r="L480">
        <v>446586.6</v>
      </c>
      <c r="M480" t="s">
        <v>139</v>
      </c>
      <c r="N480" t="s">
        <v>139</v>
      </c>
      <c r="O480" t="s">
        <v>139</v>
      </c>
      <c r="P480" t="s">
        <v>139</v>
      </c>
      <c r="Q480" t="s">
        <v>139</v>
      </c>
      <c r="R480" t="s">
        <v>139</v>
      </c>
      <c r="S480" t="s">
        <v>139</v>
      </c>
      <c r="T480" t="s">
        <v>139</v>
      </c>
      <c r="U480">
        <v>300040.09999999998</v>
      </c>
      <c r="V480" s="6" t="s">
        <v>139</v>
      </c>
      <c r="W480" t="s">
        <v>139</v>
      </c>
      <c r="X480" t="s">
        <v>139</v>
      </c>
      <c r="Y480" t="s">
        <v>139</v>
      </c>
      <c r="Z480">
        <v>210330.3</v>
      </c>
      <c r="AA480" t="s">
        <v>139</v>
      </c>
      <c r="AB480" t="s">
        <v>139</v>
      </c>
      <c r="AC480" t="s">
        <v>139</v>
      </c>
      <c r="AD480">
        <v>222227</v>
      </c>
      <c r="AE480" t="s">
        <v>139</v>
      </c>
      <c r="AF480">
        <v>35602</v>
      </c>
      <c r="AG480">
        <v>146836.20000000001</v>
      </c>
      <c r="AH480" s="9">
        <v>2445296.2999999998</v>
      </c>
      <c r="AI480">
        <v>1805270.6</v>
      </c>
      <c r="AJ480">
        <v>341110</v>
      </c>
      <c r="AK480" t="s">
        <v>139</v>
      </c>
      <c r="AL480">
        <v>349127.3</v>
      </c>
      <c r="AM480" t="s">
        <v>139</v>
      </c>
      <c r="AN480">
        <v>145468</v>
      </c>
      <c r="AO480" s="9">
        <v>2272865.7999999998</v>
      </c>
      <c r="AP480">
        <v>172430.5</v>
      </c>
      <c r="AQ480" t="s">
        <v>139</v>
      </c>
      <c r="AR480" t="s">
        <v>139</v>
      </c>
      <c r="AS480">
        <f t="shared" si="6"/>
        <v>2146380.6</v>
      </c>
      <c r="AT480">
        <f t="shared" si="5"/>
        <v>1.1392650026747353</v>
      </c>
    </row>
    <row r="481" spans="1:46" x14ac:dyDescent="0.4">
      <c r="A481" s="3" t="s">
        <v>612</v>
      </c>
      <c r="B481">
        <v>1934980.7</v>
      </c>
      <c r="C481">
        <v>462353.4</v>
      </c>
      <c r="D481">
        <v>280040.8</v>
      </c>
      <c r="E481" t="s">
        <v>139</v>
      </c>
      <c r="F481" t="s">
        <v>139</v>
      </c>
      <c r="G481">
        <v>182312.6</v>
      </c>
      <c r="H481" t="s">
        <v>139</v>
      </c>
      <c r="I481" t="s">
        <v>139</v>
      </c>
      <c r="J481">
        <v>1472627.2</v>
      </c>
      <c r="K481">
        <v>511243.6</v>
      </c>
      <c r="L481">
        <v>451286.1</v>
      </c>
      <c r="M481" t="s">
        <v>139</v>
      </c>
      <c r="N481" t="s">
        <v>139</v>
      </c>
      <c r="O481" t="s">
        <v>139</v>
      </c>
      <c r="P481" t="s">
        <v>139</v>
      </c>
      <c r="Q481" t="s">
        <v>139</v>
      </c>
      <c r="R481" t="s">
        <v>139</v>
      </c>
      <c r="S481" t="s">
        <v>139</v>
      </c>
      <c r="T481" t="s">
        <v>139</v>
      </c>
      <c r="U481">
        <v>302215.3</v>
      </c>
      <c r="V481" s="6" t="s">
        <v>139</v>
      </c>
      <c r="W481" t="s">
        <v>139</v>
      </c>
      <c r="X481" t="s">
        <v>139</v>
      </c>
      <c r="Y481" t="s">
        <v>139</v>
      </c>
      <c r="Z481">
        <v>207882.2</v>
      </c>
      <c r="AA481" t="s">
        <v>139</v>
      </c>
      <c r="AB481" t="s">
        <v>139</v>
      </c>
      <c r="AC481" t="s">
        <v>139</v>
      </c>
      <c r="AD481">
        <v>221844.8</v>
      </c>
      <c r="AE481" t="s">
        <v>139</v>
      </c>
      <c r="AF481">
        <v>34956.1</v>
      </c>
      <c r="AG481">
        <v>145195.1</v>
      </c>
      <c r="AH481" s="9">
        <v>2454881.6</v>
      </c>
      <c r="AI481">
        <v>1816562.8</v>
      </c>
      <c r="AJ481">
        <v>340323.7</v>
      </c>
      <c r="AK481" t="s">
        <v>139</v>
      </c>
      <c r="AL481">
        <v>349830.40000000002</v>
      </c>
      <c r="AM481" t="s">
        <v>139</v>
      </c>
      <c r="AN481">
        <v>145301</v>
      </c>
      <c r="AO481" s="9">
        <v>2277688.1</v>
      </c>
      <c r="AP481">
        <v>177193.60000000001</v>
      </c>
      <c r="AQ481" t="s">
        <v>139</v>
      </c>
      <c r="AR481" t="s">
        <v>139</v>
      </c>
      <c r="AS481">
        <f t="shared" si="6"/>
        <v>2156886.5</v>
      </c>
      <c r="AT481">
        <f t="shared" si="5"/>
        <v>1.1381598429031847</v>
      </c>
    </row>
    <row r="482" spans="1:46" x14ac:dyDescent="0.4">
      <c r="A482" s="3" t="s">
        <v>613</v>
      </c>
      <c r="B482">
        <v>1956879.5</v>
      </c>
      <c r="C482">
        <v>472091.4</v>
      </c>
      <c r="D482">
        <v>286488.8</v>
      </c>
      <c r="E482" t="s">
        <v>139</v>
      </c>
      <c r="F482" t="s">
        <v>139</v>
      </c>
      <c r="G482">
        <v>185602.6</v>
      </c>
      <c r="H482" t="s">
        <v>139</v>
      </c>
      <c r="I482" t="s">
        <v>139</v>
      </c>
      <c r="J482">
        <v>1484788.1</v>
      </c>
      <c r="K482">
        <v>513021</v>
      </c>
      <c r="L482">
        <v>457103.9</v>
      </c>
      <c r="M482" t="s">
        <v>139</v>
      </c>
      <c r="N482" t="s">
        <v>139</v>
      </c>
      <c r="O482" t="s">
        <v>139</v>
      </c>
      <c r="P482" t="s">
        <v>139</v>
      </c>
      <c r="Q482" t="s">
        <v>139</v>
      </c>
      <c r="R482" t="s">
        <v>139</v>
      </c>
      <c r="S482" t="s">
        <v>139</v>
      </c>
      <c r="T482" t="s">
        <v>139</v>
      </c>
      <c r="U482">
        <v>304894.09999999998</v>
      </c>
      <c r="V482" s="6" t="s">
        <v>139</v>
      </c>
      <c r="W482" t="s">
        <v>139</v>
      </c>
      <c r="X482" t="s">
        <v>139</v>
      </c>
      <c r="Y482" t="s">
        <v>139</v>
      </c>
      <c r="Z482">
        <v>209769.1</v>
      </c>
      <c r="AA482" t="s">
        <v>139</v>
      </c>
      <c r="AB482" t="s">
        <v>139</v>
      </c>
      <c r="AC482" t="s">
        <v>139</v>
      </c>
      <c r="AD482">
        <v>226172.2</v>
      </c>
      <c r="AE482" t="s">
        <v>139</v>
      </c>
      <c r="AF482">
        <v>35636.300000000003</v>
      </c>
      <c r="AG482">
        <v>142989.20000000001</v>
      </c>
      <c r="AH482" s="9">
        <v>2482545.4</v>
      </c>
      <c r="AI482">
        <v>1835521</v>
      </c>
      <c r="AJ482">
        <v>343348.2</v>
      </c>
      <c r="AK482" t="s">
        <v>139</v>
      </c>
      <c r="AL482">
        <v>359491.6</v>
      </c>
      <c r="AM482" t="s">
        <v>139</v>
      </c>
      <c r="AN482">
        <v>145682.4</v>
      </c>
      <c r="AO482" s="9">
        <v>2304384.7999999998</v>
      </c>
      <c r="AP482">
        <v>178160.6</v>
      </c>
      <c r="AQ482" t="s">
        <v>139</v>
      </c>
      <c r="AR482" t="s">
        <v>139</v>
      </c>
      <c r="AS482">
        <f t="shared" si="6"/>
        <v>2178869.2000000002</v>
      </c>
      <c r="AT482">
        <f t="shared" si="5"/>
        <v>1.1393733042809544</v>
      </c>
    </row>
    <row r="483" spans="1:46" x14ac:dyDescent="0.4">
      <c r="A483" s="3" t="s">
        <v>614</v>
      </c>
      <c r="B483">
        <v>1977094.9</v>
      </c>
      <c r="C483">
        <v>481207.2</v>
      </c>
      <c r="D483">
        <v>289912.7</v>
      </c>
      <c r="E483" t="s">
        <v>139</v>
      </c>
      <c r="F483" t="s">
        <v>139</v>
      </c>
      <c r="G483">
        <v>191294.5</v>
      </c>
      <c r="H483" t="s">
        <v>139</v>
      </c>
      <c r="I483" t="s">
        <v>139</v>
      </c>
      <c r="J483">
        <v>1495887.7</v>
      </c>
      <c r="K483">
        <v>515111.1</v>
      </c>
      <c r="L483">
        <v>463299.7</v>
      </c>
      <c r="M483" t="s">
        <v>139</v>
      </c>
      <c r="N483" t="s">
        <v>139</v>
      </c>
      <c r="O483" t="s">
        <v>139</v>
      </c>
      <c r="P483" t="s">
        <v>139</v>
      </c>
      <c r="Q483" t="s">
        <v>139</v>
      </c>
      <c r="R483" t="s">
        <v>139</v>
      </c>
      <c r="S483" t="s">
        <v>139</v>
      </c>
      <c r="T483" t="s">
        <v>139</v>
      </c>
      <c r="U483">
        <v>307158.59999999998</v>
      </c>
      <c r="V483" s="6" t="s">
        <v>139</v>
      </c>
      <c r="W483" t="s">
        <v>139</v>
      </c>
      <c r="X483" t="s">
        <v>139</v>
      </c>
      <c r="Y483" t="s">
        <v>139</v>
      </c>
      <c r="Z483">
        <v>210318.3</v>
      </c>
      <c r="AA483" t="s">
        <v>139</v>
      </c>
      <c r="AB483" t="s">
        <v>139</v>
      </c>
      <c r="AC483" t="s">
        <v>139</v>
      </c>
      <c r="AD483">
        <v>229553.6</v>
      </c>
      <c r="AE483" t="s">
        <v>139</v>
      </c>
      <c r="AF483">
        <v>37077.9</v>
      </c>
      <c r="AG483">
        <v>142536.9</v>
      </c>
      <c r="AH483" s="9">
        <v>2506243.4</v>
      </c>
      <c r="AI483">
        <v>1854621.4</v>
      </c>
      <c r="AJ483">
        <v>346602.4</v>
      </c>
      <c r="AK483" t="s">
        <v>139</v>
      </c>
      <c r="AL483">
        <v>370588</v>
      </c>
      <c r="AM483" t="s">
        <v>139</v>
      </c>
      <c r="AN483">
        <v>143518.9</v>
      </c>
      <c r="AO483" s="9">
        <v>2329625.2000000002</v>
      </c>
      <c r="AP483">
        <v>176618.2</v>
      </c>
      <c r="AQ483" t="s">
        <v>139</v>
      </c>
      <c r="AR483" t="s">
        <v>139</v>
      </c>
      <c r="AS483">
        <f t="shared" si="6"/>
        <v>2201223.7999999998</v>
      </c>
      <c r="AT483">
        <f t="shared" si="5"/>
        <v>1.1385681910217398</v>
      </c>
    </row>
    <row r="484" spans="1:46" x14ac:dyDescent="0.4">
      <c r="A484" s="3" t="s">
        <v>615</v>
      </c>
      <c r="B484">
        <v>1996304.9</v>
      </c>
      <c r="C484">
        <v>490964.5</v>
      </c>
      <c r="D484">
        <v>293627.40000000002</v>
      </c>
      <c r="E484" t="s">
        <v>139</v>
      </c>
      <c r="F484" t="s">
        <v>139</v>
      </c>
      <c r="G484">
        <v>197337.1</v>
      </c>
      <c r="H484" t="s">
        <v>139</v>
      </c>
      <c r="I484" t="s">
        <v>139</v>
      </c>
      <c r="J484">
        <v>1505340.4</v>
      </c>
      <c r="K484">
        <v>517686.1</v>
      </c>
      <c r="L484">
        <v>469306</v>
      </c>
      <c r="M484" t="s">
        <v>139</v>
      </c>
      <c r="N484" t="s">
        <v>139</v>
      </c>
      <c r="O484" t="s">
        <v>139</v>
      </c>
      <c r="P484" t="s">
        <v>139</v>
      </c>
      <c r="Q484" t="s">
        <v>139</v>
      </c>
      <c r="R484" t="s">
        <v>139</v>
      </c>
      <c r="S484" t="s">
        <v>139</v>
      </c>
      <c r="T484" t="s">
        <v>139</v>
      </c>
      <c r="U484">
        <v>309447.59999999998</v>
      </c>
      <c r="V484" s="6" t="s">
        <v>139</v>
      </c>
      <c r="W484" t="s">
        <v>139</v>
      </c>
      <c r="X484" t="s">
        <v>139</v>
      </c>
      <c r="Y484" t="s">
        <v>139</v>
      </c>
      <c r="Z484">
        <v>208900.8</v>
      </c>
      <c r="AA484" t="s">
        <v>139</v>
      </c>
      <c r="AB484" t="s">
        <v>139</v>
      </c>
      <c r="AC484" t="s">
        <v>139</v>
      </c>
      <c r="AD484">
        <v>227414.3</v>
      </c>
      <c r="AE484" t="s">
        <v>139</v>
      </c>
      <c r="AF484">
        <v>39157.699999999997</v>
      </c>
      <c r="AG484">
        <v>146406.5</v>
      </c>
      <c r="AH484" s="9">
        <v>2529664.5</v>
      </c>
      <c r="AI484">
        <v>1866533.1</v>
      </c>
      <c r="AJ484">
        <v>347516.4</v>
      </c>
      <c r="AK484" t="s">
        <v>139</v>
      </c>
      <c r="AL484">
        <v>376819.8</v>
      </c>
      <c r="AM484" t="s">
        <v>139</v>
      </c>
      <c r="AN484">
        <v>145231.20000000001</v>
      </c>
      <c r="AO484" s="9">
        <v>2345893</v>
      </c>
      <c r="AP484">
        <v>183771.5</v>
      </c>
      <c r="AQ484" t="s">
        <v>139</v>
      </c>
      <c r="AR484" t="s">
        <v>139</v>
      </c>
      <c r="AS484">
        <f t="shared" si="6"/>
        <v>2214049.5</v>
      </c>
      <c r="AT484">
        <f t="shared" si="5"/>
        <v>1.1425510134258516</v>
      </c>
    </row>
    <row r="485" spans="1:46" x14ac:dyDescent="0.4">
      <c r="A485" s="3" t="s">
        <v>616</v>
      </c>
      <c r="B485">
        <v>1998935.7</v>
      </c>
      <c r="C485">
        <v>490535.7</v>
      </c>
      <c r="D485">
        <v>296356.59999999998</v>
      </c>
      <c r="E485" t="s">
        <v>139</v>
      </c>
      <c r="F485" t="s">
        <v>139</v>
      </c>
      <c r="G485">
        <v>194179.1</v>
      </c>
      <c r="H485" t="s">
        <v>139</v>
      </c>
      <c r="I485" t="s">
        <v>139</v>
      </c>
      <c r="J485">
        <v>1508400</v>
      </c>
      <c r="K485">
        <v>517635.6</v>
      </c>
      <c r="L485">
        <v>473938.9</v>
      </c>
      <c r="M485" t="s">
        <v>139</v>
      </c>
      <c r="N485" t="s">
        <v>139</v>
      </c>
      <c r="O485" t="s">
        <v>139</v>
      </c>
      <c r="P485" t="s">
        <v>139</v>
      </c>
      <c r="Q485" t="s">
        <v>139</v>
      </c>
      <c r="R485" t="s">
        <v>139</v>
      </c>
      <c r="S485" t="s">
        <v>139</v>
      </c>
      <c r="T485" t="s">
        <v>139</v>
      </c>
      <c r="U485">
        <v>311526.7</v>
      </c>
      <c r="V485" s="6" t="s">
        <v>139</v>
      </c>
      <c r="W485" t="s">
        <v>139</v>
      </c>
      <c r="X485" t="s">
        <v>139</v>
      </c>
      <c r="Y485" t="s">
        <v>139</v>
      </c>
      <c r="Z485">
        <v>205298.8</v>
      </c>
      <c r="AA485" t="s">
        <v>139</v>
      </c>
      <c r="AB485" t="s">
        <v>139</v>
      </c>
      <c r="AC485" t="s">
        <v>139</v>
      </c>
      <c r="AD485">
        <v>231977.2</v>
      </c>
      <c r="AE485" t="s">
        <v>139</v>
      </c>
      <c r="AF485">
        <v>36785.599999999999</v>
      </c>
      <c r="AG485">
        <v>144712.9</v>
      </c>
      <c r="AH485" s="9">
        <v>2533657.1</v>
      </c>
      <c r="AI485">
        <v>1873404.9</v>
      </c>
      <c r="AJ485">
        <v>345889.1</v>
      </c>
      <c r="AK485" t="s">
        <v>139</v>
      </c>
      <c r="AL485">
        <v>368187</v>
      </c>
      <c r="AM485" t="s">
        <v>139</v>
      </c>
      <c r="AN485">
        <v>145277.70000000001</v>
      </c>
      <c r="AO485" s="9">
        <v>2346721.2999999998</v>
      </c>
      <c r="AP485">
        <v>186935.8</v>
      </c>
      <c r="AQ485" t="s">
        <v>139</v>
      </c>
      <c r="AR485" t="s">
        <v>139</v>
      </c>
      <c r="AS485">
        <f t="shared" si="6"/>
        <v>2219294</v>
      </c>
      <c r="AT485">
        <f t="shared" si="5"/>
        <v>1.1416500472672841</v>
      </c>
    </row>
    <row r="486" spans="1:46" x14ac:dyDescent="0.4">
      <c r="A486" s="3" t="s">
        <v>617</v>
      </c>
      <c r="B486">
        <v>2018706</v>
      </c>
      <c r="C486">
        <v>492815.7</v>
      </c>
      <c r="D486">
        <v>301880.5</v>
      </c>
      <c r="E486" t="s">
        <v>139</v>
      </c>
      <c r="F486" t="s">
        <v>139</v>
      </c>
      <c r="G486">
        <v>190935.1</v>
      </c>
      <c r="H486" t="s">
        <v>139</v>
      </c>
      <c r="I486" t="s">
        <v>139</v>
      </c>
      <c r="J486">
        <v>1525890.3</v>
      </c>
      <c r="K486">
        <v>523830.2</v>
      </c>
      <c r="L486">
        <v>479266</v>
      </c>
      <c r="M486" t="s">
        <v>139</v>
      </c>
      <c r="N486" t="s">
        <v>139</v>
      </c>
      <c r="O486" t="s">
        <v>139</v>
      </c>
      <c r="P486" t="s">
        <v>139</v>
      </c>
      <c r="Q486" t="s">
        <v>139</v>
      </c>
      <c r="R486" t="s">
        <v>139</v>
      </c>
      <c r="S486" t="s">
        <v>139</v>
      </c>
      <c r="T486" t="s">
        <v>139</v>
      </c>
      <c r="U486">
        <v>313049.8</v>
      </c>
      <c r="V486" s="6" t="s">
        <v>139</v>
      </c>
      <c r="W486" t="s">
        <v>139</v>
      </c>
      <c r="X486" t="s">
        <v>139</v>
      </c>
      <c r="Y486" t="s">
        <v>139</v>
      </c>
      <c r="Z486">
        <v>209744.2</v>
      </c>
      <c r="AA486" t="s">
        <v>139</v>
      </c>
      <c r="AB486" t="s">
        <v>139</v>
      </c>
      <c r="AC486" t="s">
        <v>139</v>
      </c>
      <c r="AD486">
        <v>237890.2</v>
      </c>
      <c r="AE486" t="s">
        <v>139</v>
      </c>
      <c r="AF486">
        <v>37096.6</v>
      </c>
      <c r="AG486">
        <v>140449</v>
      </c>
      <c r="AH486" s="9">
        <v>2554849.7999999998</v>
      </c>
      <c r="AI486">
        <v>1893691.1</v>
      </c>
      <c r="AJ486">
        <v>347219.20000000001</v>
      </c>
      <c r="AK486" t="s">
        <v>139</v>
      </c>
      <c r="AL486">
        <v>377146.7</v>
      </c>
      <c r="AM486" t="s">
        <v>139</v>
      </c>
      <c r="AN486">
        <v>142226.4</v>
      </c>
      <c r="AO486" s="9">
        <v>2375354.2000000002</v>
      </c>
      <c r="AP486">
        <v>179495.6</v>
      </c>
      <c r="AQ486" t="s">
        <v>139</v>
      </c>
      <c r="AR486" t="s">
        <v>139</v>
      </c>
      <c r="AS486">
        <f t="shared" si="6"/>
        <v>2240910.3000000003</v>
      </c>
      <c r="AT486">
        <f t="shared" si="5"/>
        <v>1.1400946302937693</v>
      </c>
    </row>
    <row r="487" spans="1:46" x14ac:dyDescent="0.4">
      <c r="A487" s="3" t="s">
        <v>618</v>
      </c>
      <c r="B487">
        <v>2053419.2</v>
      </c>
      <c r="C487">
        <v>497724.5</v>
      </c>
      <c r="D487">
        <v>309054.3</v>
      </c>
      <c r="E487" t="s">
        <v>139</v>
      </c>
      <c r="F487" t="s">
        <v>139</v>
      </c>
      <c r="G487">
        <v>188670.2</v>
      </c>
      <c r="H487" t="s">
        <v>139</v>
      </c>
      <c r="I487" t="s">
        <v>139</v>
      </c>
      <c r="J487">
        <v>1555694.7</v>
      </c>
      <c r="K487">
        <v>539049.1</v>
      </c>
      <c r="L487">
        <v>490770.8</v>
      </c>
      <c r="M487" t="s">
        <v>139</v>
      </c>
      <c r="N487" t="s">
        <v>139</v>
      </c>
      <c r="O487" t="s">
        <v>139</v>
      </c>
      <c r="P487" t="s">
        <v>139</v>
      </c>
      <c r="Q487" t="s">
        <v>139</v>
      </c>
      <c r="R487" t="s">
        <v>139</v>
      </c>
      <c r="S487" t="s">
        <v>139</v>
      </c>
      <c r="T487" t="s">
        <v>139</v>
      </c>
      <c r="U487">
        <v>314744.2</v>
      </c>
      <c r="V487" s="6" t="s">
        <v>139</v>
      </c>
      <c r="W487" t="s">
        <v>139</v>
      </c>
      <c r="X487" t="s">
        <v>139</v>
      </c>
      <c r="Y487" t="s">
        <v>139</v>
      </c>
      <c r="Z487">
        <v>211130.7</v>
      </c>
      <c r="AA487" t="s">
        <v>139</v>
      </c>
      <c r="AB487" t="s">
        <v>139</v>
      </c>
      <c r="AC487" t="s">
        <v>139</v>
      </c>
      <c r="AD487">
        <v>239953.7</v>
      </c>
      <c r="AE487" t="s">
        <v>139</v>
      </c>
      <c r="AF487">
        <v>40812.1</v>
      </c>
      <c r="AG487">
        <v>139987.5</v>
      </c>
      <c r="AH487" s="9">
        <v>2595837</v>
      </c>
      <c r="AI487">
        <v>1924477.2</v>
      </c>
      <c r="AJ487">
        <v>350125.8</v>
      </c>
      <c r="AK487" t="s">
        <v>139</v>
      </c>
      <c r="AL487">
        <v>391277.1</v>
      </c>
      <c r="AM487" t="s">
        <v>139</v>
      </c>
      <c r="AN487">
        <v>141503.70000000001</v>
      </c>
      <c r="AO487" s="9">
        <v>2422864.6</v>
      </c>
      <c r="AP487">
        <v>172972.3</v>
      </c>
      <c r="AQ487" t="s">
        <v>139</v>
      </c>
      <c r="AR487" t="s">
        <v>139</v>
      </c>
      <c r="AS487">
        <f t="shared" si="6"/>
        <v>2274603</v>
      </c>
      <c r="AT487">
        <f t="shared" si="5"/>
        <v>1.1412264030250554</v>
      </c>
    </row>
    <row r="488" spans="1:46" x14ac:dyDescent="0.4">
      <c r="A488" s="3" t="s">
        <v>619</v>
      </c>
      <c r="B488">
        <v>2074292.7</v>
      </c>
      <c r="C488">
        <v>499747.1</v>
      </c>
      <c r="D488">
        <v>313056.5</v>
      </c>
      <c r="E488" t="s">
        <v>139</v>
      </c>
      <c r="F488" t="s">
        <v>139</v>
      </c>
      <c r="G488">
        <v>186690.6</v>
      </c>
      <c r="H488" t="s">
        <v>139</v>
      </c>
      <c r="I488" t="s">
        <v>139</v>
      </c>
      <c r="J488">
        <v>1574545.6</v>
      </c>
      <c r="K488">
        <v>548778</v>
      </c>
      <c r="L488">
        <v>502892.2</v>
      </c>
      <c r="M488" t="s">
        <v>139</v>
      </c>
      <c r="N488" t="s">
        <v>139</v>
      </c>
      <c r="O488" t="s">
        <v>139</v>
      </c>
      <c r="P488" t="s">
        <v>139</v>
      </c>
      <c r="Q488" t="s">
        <v>139</v>
      </c>
      <c r="R488" t="s">
        <v>139</v>
      </c>
      <c r="S488" t="s">
        <v>139</v>
      </c>
      <c r="T488" t="s">
        <v>139</v>
      </c>
      <c r="U488">
        <v>314962.40000000002</v>
      </c>
      <c r="V488" s="6" t="s">
        <v>139</v>
      </c>
      <c r="W488" t="s">
        <v>139</v>
      </c>
      <c r="X488" t="s">
        <v>139</v>
      </c>
      <c r="Y488" t="s">
        <v>139</v>
      </c>
      <c r="Z488">
        <v>207913</v>
      </c>
      <c r="AA488" t="s">
        <v>139</v>
      </c>
      <c r="AB488" t="s">
        <v>139</v>
      </c>
      <c r="AC488" t="s">
        <v>139</v>
      </c>
      <c r="AD488">
        <v>233238</v>
      </c>
      <c r="AE488" t="s">
        <v>139</v>
      </c>
      <c r="AF488">
        <v>42854.7</v>
      </c>
      <c r="AG488">
        <v>139786.20000000001</v>
      </c>
      <c r="AH488" s="9">
        <v>2619585.5</v>
      </c>
      <c r="AI488">
        <v>1919523.1</v>
      </c>
      <c r="AJ488">
        <v>351938</v>
      </c>
      <c r="AK488" t="s">
        <v>139</v>
      </c>
      <c r="AL488">
        <v>405277</v>
      </c>
      <c r="AM488" t="s">
        <v>139</v>
      </c>
      <c r="AN488">
        <v>146948.5</v>
      </c>
      <c r="AO488" s="9">
        <v>2443743</v>
      </c>
      <c r="AP488">
        <v>175842.5</v>
      </c>
      <c r="AQ488" t="s">
        <v>139</v>
      </c>
      <c r="AR488" t="s">
        <v>139</v>
      </c>
      <c r="AS488">
        <f t="shared" si="6"/>
        <v>2271461.1</v>
      </c>
      <c r="AT488">
        <f t="shared" si="5"/>
        <v>1.1532601196648271</v>
      </c>
    </row>
    <row r="489" spans="1:46" x14ac:dyDescent="0.4">
      <c r="A489" s="3" t="s">
        <v>620</v>
      </c>
      <c r="B489">
        <v>2076771.1</v>
      </c>
      <c r="C489">
        <v>500948</v>
      </c>
      <c r="D489">
        <v>313327</v>
      </c>
      <c r="E489" t="s">
        <v>139</v>
      </c>
      <c r="F489" t="s">
        <v>139</v>
      </c>
      <c r="G489">
        <v>187621.1</v>
      </c>
      <c r="H489" t="s">
        <v>139</v>
      </c>
      <c r="I489" t="s">
        <v>139</v>
      </c>
      <c r="J489">
        <v>1575823</v>
      </c>
      <c r="K489">
        <v>547010.4</v>
      </c>
      <c r="L489">
        <v>508546.3</v>
      </c>
      <c r="M489" t="s">
        <v>139</v>
      </c>
      <c r="N489" t="s">
        <v>139</v>
      </c>
      <c r="O489" t="s">
        <v>139</v>
      </c>
      <c r="P489" t="s">
        <v>139</v>
      </c>
      <c r="Q489" t="s">
        <v>139</v>
      </c>
      <c r="R489" t="s">
        <v>139</v>
      </c>
      <c r="S489" t="s">
        <v>139</v>
      </c>
      <c r="T489" t="s">
        <v>139</v>
      </c>
      <c r="U489">
        <v>315415</v>
      </c>
      <c r="V489" s="6" t="s">
        <v>139</v>
      </c>
      <c r="W489" t="s">
        <v>139</v>
      </c>
      <c r="X489" t="s">
        <v>139</v>
      </c>
      <c r="Y489" t="s">
        <v>139</v>
      </c>
      <c r="Z489">
        <v>204851.4</v>
      </c>
      <c r="AA489" t="s">
        <v>139</v>
      </c>
      <c r="AB489" t="s">
        <v>139</v>
      </c>
      <c r="AC489" t="s">
        <v>139</v>
      </c>
      <c r="AD489">
        <v>237833.60000000001</v>
      </c>
      <c r="AE489" t="s">
        <v>139</v>
      </c>
      <c r="AF489">
        <v>42078.1</v>
      </c>
      <c r="AG489">
        <v>144427.5</v>
      </c>
      <c r="AH489" s="9">
        <v>2621316.6</v>
      </c>
      <c r="AI489">
        <v>1920466.4</v>
      </c>
      <c r="AJ489">
        <v>353144.9</v>
      </c>
      <c r="AK489" t="s">
        <v>139</v>
      </c>
      <c r="AL489">
        <v>396305.7</v>
      </c>
      <c r="AM489" t="s">
        <v>139</v>
      </c>
      <c r="AN489">
        <v>147488.6</v>
      </c>
      <c r="AO489" s="9">
        <v>2438412.5</v>
      </c>
      <c r="AP489">
        <v>182904.1</v>
      </c>
      <c r="AQ489" t="s">
        <v>139</v>
      </c>
      <c r="AR489" t="s">
        <v>139</v>
      </c>
      <c r="AS489">
        <f t="shared" si="6"/>
        <v>2273611.2999999998</v>
      </c>
      <c r="AT489">
        <f t="shared" si="5"/>
        <v>1.1529308461828986</v>
      </c>
    </row>
    <row r="490" spans="1:46" x14ac:dyDescent="0.4">
      <c r="A490" s="3" t="s">
        <v>621</v>
      </c>
      <c r="B490">
        <v>2089170.2</v>
      </c>
      <c r="C490">
        <v>503403.4</v>
      </c>
      <c r="D490">
        <v>313829.40000000002</v>
      </c>
      <c r="E490" t="s">
        <v>139</v>
      </c>
      <c r="F490" t="s">
        <v>139</v>
      </c>
      <c r="G490">
        <v>189574</v>
      </c>
      <c r="H490" t="s">
        <v>139</v>
      </c>
      <c r="I490" t="s">
        <v>139</v>
      </c>
      <c r="J490">
        <v>1585766.7</v>
      </c>
      <c r="K490">
        <v>548357.1</v>
      </c>
      <c r="L490">
        <v>516585.4</v>
      </c>
      <c r="M490" t="s">
        <v>139</v>
      </c>
      <c r="N490" t="s">
        <v>139</v>
      </c>
      <c r="O490" t="s">
        <v>139</v>
      </c>
      <c r="P490" t="s">
        <v>139</v>
      </c>
      <c r="Q490" t="s">
        <v>139</v>
      </c>
      <c r="R490" t="s">
        <v>139</v>
      </c>
      <c r="S490" t="s">
        <v>139</v>
      </c>
      <c r="T490" t="s">
        <v>139</v>
      </c>
      <c r="U490">
        <v>316317.90000000002</v>
      </c>
      <c r="V490" s="6" t="s">
        <v>139</v>
      </c>
      <c r="W490" t="s">
        <v>139</v>
      </c>
      <c r="X490" t="s">
        <v>139</v>
      </c>
      <c r="Y490" t="s">
        <v>139</v>
      </c>
      <c r="Z490">
        <v>204506.4</v>
      </c>
      <c r="AA490" t="s">
        <v>139</v>
      </c>
      <c r="AB490" t="s">
        <v>139</v>
      </c>
      <c r="AC490" t="s">
        <v>139</v>
      </c>
      <c r="AD490">
        <v>240304.2</v>
      </c>
      <c r="AE490" t="s">
        <v>139</v>
      </c>
      <c r="AF490">
        <v>43431.7</v>
      </c>
      <c r="AG490">
        <v>150666.1</v>
      </c>
      <c r="AH490" s="9">
        <v>2640440.7000000002</v>
      </c>
      <c r="AI490">
        <v>1935540.9</v>
      </c>
      <c r="AJ490">
        <v>356254.1</v>
      </c>
      <c r="AK490" t="s">
        <v>139</v>
      </c>
      <c r="AL490">
        <v>392220.1</v>
      </c>
      <c r="AM490" t="s">
        <v>139</v>
      </c>
      <c r="AN490">
        <v>149530.70000000001</v>
      </c>
      <c r="AO490" s="9">
        <v>2456440.1</v>
      </c>
      <c r="AP490">
        <v>184000.6</v>
      </c>
      <c r="AQ490" t="s">
        <v>139</v>
      </c>
      <c r="AR490" t="s">
        <v>139</v>
      </c>
      <c r="AS490">
        <f t="shared" si="6"/>
        <v>2291795</v>
      </c>
      <c r="AT490">
        <f t="shared" si="5"/>
        <v>1.1521277862985129</v>
      </c>
    </row>
    <row r="491" spans="1:46" x14ac:dyDescent="0.4">
      <c r="A491" s="3" t="s">
        <v>622</v>
      </c>
      <c r="B491">
        <v>2112097.6</v>
      </c>
      <c r="C491">
        <v>507898.5</v>
      </c>
      <c r="D491">
        <v>317048.2</v>
      </c>
      <c r="E491" t="s">
        <v>139</v>
      </c>
      <c r="F491" t="s">
        <v>139</v>
      </c>
      <c r="G491">
        <v>190850.2</v>
      </c>
      <c r="H491" t="s">
        <v>139</v>
      </c>
      <c r="I491" t="s">
        <v>139</v>
      </c>
      <c r="J491">
        <v>1604199.1</v>
      </c>
      <c r="K491">
        <v>549509.69999999995</v>
      </c>
      <c r="L491">
        <v>524834.19999999995</v>
      </c>
      <c r="M491" t="s">
        <v>139</v>
      </c>
      <c r="N491" t="s">
        <v>139</v>
      </c>
      <c r="O491" t="s">
        <v>139</v>
      </c>
      <c r="P491" t="s">
        <v>139</v>
      </c>
      <c r="Q491" t="s">
        <v>139</v>
      </c>
      <c r="R491" t="s">
        <v>139</v>
      </c>
      <c r="S491" t="s">
        <v>139</v>
      </c>
      <c r="T491" t="s">
        <v>139</v>
      </c>
      <c r="U491">
        <v>317283.8</v>
      </c>
      <c r="V491" s="6" t="s">
        <v>139</v>
      </c>
      <c r="W491" t="s">
        <v>139</v>
      </c>
      <c r="X491" t="s">
        <v>139</v>
      </c>
      <c r="Y491" t="s">
        <v>139</v>
      </c>
      <c r="Z491">
        <v>212571.4</v>
      </c>
      <c r="AA491" t="s">
        <v>139</v>
      </c>
      <c r="AB491" t="s">
        <v>139</v>
      </c>
      <c r="AC491" t="s">
        <v>139</v>
      </c>
      <c r="AD491">
        <v>240293.8</v>
      </c>
      <c r="AE491" t="s">
        <v>139</v>
      </c>
      <c r="AF491">
        <v>45222.8</v>
      </c>
      <c r="AG491">
        <v>151985.20000000001</v>
      </c>
      <c r="AH491" s="9">
        <v>2667695</v>
      </c>
      <c r="AI491">
        <v>1946463.9</v>
      </c>
      <c r="AJ491">
        <v>362624.4</v>
      </c>
      <c r="AK491" t="s">
        <v>139</v>
      </c>
      <c r="AL491">
        <v>396926.9</v>
      </c>
      <c r="AM491" t="s">
        <v>139</v>
      </c>
      <c r="AN491">
        <v>151511.79999999999</v>
      </c>
      <c r="AO491" s="9">
        <v>2478491.9</v>
      </c>
      <c r="AP491">
        <v>189203.1</v>
      </c>
      <c r="AQ491" t="s">
        <v>139</v>
      </c>
      <c r="AR491" t="s">
        <v>139</v>
      </c>
      <c r="AS491">
        <f t="shared" si="6"/>
        <v>2309088.2999999998</v>
      </c>
      <c r="AT491">
        <f t="shared" si="5"/>
        <v>1.1553022896525873</v>
      </c>
    </row>
    <row r="492" spans="1:46" x14ac:dyDescent="0.4">
      <c r="A492" s="3" t="s">
        <v>623</v>
      </c>
      <c r="B492">
        <v>2120996.4</v>
      </c>
      <c r="C492">
        <v>511916.7</v>
      </c>
      <c r="D492">
        <v>319125.59999999998</v>
      </c>
      <c r="E492" t="s">
        <v>139</v>
      </c>
      <c r="F492" t="s">
        <v>139</v>
      </c>
      <c r="G492">
        <v>192791.1</v>
      </c>
      <c r="H492" t="s">
        <v>139</v>
      </c>
      <c r="I492" t="s">
        <v>139</v>
      </c>
      <c r="J492">
        <v>1609079.7</v>
      </c>
      <c r="K492">
        <v>551552.4</v>
      </c>
      <c r="L492">
        <v>532057.5</v>
      </c>
      <c r="M492" t="s">
        <v>139</v>
      </c>
      <c r="N492" t="s">
        <v>139</v>
      </c>
      <c r="O492" t="s">
        <v>139</v>
      </c>
      <c r="P492" t="s">
        <v>139</v>
      </c>
      <c r="Q492" t="s">
        <v>139</v>
      </c>
      <c r="R492" t="s">
        <v>139</v>
      </c>
      <c r="S492" t="s">
        <v>139</v>
      </c>
      <c r="T492" t="s">
        <v>139</v>
      </c>
      <c r="U492">
        <v>317338.8</v>
      </c>
      <c r="V492" s="6" t="s">
        <v>139</v>
      </c>
      <c r="W492" t="s">
        <v>139</v>
      </c>
      <c r="X492" t="s">
        <v>139</v>
      </c>
      <c r="Y492" t="s">
        <v>139</v>
      </c>
      <c r="Z492">
        <v>208130.9</v>
      </c>
      <c r="AA492" t="s">
        <v>139</v>
      </c>
      <c r="AB492" t="s">
        <v>139</v>
      </c>
      <c r="AC492" t="s">
        <v>139</v>
      </c>
      <c r="AD492">
        <v>235702.6</v>
      </c>
      <c r="AE492" t="s">
        <v>139</v>
      </c>
      <c r="AF492">
        <v>45399.8</v>
      </c>
      <c r="AG492">
        <v>152177.29999999999</v>
      </c>
      <c r="AH492" s="9">
        <v>2676729.9</v>
      </c>
      <c r="AI492">
        <v>1949191.1</v>
      </c>
      <c r="AJ492">
        <v>370805.6</v>
      </c>
      <c r="AK492" t="s">
        <v>139</v>
      </c>
      <c r="AL492">
        <v>404255.7</v>
      </c>
      <c r="AM492" t="s">
        <v>139</v>
      </c>
      <c r="AN492">
        <v>152524.1</v>
      </c>
      <c r="AO492" s="9">
        <v>2491417.7000000002</v>
      </c>
      <c r="AP492">
        <v>185312.2</v>
      </c>
      <c r="AQ492" t="s">
        <v>139</v>
      </c>
      <c r="AR492" t="s">
        <v>139</v>
      </c>
      <c r="AS492">
        <f t="shared" si="6"/>
        <v>2319996.7000000002</v>
      </c>
      <c r="AT492">
        <f t="shared" si="5"/>
        <v>1.1537645290616145</v>
      </c>
    </row>
    <row r="493" spans="1:46" x14ac:dyDescent="0.4">
      <c r="A493" s="3" t="s">
        <v>624</v>
      </c>
      <c r="B493">
        <v>2128263.7000000002</v>
      </c>
      <c r="C493">
        <v>512794.9</v>
      </c>
      <c r="D493">
        <v>319570.8</v>
      </c>
      <c r="E493" t="s">
        <v>139</v>
      </c>
      <c r="F493" t="s">
        <v>139</v>
      </c>
      <c r="G493">
        <v>193224.1</v>
      </c>
      <c r="H493" t="s">
        <v>139</v>
      </c>
      <c r="I493" t="s">
        <v>139</v>
      </c>
      <c r="J493">
        <v>1615468.8</v>
      </c>
      <c r="K493">
        <v>554536.4</v>
      </c>
      <c r="L493">
        <v>541734.6</v>
      </c>
      <c r="M493" t="s">
        <v>139</v>
      </c>
      <c r="N493" t="s">
        <v>139</v>
      </c>
      <c r="O493" t="s">
        <v>139</v>
      </c>
      <c r="P493" t="s">
        <v>139</v>
      </c>
      <c r="Q493" t="s">
        <v>139</v>
      </c>
      <c r="R493" t="s">
        <v>139</v>
      </c>
      <c r="S493" t="s">
        <v>139</v>
      </c>
      <c r="T493" t="s">
        <v>139</v>
      </c>
      <c r="U493">
        <v>315461</v>
      </c>
      <c r="V493" s="6" t="s">
        <v>139</v>
      </c>
      <c r="W493" t="s">
        <v>139</v>
      </c>
      <c r="X493" t="s">
        <v>139</v>
      </c>
      <c r="Y493" t="s">
        <v>139</v>
      </c>
      <c r="Z493">
        <v>203736.8</v>
      </c>
      <c r="AA493" t="s">
        <v>139</v>
      </c>
      <c r="AB493" t="s">
        <v>139</v>
      </c>
      <c r="AC493" t="s">
        <v>139</v>
      </c>
      <c r="AD493">
        <v>239098.2</v>
      </c>
      <c r="AE493" t="s">
        <v>139</v>
      </c>
      <c r="AF493">
        <v>46455.6</v>
      </c>
      <c r="AG493">
        <v>154025.4</v>
      </c>
      <c r="AH493" s="9">
        <v>2679452.5</v>
      </c>
      <c r="AI493">
        <v>1956094.5</v>
      </c>
      <c r="AJ493">
        <v>374940.2</v>
      </c>
      <c r="AK493" t="s">
        <v>139</v>
      </c>
      <c r="AL493">
        <v>400781.4</v>
      </c>
      <c r="AM493" t="s">
        <v>139</v>
      </c>
      <c r="AN493">
        <v>150118.6</v>
      </c>
      <c r="AO493" s="9">
        <v>2496445.2999999998</v>
      </c>
      <c r="AP493">
        <v>183007.2</v>
      </c>
      <c r="AQ493" t="s">
        <v>139</v>
      </c>
      <c r="AR493" t="s">
        <v>139</v>
      </c>
      <c r="AS493">
        <f t="shared" si="6"/>
        <v>2331034.7000000002</v>
      </c>
      <c r="AT493">
        <f t="shared" si="5"/>
        <v>1.1494691606263947</v>
      </c>
    </row>
    <row r="494" spans="1:46" x14ac:dyDescent="0.4">
      <c r="A494" s="3" t="s">
        <v>625</v>
      </c>
      <c r="B494">
        <v>2134064.1</v>
      </c>
      <c r="C494">
        <v>514631</v>
      </c>
      <c r="D494">
        <v>322413.09999999998</v>
      </c>
      <c r="E494" t="s">
        <v>139</v>
      </c>
      <c r="F494" t="s">
        <v>139</v>
      </c>
      <c r="G494">
        <v>192217.9</v>
      </c>
      <c r="H494" t="s">
        <v>139</v>
      </c>
      <c r="I494" t="s">
        <v>139</v>
      </c>
      <c r="J494">
        <v>1619433.1</v>
      </c>
      <c r="K494">
        <v>553429.30000000005</v>
      </c>
      <c r="L494">
        <v>549405</v>
      </c>
      <c r="M494" t="s">
        <v>139</v>
      </c>
      <c r="N494">
        <v>24996.2</v>
      </c>
      <c r="O494" t="s">
        <v>139</v>
      </c>
      <c r="P494" t="s">
        <v>139</v>
      </c>
      <c r="Q494" t="s">
        <v>139</v>
      </c>
      <c r="R494" t="s">
        <v>139</v>
      </c>
      <c r="S494" t="s">
        <v>139</v>
      </c>
      <c r="T494" t="s">
        <v>139</v>
      </c>
      <c r="U494">
        <v>316961.3</v>
      </c>
      <c r="V494" s="6" t="s">
        <v>139</v>
      </c>
      <c r="W494" t="s">
        <v>139</v>
      </c>
      <c r="X494" t="s">
        <v>139</v>
      </c>
      <c r="Y494" t="s">
        <v>139</v>
      </c>
      <c r="Z494">
        <v>199637.5</v>
      </c>
      <c r="AA494" t="s">
        <v>139</v>
      </c>
      <c r="AB494" t="s">
        <v>139</v>
      </c>
      <c r="AC494" t="s">
        <v>139</v>
      </c>
      <c r="AD494">
        <v>232366.3</v>
      </c>
      <c r="AE494" t="s">
        <v>139</v>
      </c>
      <c r="AF494">
        <v>46905.2</v>
      </c>
      <c r="AG494">
        <v>156180.70000000001</v>
      </c>
      <c r="AH494" s="9">
        <v>2675367.4</v>
      </c>
      <c r="AI494">
        <v>1955520.6</v>
      </c>
      <c r="AJ494">
        <v>376907.5</v>
      </c>
      <c r="AK494" t="s">
        <v>139</v>
      </c>
      <c r="AL494">
        <v>400944.6</v>
      </c>
      <c r="AM494" t="s">
        <v>139</v>
      </c>
      <c r="AN494">
        <v>146504.1</v>
      </c>
      <c r="AO494" s="9">
        <v>2496579.9</v>
      </c>
      <c r="AP494">
        <v>178787.5</v>
      </c>
      <c r="AQ494" t="s">
        <v>139</v>
      </c>
      <c r="AR494" t="s">
        <v>139</v>
      </c>
      <c r="AS494">
        <f t="shared" si="6"/>
        <v>2332428.1</v>
      </c>
      <c r="AT494">
        <f t="shared" si="5"/>
        <v>1.1470310274516071</v>
      </c>
    </row>
    <row r="495" spans="1:46" x14ac:dyDescent="0.4">
      <c r="A495" s="3" t="s">
        <v>626</v>
      </c>
      <c r="B495">
        <v>2145622.2999999998</v>
      </c>
      <c r="C495">
        <v>517365</v>
      </c>
      <c r="D495">
        <v>326585.40000000002</v>
      </c>
      <c r="E495" t="s">
        <v>139</v>
      </c>
      <c r="F495" t="s">
        <v>139</v>
      </c>
      <c r="G495">
        <v>190779.7</v>
      </c>
      <c r="H495" t="s">
        <v>139</v>
      </c>
      <c r="I495" t="s">
        <v>139</v>
      </c>
      <c r="J495">
        <v>1628257.3</v>
      </c>
      <c r="K495">
        <v>554134.1</v>
      </c>
      <c r="L495">
        <v>556232.1</v>
      </c>
      <c r="M495" t="s">
        <v>139</v>
      </c>
      <c r="N495">
        <v>26179</v>
      </c>
      <c r="O495" t="s">
        <v>139</v>
      </c>
      <c r="P495" t="s">
        <v>139</v>
      </c>
      <c r="Q495" t="s">
        <v>139</v>
      </c>
      <c r="R495" t="s">
        <v>139</v>
      </c>
      <c r="S495" t="s">
        <v>139</v>
      </c>
      <c r="T495" t="s">
        <v>139</v>
      </c>
      <c r="U495">
        <v>319344.3</v>
      </c>
      <c r="V495" s="6" t="s">
        <v>139</v>
      </c>
      <c r="W495" t="s">
        <v>139</v>
      </c>
      <c r="X495" t="s">
        <v>139</v>
      </c>
      <c r="Y495" t="s">
        <v>139</v>
      </c>
      <c r="Z495">
        <v>198546.8</v>
      </c>
      <c r="AA495" t="s">
        <v>139</v>
      </c>
      <c r="AB495" t="s">
        <v>139</v>
      </c>
      <c r="AC495" t="s">
        <v>139</v>
      </c>
      <c r="AD495">
        <v>234014.5</v>
      </c>
      <c r="AE495" t="s">
        <v>139</v>
      </c>
      <c r="AF495">
        <v>44887</v>
      </c>
      <c r="AG495">
        <v>157279.79999999999</v>
      </c>
      <c r="AH495" s="9">
        <v>2691966.6</v>
      </c>
      <c r="AI495">
        <v>1961994.3</v>
      </c>
      <c r="AJ495">
        <v>377261.6</v>
      </c>
      <c r="AK495" t="s">
        <v>139</v>
      </c>
      <c r="AL495">
        <v>406575.1</v>
      </c>
      <c r="AM495" t="s">
        <v>139</v>
      </c>
      <c r="AN495">
        <v>145977.20000000001</v>
      </c>
      <c r="AO495" s="9">
        <v>2514874.4</v>
      </c>
      <c r="AP495">
        <v>177092.3</v>
      </c>
      <c r="AQ495" t="s">
        <v>139</v>
      </c>
      <c r="AR495" t="s">
        <v>139</v>
      </c>
      <c r="AS495">
        <f t="shared" si="6"/>
        <v>2339255.9</v>
      </c>
      <c r="AT495">
        <f t="shared" si="5"/>
        <v>1.1507790148140697</v>
      </c>
    </row>
    <row r="496" spans="1:46" x14ac:dyDescent="0.4">
      <c r="A496" s="3" t="s">
        <v>627</v>
      </c>
      <c r="B496">
        <v>2168390.2999999998</v>
      </c>
      <c r="C496">
        <v>520434.8</v>
      </c>
      <c r="D496">
        <v>329523.59999999998</v>
      </c>
      <c r="E496" t="s">
        <v>139</v>
      </c>
      <c r="F496" t="s">
        <v>139</v>
      </c>
      <c r="G496">
        <v>190911.2</v>
      </c>
      <c r="H496" t="s">
        <v>139</v>
      </c>
      <c r="I496" t="s">
        <v>139</v>
      </c>
      <c r="J496">
        <v>1647955.5</v>
      </c>
      <c r="K496">
        <v>561315.80000000005</v>
      </c>
      <c r="L496">
        <v>563145.4</v>
      </c>
      <c r="M496" t="s">
        <v>139</v>
      </c>
      <c r="N496">
        <v>27441.599999999999</v>
      </c>
      <c r="O496" t="s">
        <v>139</v>
      </c>
      <c r="P496" t="s">
        <v>139</v>
      </c>
      <c r="Q496" t="s">
        <v>139</v>
      </c>
      <c r="R496" t="s">
        <v>139</v>
      </c>
      <c r="S496" t="s">
        <v>139</v>
      </c>
      <c r="T496" t="s">
        <v>139</v>
      </c>
      <c r="U496">
        <v>321890.09999999998</v>
      </c>
      <c r="V496" s="6" t="s">
        <v>139</v>
      </c>
      <c r="W496" t="s">
        <v>139</v>
      </c>
      <c r="X496" t="s">
        <v>139</v>
      </c>
      <c r="Y496" t="s">
        <v>139</v>
      </c>
      <c r="Z496">
        <v>201604.3</v>
      </c>
      <c r="AA496" t="s">
        <v>139</v>
      </c>
      <c r="AB496" t="s">
        <v>139</v>
      </c>
      <c r="AC496" t="s">
        <v>139</v>
      </c>
      <c r="AD496">
        <v>235208.6</v>
      </c>
      <c r="AE496" t="s">
        <v>139</v>
      </c>
      <c r="AF496">
        <v>45121.5</v>
      </c>
      <c r="AG496">
        <v>161969.4</v>
      </c>
      <c r="AH496" s="9">
        <v>2720042.6</v>
      </c>
      <c r="AI496">
        <v>1967775.6</v>
      </c>
      <c r="AJ496">
        <v>378173.9</v>
      </c>
      <c r="AK496" t="s">
        <v>139</v>
      </c>
      <c r="AL496">
        <v>405264.6</v>
      </c>
      <c r="AM496" t="s">
        <v>139</v>
      </c>
      <c r="AN496">
        <v>149489.4</v>
      </c>
      <c r="AO496" s="9">
        <v>2534488.5</v>
      </c>
      <c r="AP496">
        <v>185554.1</v>
      </c>
      <c r="AQ496" t="s">
        <v>139</v>
      </c>
      <c r="AR496" t="s">
        <v>139</v>
      </c>
      <c r="AS496">
        <f t="shared" si="6"/>
        <v>2345949.5</v>
      </c>
      <c r="AT496">
        <f t="shared" si="5"/>
        <v>1.1594634070341241</v>
      </c>
    </row>
    <row r="497" spans="1:46" x14ac:dyDescent="0.4">
      <c r="A497" s="3" t="s">
        <v>628</v>
      </c>
      <c r="B497">
        <v>2181092.1</v>
      </c>
      <c r="C497">
        <v>519795.9</v>
      </c>
      <c r="D497">
        <v>329945.40000000002</v>
      </c>
      <c r="E497" t="s">
        <v>139</v>
      </c>
      <c r="F497" t="s">
        <v>139</v>
      </c>
      <c r="G497">
        <v>189850.5</v>
      </c>
      <c r="H497" t="s">
        <v>139</v>
      </c>
      <c r="I497" t="s">
        <v>139</v>
      </c>
      <c r="J497">
        <v>1661296.2</v>
      </c>
      <c r="K497">
        <v>563135.19999999995</v>
      </c>
      <c r="L497">
        <v>570786.1</v>
      </c>
      <c r="M497" t="s">
        <v>139</v>
      </c>
      <c r="N497">
        <v>28478.9</v>
      </c>
      <c r="O497" t="s">
        <v>139</v>
      </c>
      <c r="P497" t="s">
        <v>139</v>
      </c>
      <c r="Q497" t="s">
        <v>139</v>
      </c>
      <c r="R497" t="s">
        <v>139</v>
      </c>
      <c r="S497" t="s">
        <v>139</v>
      </c>
      <c r="T497" t="s">
        <v>139</v>
      </c>
      <c r="U497">
        <v>324308.8</v>
      </c>
      <c r="V497" s="6" t="s">
        <v>139</v>
      </c>
      <c r="W497" t="s">
        <v>139</v>
      </c>
      <c r="X497" t="s">
        <v>139</v>
      </c>
      <c r="Y497" t="s">
        <v>139</v>
      </c>
      <c r="Z497">
        <v>203066.1</v>
      </c>
      <c r="AA497" t="s">
        <v>139</v>
      </c>
      <c r="AB497" t="s">
        <v>139</v>
      </c>
      <c r="AC497" t="s">
        <v>139</v>
      </c>
      <c r="AD497">
        <v>233999.9</v>
      </c>
      <c r="AE497" t="s">
        <v>139</v>
      </c>
      <c r="AF497">
        <v>45307.199999999997</v>
      </c>
      <c r="AG497">
        <v>165501.1</v>
      </c>
      <c r="AH497" s="9">
        <v>2742921.4</v>
      </c>
      <c r="AI497">
        <v>1980899.9</v>
      </c>
      <c r="AJ497">
        <v>385908.6</v>
      </c>
      <c r="AK497" t="s">
        <v>139</v>
      </c>
      <c r="AL497">
        <v>410041.8</v>
      </c>
      <c r="AM497" t="s">
        <v>139</v>
      </c>
      <c r="AN497">
        <v>155010.1</v>
      </c>
      <c r="AO497" s="9">
        <v>2554330.5</v>
      </c>
      <c r="AP497">
        <v>188591</v>
      </c>
      <c r="AQ497" t="s">
        <v>139</v>
      </c>
      <c r="AR497" t="s">
        <v>139</v>
      </c>
      <c r="AS497">
        <f t="shared" si="6"/>
        <v>2366808.5</v>
      </c>
      <c r="AT497">
        <f t="shared" si="5"/>
        <v>1.1589114201677069</v>
      </c>
    </row>
    <row r="498" spans="1:46" x14ac:dyDescent="0.4">
      <c r="A498" s="3" t="s">
        <v>629</v>
      </c>
      <c r="B498">
        <v>2184679.4</v>
      </c>
      <c r="C498">
        <v>521498</v>
      </c>
      <c r="D498">
        <v>331409.5</v>
      </c>
      <c r="E498" t="s">
        <v>139</v>
      </c>
      <c r="F498" t="s">
        <v>139</v>
      </c>
      <c r="G498">
        <v>190088.5</v>
      </c>
      <c r="H498" t="s">
        <v>139</v>
      </c>
      <c r="I498" t="s">
        <v>139</v>
      </c>
      <c r="J498">
        <v>1663181.3</v>
      </c>
      <c r="K498">
        <v>562499.9</v>
      </c>
      <c r="L498">
        <v>577697.80000000005</v>
      </c>
      <c r="M498" t="s">
        <v>139</v>
      </c>
      <c r="N498">
        <v>29577.200000000001</v>
      </c>
      <c r="O498" t="s">
        <v>139</v>
      </c>
      <c r="P498" t="s">
        <v>139</v>
      </c>
      <c r="Q498" t="s">
        <v>139</v>
      </c>
      <c r="R498" t="s">
        <v>139</v>
      </c>
      <c r="S498" t="s">
        <v>139</v>
      </c>
      <c r="T498" t="s">
        <v>139</v>
      </c>
      <c r="U498">
        <v>325035.2</v>
      </c>
      <c r="V498" s="6" t="s">
        <v>139</v>
      </c>
      <c r="W498" t="s">
        <v>139</v>
      </c>
      <c r="X498" t="s">
        <v>139</v>
      </c>
      <c r="Y498" t="s">
        <v>139</v>
      </c>
      <c r="Z498">
        <v>197948.5</v>
      </c>
      <c r="AA498" t="s">
        <v>139</v>
      </c>
      <c r="AB498" t="s">
        <v>139</v>
      </c>
      <c r="AC498" t="s">
        <v>139</v>
      </c>
      <c r="AD498">
        <v>230357.7</v>
      </c>
      <c r="AE498" t="s">
        <v>139</v>
      </c>
      <c r="AF498">
        <v>45251</v>
      </c>
      <c r="AG498">
        <v>164366.29999999999</v>
      </c>
      <c r="AH498" s="9">
        <v>2733486</v>
      </c>
      <c r="AI498">
        <v>1984034.6</v>
      </c>
      <c r="AJ498">
        <v>392363.3</v>
      </c>
      <c r="AK498" t="s">
        <v>139</v>
      </c>
      <c r="AL498">
        <v>409656.4</v>
      </c>
      <c r="AM498" t="s">
        <v>139</v>
      </c>
      <c r="AN498">
        <v>152460.79999999999</v>
      </c>
      <c r="AO498" s="9">
        <v>2552006.7000000002</v>
      </c>
      <c r="AP498">
        <v>181479.3</v>
      </c>
      <c r="AQ498" t="s">
        <v>139</v>
      </c>
      <c r="AR498" t="s">
        <v>139</v>
      </c>
      <c r="AS498">
        <f t="shared" si="6"/>
        <v>2376397.9</v>
      </c>
      <c r="AT498">
        <f t="shared" si="5"/>
        <v>1.1502644401427893</v>
      </c>
    </row>
    <row r="499" spans="1:46" x14ac:dyDescent="0.4">
      <c r="A499" s="3" t="s">
        <v>630</v>
      </c>
      <c r="B499">
        <v>2198307.5</v>
      </c>
      <c r="C499">
        <v>525111.30000000005</v>
      </c>
      <c r="D499">
        <v>335150.09999999998</v>
      </c>
      <c r="E499" t="s">
        <v>139</v>
      </c>
      <c r="F499" t="s">
        <v>139</v>
      </c>
      <c r="G499">
        <v>189961.2</v>
      </c>
      <c r="H499" t="s">
        <v>139</v>
      </c>
      <c r="I499" t="s">
        <v>139</v>
      </c>
      <c r="J499">
        <v>1673196.2</v>
      </c>
      <c r="K499">
        <v>564982.80000000005</v>
      </c>
      <c r="L499">
        <v>585701.5</v>
      </c>
      <c r="M499" t="s">
        <v>139</v>
      </c>
      <c r="N499">
        <v>30624.400000000001</v>
      </c>
      <c r="O499" t="s">
        <v>139</v>
      </c>
      <c r="P499" t="s">
        <v>139</v>
      </c>
      <c r="Q499" t="s">
        <v>139</v>
      </c>
      <c r="R499" t="s">
        <v>139</v>
      </c>
      <c r="S499" t="s">
        <v>139</v>
      </c>
      <c r="T499" t="s">
        <v>139</v>
      </c>
      <c r="U499">
        <v>326865.40000000002</v>
      </c>
      <c r="V499" s="6" t="s">
        <v>139</v>
      </c>
      <c r="W499" t="s">
        <v>139</v>
      </c>
      <c r="X499" t="s">
        <v>139</v>
      </c>
      <c r="Y499" t="s">
        <v>139</v>
      </c>
      <c r="Z499">
        <v>195646.5</v>
      </c>
      <c r="AA499" t="s">
        <v>139</v>
      </c>
      <c r="AB499" t="s">
        <v>139</v>
      </c>
      <c r="AC499" t="s">
        <v>139</v>
      </c>
      <c r="AD499">
        <v>228877.7</v>
      </c>
      <c r="AE499" t="s">
        <v>139</v>
      </c>
      <c r="AF499">
        <v>44573.3</v>
      </c>
      <c r="AG499">
        <v>160188.6</v>
      </c>
      <c r="AH499" s="9">
        <v>2734023.8</v>
      </c>
      <c r="AI499">
        <v>1985596.9</v>
      </c>
      <c r="AJ499">
        <v>394750.9</v>
      </c>
      <c r="AK499" t="s">
        <v>139</v>
      </c>
      <c r="AL499">
        <v>408635.6</v>
      </c>
      <c r="AM499" t="s">
        <v>139</v>
      </c>
      <c r="AN499">
        <v>151938.9</v>
      </c>
      <c r="AO499" s="9">
        <v>2555242.6</v>
      </c>
      <c r="AP499">
        <v>178781.2</v>
      </c>
      <c r="AQ499" t="s">
        <v>139</v>
      </c>
      <c r="AR499" t="s">
        <v>139</v>
      </c>
      <c r="AS499">
        <f t="shared" si="6"/>
        <v>2380347.7999999998</v>
      </c>
      <c r="AT499">
        <f t="shared" si="5"/>
        <v>1.1485816484465001</v>
      </c>
    </row>
    <row r="500" spans="1:46" x14ac:dyDescent="0.4">
      <c r="A500" s="3" t="s">
        <v>631</v>
      </c>
      <c r="B500">
        <v>2212630</v>
      </c>
      <c r="C500">
        <v>527214.5</v>
      </c>
      <c r="D500">
        <v>335251.90000000002</v>
      </c>
      <c r="E500" t="s">
        <v>139</v>
      </c>
      <c r="F500" t="s">
        <v>139</v>
      </c>
      <c r="G500">
        <v>191962.6</v>
      </c>
      <c r="H500" t="s">
        <v>139</v>
      </c>
      <c r="I500" t="s">
        <v>139</v>
      </c>
      <c r="J500">
        <v>1685415.5</v>
      </c>
      <c r="K500">
        <v>567074.6</v>
      </c>
      <c r="L500">
        <v>591581</v>
      </c>
      <c r="M500" t="s">
        <v>139</v>
      </c>
      <c r="N500">
        <v>31826.6</v>
      </c>
      <c r="O500" t="s">
        <v>139</v>
      </c>
      <c r="P500" t="s">
        <v>139</v>
      </c>
      <c r="Q500" t="s">
        <v>139</v>
      </c>
      <c r="R500" t="s">
        <v>139</v>
      </c>
      <c r="S500" t="s">
        <v>139</v>
      </c>
      <c r="T500" t="s">
        <v>139</v>
      </c>
      <c r="U500">
        <v>330265.8</v>
      </c>
      <c r="V500" s="6" t="s">
        <v>139</v>
      </c>
      <c r="W500" t="s">
        <v>139</v>
      </c>
      <c r="X500" t="s">
        <v>139</v>
      </c>
      <c r="Y500" t="s">
        <v>139</v>
      </c>
      <c r="Z500">
        <v>196494.2</v>
      </c>
      <c r="AA500" t="s">
        <v>139</v>
      </c>
      <c r="AB500" t="s">
        <v>139</v>
      </c>
      <c r="AC500" t="s">
        <v>139</v>
      </c>
      <c r="AD500">
        <v>234979</v>
      </c>
      <c r="AE500" t="s">
        <v>139</v>
      </c>
      <c r="AF500">
        <v>44104.5</v>
      </c>
      <c r="AG500">
        <v>154988.20000000001</v>
      </c>
      <c r="AH500" s="9">
        <v>2751583.2</v>
      </c>
      <c r="AI500">
        <v>2000534.2</v>
      </c>
      <c r="AJ500">
        <v>397004.7</v>
      </c>
      <c r="AK500" t="s">
        <v>139</v>
      </c>
      <c r="AL500">
        <v>417718.3</v>
      </c>
      <c r="AM500" t="s">
        <v>139</v>
      </c>
      <c r="AN500">
        <v>149398.70000000001</v>
      </c>
      <c r="AO500" s="9">
        <v>2575012.2999999998</v>
      </c>
      <c r="AP500">
        <v>176570.9</v>
      </c>
      <c r="AQ500" t="s">
        <v>139</v>
      </c>
      <c r="AR500" t="s">
        <v>139</v>
      </c>
      <c r="AS500">
        <f t="shared" si="6"/>
        <v>2397538.9</v>
      </c>
      <c r="AT500">
        <f t="shared" si="5"/>
        <v>1.1476698876502067</v>
      </c>
    </row>
    <row r="501" spans="1:46" x14ac:dyDescent="0.4">
      <c r="A501" s="3" t="s">
        <v>632</v>
      </c>
      <c r="B501">
        <v>2221846.6</v>
      </c>
      <c r="C501">
        <v>527414.9</v>
      </c>
      <c r="D501">
        <v>335678.2</v>
      </c>
      <c r="E501" t="s">
        <v>139</v>
      </c>
      <c r="F501" t="s">
        <v>139</v>
      </c>
      <c r="G501">
        <v>191736.8</v>
      </c>
      <c r="H501" t="s">
        <v>139</v>
      </c>
      <c r="I501" t="s">
        <v>139</v>
      </c>
      <c r="J501">
        <v>1694431.7</v>
      </c>
      <c r="K501">
        <v>568290.4</v>
      </c>
      <c r="L501">
        <v>595947.9</v>
      </c>
      <c r="M501" t="s">
        <v>139</v>
      </c>
      <c r="N501">
        <v>32466.2</v>
      </c>
      <c r="O501" t="s">
        <v>139</v>
      </c>
      <c r="P501" t="s">
        <v>139</v>
      </c>
      <c r="Q501" t="s">
        <v>139</v>
      </c>
      <c r="R501" t="s">
        <v>139</v>
      </c>
      <c r="S501" t="s">
        <v>139</v>
      </c>
      <c r="T501" t="s">
        <v>139</v>
      </c>
      <c r="U501">
        <v>332407.7</v>
      </c>
      <c r="V501" s="6" t="s">
        <v>139</v>
      </c>
      <c r="W501" t="s">
        <v>139</v>
      </c>
      <c r="X501" t="s">
        <v>139</v>
      </c>
      <c r="Y501" t="s">
        <v>139</v>
      </c>
      <c r="Z501">
        <v>197785.8</v>
      </c>
      <c r="AA501" t="s">
        <v>139</v>
      </c>
      <c r="AB501" t="s">
        <v>139</v>
      </c>
      <c r="AC501" t="s">
        <v>139</v>
      </c>
      <c r="AD501">
        <v>235310.3</v>
      </c>
      <c r="AE501" t="s">
        <v>139</v>
      </c>
      <c r="AF501">
        <v>45148</v>
      </c>
      <c r="AG501">
        <v>156852.79999999999</v>
      </c>
      <c r="AH501" s="9">
        <v>2763919.4</v>
      </c>
      <c r="AI501">
        <v>2007374.4</v>
      </c>
      <c r="AJ501">
        <v>398940.3</v>
      </c>
      <c r="AK501" t="s">
        <v>139</v>
      </c>
      <c r="AL501">
        <v>421772.1</v>
      </c>
      <c r="AM501" t="s">
        <v>139</v>
      </c>
      <c r="AN501">
        <v>149029.29999999999</v>
      </c>
      <c r="AO501" s="9">
        <v>2579899.7999999998</v>
      </c>
      <c r="AP501">
        <v>184019.6</v>
      </c>
      <c r="AQ501" t="s">
        <v>139</v>
      </c>
      <c r="AR501" t="s">
        <v>139</v>
      </c>
      <c r="AS501">
        <f t="shared" si="6"/>
        <v>2406314.6999999997</v>
      </c>
      <c r="AT501">
        <f t="shared" si="5"/>
        <v>1.148610944362348</v>
      </c>
    </row>
    <row r="502" spans="1:46" x14ac:dyDescent="0.4">
      <c r="A502" s="3" t="s">
        <v>633</v>
      </c>
      <c r="B502">
        <v>2238934.5</v>
      </c>
      <c r="C502">
        <v>531375.30000000005</v>
      </c>
      <c r="D502">
        <v>336796.1</v>
      </c>
      <c r="E502" t="s">
        <v>139</v>
      </c>
      <c r="F502" t="s">
        <v>139</v>
      </c>
      <c r="G502">
        <v>194579.20000000001</v>
      </c>
      <c r="H502" t="s">
        <v>139</v>
      </c>
      <c r="I502" t="s">
        <v>139</v>
      </c>
      <c r="J502">
        <v>1707559.3</v>
      </c>
      <c r="K502">
        <v>571402.5</v>
      </c>
      <c r="L502">
        <v>601449.30000000005</v>
      </c>
      <c r="M502" t="s">
        <v>139</v>
      </c>
      <c r="N502">
        <v>33015.800000000003</v>
      </c>
      <c r="O502" t="s">
        <v>139</v>
      </c>
      <c r="P502" t="s">
        <v>139</v>
      </c>
      <c r="Q502" t="s">
        <v>139</v>
      </c>
      <c r="R502" t="s">
        <v>139</v>
      </c>
      <c r="S502" t="s">
        <v>139</v>
      </c>
      <c r="T502" t="s">
        <v>139</v>
      </c>
      <c r="U502">
        <v>336318.9</v>
      </c>
      <c r="V502" s="6" t="s">
        <v>139</v>
      </c>
      <c r="W502" t="s">
        <v>139</v>
      </c>
      <c r="X502" t="s">
        <v>139</v>
      </c>
      <c r="Y502" t="s">
        <v>139</v>
      </c>
      <c r="Z502">
        <v>198388.6</v>
      </c>
      <c r="AA502" t="s">
        <v>139</v>
      </c>
      <c r="AB502" t="s">
        <v>139</v>
      </c>
      <c r="AC502" t="s">
        <v>139</v>
      </c>
      <c r="AD502">
        <v>232658.7</v>
      </c>
      <c r="AE502" t="s">
        <v>139</v>
      </c>
      <c r="AF502">
        <v>45366.9</v>
      </c>
      <c r="AG502">
        <v>156636.5</v>
      </c>
      <c r="AH502" s="9">
        <v>2776668.7</v>
      </c>
      <c r="AI502">
        <v>2016215.1</v>
      </c>
      <c r="AJ502">
        <v>400284.3</v>
      </c>
      <c r="AK502" t="s">
        <v>139</v>
      </c>
      <c r="AL502">
        <v>434030.8</v>
      </c>
      <c r="AM502" t="s">
        <v>139</v>
      </c>
      <c r="AN502">
        <v>147577.29999999999</v>
      </c>
      <c r="AO502" s="9">
        <v>2594451</v>
      </c>
      <c r="AP502">
        <v>182217.7</v>
      </c>
      <c r="AQ502" t="s">
        <v>139</v>
      </c>
      <c r="AR502" t="s">
        <v>139</v>
      </c>
      <c r="AS502">
        <f t="shared" si="6"/>
        <v>2416499.4</v>
      </c>
      <c r="AT502">
        <f t="shared" si="5"/>
        <v>1.1490458884450789</v>
      </c>
    </row>
    <row r="503" spans="1:46" x14ac:dyDescent="0.4">
      <c r="A503" s="3" t="s">
        <v>634</v>
      </c>
      <c r="B503">
        <v>2259440.7999999998</v>
      </c>
      <c r="C503">
        <v>536700.30000000005</v>
      </c>
      <c r="D503">
        <v>341647.2</v>
      </c>
      <c r="E503" t="s">
        <v>139</v>
      </c>
      <c r="F503" t="s">
        <v>139</v>
      </c>
      <c r="G503">
        <v>195053.1</v>
      </c>
      <c r="H503" t="s">
        <v>139</v>
      </c>
      <c r="I503" t="s">
        <v>139</v>
      </c>
      <c r="J503">
        <v>1722740.5</v>
      </c>
      <c r="K503">
        <v>577393.30000000005</v>
      </c>
      <c r="L503">
        <v>608896.4</v>
      </c>
      <c r="M503" t="s">
        <v>139</v>
      </c>
      <c r="N503">
        <v>33816.300000000003</v>
      </c>
      <c r="O503" t="s">
        <v>139</v>
      </c>
      <c r="P503" t="s">
        <v>139</v>
      </c>
      <c r="Q503" t="s">
        <v>139</v>
      </c>
      <c r="R503" t="s">
        <v>139</v>
      </c>
      <c r="S503" t="s">
        <v>139</v>
      </c>
      <c r="T503" t="s">
        <v>139</v>
      </c>
      <c r="U503">
        <v>339485.7</v>
      </c>
      <c r="V503" s="6" t="s">
        <v>139</v>
      </c>
      <c r="W503" t="s">
        <v>139</v>
      </c>
      <c r="X503" t="s">
        <v>139</v>
      </c>
      <c r="Y503" t="s">
        <v>139</v>
      </c>
      <c r="Z503">
        <v>196965.1</v>
      </c>
      <c r="AA503" t="s">
        <v>139</v>
      </c>
      <c r="AB503" t="s">
        <v>139</v>
      </c>
      <c r="AC503" t="s">
        <v>139</v>
      </c>
      <c r="AD503">
        <v>233698.6</v>
      </c>
      <c r="AE503" t="s">
        <v>139</v>
      </c>
      <c r="AF503">
        <v>46092.5</v>
      </c>
      <c r="AG503">
        <v>157458.5</v>
      </c>
      <c r="AH503" s="9">
        <v>2805335.1</v>
      </c>
      <c r="AI503">
        <v>2027994.9</v>
      </c>
      <c r="AJ503">
        <v>400510.7</v>
      </c>
      <c r="AK503" t="s">
        <v>139</v>
      </c>
      <c r="AL503">
        <v>444206</v>
      </c>
      <c r="AM503" t="s">
        <v>139</v>
      </c>
      <c r="AN503">
        <v>147631.4</v>
      </c>
      <c r="AO503" s="9">
        <v>2619887</v>
      </c>
      <c r="AP503">
        <v>185448.1</v>
      </c>
      <c r="AQ503" t="s">
        <v>139</v>
      </c>
      <c r="AR503" t="s">
        <v>139</v>
      </c>
      <c r="AS503">
        <f t="shared" si="6"/>
        <v>2428505.6</v>
      </c>
      <c r="AT503">
        <f t="shared" si="5"/>
        <v>1.1551692942359284</v>
      </c>
    </row>
    <row r="504" spans="1:46" x14ac:dyDescent="0.4">
      <c r="A504" s="3" t="s">
        <v>635</v>
      </c>
      <c r="B504">
        <v>2279613.6</v>
      </c>
      <c r="C504">
        <v>540185.80000000005</v>
      </c>
      <c r="D504">
        <v>344727.8</v>
      </c>
      <c r="E504" t="s">
        <v>139</v>
      </c>
      <c r="F504" t="s">
        <v>139</v>
      </c>
      <c r="G504">
        <v>195458</v>
      </c>
      <c r="H504" t="s">
        <v>139</v>
      </c>
      <c r="I504" t="s">
        <v>139</v>
      </c>
      <c r="J504">
        <v>1739427.8</v>
      </c>
      <c r="K504">
        <v>583826.19999999995</v>
      </c>
      <c r="L504">
        <v>616129.19999999995</v>
      </c>
      <c r="M504" t="s">
        <v>139</v>
      </c>
      <c r="N504">
        <v>34622.9</v>
      </c>
      <c r="O504" t="s">
        <v>139</v>
      </c>
      <c r="P504" t="s">
        <v>139</v>
      </c>
      <c r="Q504" t="s">
        <v>139</v>
      </c>
      <c r="R504" t="s">
        <v>139</v>
      </c>
      <c r="S504" t="s">
        <v>139</v>
      </c>
      <c r="T504" t="s">
        <v>139</v>
      </c>
      <c r="U504">
        <v>341228.1</v>
      </c>
      <c r="V504" s="6" t="s">
        <v>139</v>
      </c>
      <c r="W504" t="s">
        <v>139</v>
      </c>
      <c r="X504" t="s">
        <v>139</v>
      </c>
      <c r="Y504" t="s">
        <v>139</v>
      </c>
      <c r="Z504">
        <v>198244.2</v>
      </c>
      <c r="AA504" t="s">
        <v>139</v>
      </c>
      <c r="AB504" t="s">
        <v>139</v>
      </c>
      <c r="AC504" t="s">
        <v>139</v>
      </c>
      <c r="AD504">
        <v>238473.7</v>
      </c>
      <c r="AE504" t="s">
        <v>139</v>
      </c>
      <c r="AF504">
        <v>44906.7</v>
      </c>
      <c r="AG504">
        <v>160516</v>
      </c>
      <c r="AH504" s="9">
        <v>2833320</v>
      </c>
      <c r="AI504">
        <v>2047897.7</v>
      </c>
      <c r="AJ504">
        <v>402114.4</v>
      </c>
      <c r="AK504" t="s">
        <v>139</v>
      </c>
      <c r="AL504">
        <v>447477.7</v>
      </c>
      <c r="AM504" t="s">
        <v>139</v>
      </c>
      <c r="AN504">
        <v>150541.4</v>
      </c>
      <c r="AO504" s="9">
        <v>2648661.9</v>
      </c>
      <c r="AP504">
        <v>184658.1</v>
      </c>
      <c r="AQ504" t="s">
        <v>139</v>
      </c>
      <c r="AR504" t="s">
        <v>139</v>
      </c>
      <c r="AS504">
        <f t="shared" si="6"/>
        <v>2450012.1</v>
      </c>
      <c r="AT504">
        <f t="shared" si="5"/>
        <v>1.1564514314031347</v>
      </c>
    </row>
    <row r="505" spans="1:46" x14ac:dyDescent="0.4">
      <c r="A505" s="3" t="s">
        <v>636</v>
      </c>
      <c r="B505">
        <v>2298769.6</v>
      </c>
      <c r="C505">
        <v>545129.30000000005</v>
      </c>
      <c r="D505">
        <v>349945.8</v>
      </c>
      <c r="E505" t="s">
        <v>139</v>
      </c>
      <c r="F505" t="s">
        <v>139</v>
      </c>
      <c r="G505">
        <v>195183.6</v>
      </c>
      <c r="H505" t="s">
        <v>139</v>
      </c>
      <c r="I505" t="s">
        <v>139</v>
      </c>
      <c r="J505">
        <v>1753640.3</v>
      </c>
      <c r="K505">
        <v>589003.30000000005</v>
      </c>
      <c r="L505">
        <v>622781.4</v>
      </c>
      <c r="M505" t="s">
        <v>139</v>
      </c>
      <c r="N505">
        <v>35403.599999999999</v>
      </c>
      <c r="O505" t="s">
        <v>139</v>
      </c>
      <c r="P505" t="s">
        <v>139</v>
      </c>
      <c r="Q505" t="s">
        <v>139</v>
      </c>
      <c r="R505" t="s">
        <v>139</v>
      </c>
      <c r="S505" t="s">
        <v>139</v>
      </c>
      <c r="T505" t="s">
        <v>139</v>
      </c>
      <c r="U505">
        <v>343354.2</v>
      </c>
      <c r="V505" s="6" t="s">
        <v>139</v>
      </c>
      <c r="W505" t="s">
        <v>139</v>
      </c>
      <c r="X505" t="s">
        <v>139</v>
      </c>
      <c r="Y505" t="s">
        <v>139</v>
      </c>
      <c r="Z505">
        <v>198501.4</v>
      </c>
      <c r="AA505" t="s">
        <v>139</v>
      </c>
      <c r="AB505" t="s">
        <v>139</v>
      </c>
      <c r="AC505" t="s">
        <v>139</v>
      </c>
      <c r="AD505">
        <v>239767.7</v>
      </c>
      <c r="AE505" t="s">
        <v>139</v>
      </c>
      <c r="AF505">
        <v>45769</v>
      </c>
      <c r="AG505">
        <v>162573.70000000001</v>
      </c>
      <c r="AH505" s="9">
        <v>2860290.4</v>
      </c>
      <c r="AI505">
        <v>2060085.4</v>
      </c>
      <c r="AJ505">
        <v>405458.7</v>
      </c>
      <c r="AK505" t="s">
        <v>139</v>
      </c>
      <c r="AL505">
        <v>454089.4</v>
      </c>
      <c r="AM505" t="s">
        <v>139</v>
      </c>
      <c r="AN505">
        <v>154589.4</v>
      </c>
      <c r="AO505" s="9">
        <v>2670844.4</v>
      </c>
      <c r="AP505">
        <v>189446</v>
      </c>
      <c r="AQ505" t="s">
        <v>139</v>
      </c>
      <c r="AR505" t="s">
        <v>139</v>
      </c>
      <c r="AS505">
        <f t="shared" si="6"/>
        <v>2465544.1</v>
      </c>
      <c r="AT505">
        <f t="shared" si="5"/>
        <v>1.1601051467706458</v>
      </c>
    </row>
    <row r="506" spans="1:46" x14ac:dyDescent="0.4">
      <c r="A506" s="3" t="s">
        <v>637</v>
      </c>
      <c r="B506">
        <v>2314380.2999999998</v>
      </c>
      <c r="C506">
        <v>545023.9</v>
      </c>
      <c r="D506">
        <v>349173.2</v>
      </c>
      <c r="E506" t="s">
        <v>139</v>
      </c>
      <c r="F506" t="s">
        <v>139</v>
      </c>
      <c r="G506">
        <v>195850.7</v>
      </c>
      <c r="H506" t="s">
        <v>139</v>
      </c>
      <c r="I506" t="s">
        <v>139</v>
      </c>
      <c r="J506">
        <v>1769356.4</v>
      </c>
      <c r="K506">
        <v>593929.1</v>
      </c>
      <c r="L506">
        <v>629819.4</v>
      </c>
      <c r="M506" t="s">
        <v>139</v>
      </c>
      <c r="N506">
        <v>36122.400000000001</v>
      </c>
      <c r="O506" t="s">
        <v>139</v>
      </c>
      <c r="P506" t="s">
        <v>139</v>
      </c>
      <c r="Q506" t="s">
        <v>139</v>
      </c>
      <c r="R506" t="s">
        <v>139</v>
      </c>
      <c r="S506" t="s">
        <v>139</v>
      </c>
      <c r="T506" t="s">
        <v>139</v>
      </c>
      <c r="U506">
        <v>345404.6</v>
      </c>
      <c r="V506" s="6" t="s">
        <v>139</v>
      </c>
      <c r="W506" t="s">
        <v>139</v>
      </c>
      <c r="X506" t="s">
        <v>139</v>
      </c>
      <c r="Y506" t="s">
        <v>139</v>
      </c>
      <c r="Z506">
        <v>200203.2</v>
      </c>
      <c r="AA506" t="s">
        <v>139</v>
      </c>
      <c r="AB506" t="s">
        <v>139</v>
      </c>
      <c r="AC506" t="s">
        <v>139</v>
      </c>
      <c r="AD506">
        <v>241818.3</v>
      </c>
      <c r="AE506" t="s">
        <v>139</v>
      </c>
      <c r="AF506">
        <v>45525.3</v>
      </c>
      <c r="AG506">
        <v>164142.5</v>
      </c>
      <c r="AH506" s="9">
        <v>2877102</v>
      </c>
      <c r="AI506">
        <v>2071395.2</v>
      </c>
      <c r="AJ506">
        <v>409018.8</v>
      </c>
      <c r="AK506" t="s">
        <v>139</v>
      </c>
      <c r="AL506">
        <v>455111.3</v>
      </c>
      <c r="AM506" t="s">
        <v>139</v>
      </c>
      <c r="AN506">
        <v>153319.70000000001</v>
      </c>
      <c r="AO506" s="9">
        <v>2685762.3</v>
      </c>
      <c r="AP506">
        <v>191339.7</v>
      </c>
      <c r="AQ506" t="s">
        <v>139</v>
      </c>
      <c r="AR506" t="s">
        <v>139</v>
      </c>
      <c r="AS506">
        <f t="shared" si="6"/>
        <v>2480414</v>
      </c>
      <c r="AT506">
        <f t="shared" si="5"/>
        <v>1.1599281410280704</v>
      </c>
    </row>
    <row r="507" spans="1:46" x14ac:dyDescent="0.4">
      <c r="A507" s="3" t="s">
        <v>638</v>
      </c>
      <c r="B507">
        <v>2323361.2000000002</v>
      </c>
      <c r="C507">
        <v>544476.30000000005</v>
      </c>
      <c r="D507">
        <v>350379.5</v>
      </c>
      <c r="E507" t="s">
        <v>139</v>
      </c>
      <c r="F507" t="s">
        <v>139</v>
      </c>
      <c r="G507">
        <v>194096.7</v>
      </c>
      <c r="H507" t="s">
        <v>139</v>
      </c>
      <c r="I507" t="s">
        <v>139</v>
      </c>
      <c r="J507">
        <v>1778884.9</v>
      </c>
      <c r="K507">
        <v>594558.5</v>
      </c>
      <c r="L507">
        <v>637251</v>
      </c>
      <c r="M507" t="s">
        <v>139</v>
      </c>
      <c r="N507">
        <v>37095.199999999997</v>
      </c>
      <c r="O507" t="s">
        <v>139</v>
      </c>
      <c r="P507" t="s">
        <v>139</v>
      </c>
      <c r="Q507" t="s">
        <v>139</v>
      </c>
      <c r="R507" t="s">
        <v>139</v>
      </c>
      <c r="S507" t="s">
        <v>139</v>
      </c>
      <c r="T507" t="s">
        <v>139</v>
      </c>
      <c r="U507">
        <v>347314.9</v>
      </c>
      <c r="V507" s="6" t="s">
        <v>139</v>
      </c>
      <c r="W507" t="s">
        <v>139</v>
      </c>
      <c r="X507" t="s">
        <v>139</v>
      </c>
      <c r="Y507" t="s">
        <v>139</v>
      </c>
      <c r="Z507">
        <v>199760.5</v>
      </c>
      <c r="AA507" t="s">
        <v>139</v>
      </c>
      <c r="AB507" t="s">
        <v>139</v>
      </c>
      <c r="AC507" t="s">
        <v>139</v>
      </c>
      <c r="AD507">
        <v>237249</v>
      </c>
      <c r="AE507" t="s">
        <v>139</v>
      </c>
      <c r="AF507">
        <v>45942.6</v>
      </c>
      <c r="AG507">
        <v>163757.79999999999</v>
      </c>
      <c r="AH507" s="9">
        <v>2878715.7</v>
      </c>
      <c r="AI507">
        <v>2075183.9</v>
      </c>
      <c r="AJ507">
        <v>413501.8</v>
      </c>
      <c r="AK507" t="s">
        <v>139</v>
      </c>
      <c r="AL507">
        <v>446844.1</v>
      </c>
      <c r="AM507" t="s">
        <v>139</v>
      </c>
      <c r="AN507">
        <v>154345.70000000001</v>
      </c>
      <c r="AO507" s="9">
        <v>2689302.9</v>
      </c>
      <c r="AP507">
        <v>189412.8</v>
      </c>
      <c r="AQ507" t="s">
        <v>139</v>
      </c>
      <c r="AR507" t="s">
        <v>139</v>
      </c>
      <c r="AS507">
        <f t="shared" si="6"/>
        <v>2488685.6999999997</v>
      </c>
      <c r="AT507">
        <f t="shared" si="5"/>
        <v>1.1567212766160069</v>
      </c>
    </row>
    <row r="508" spans="1:46" x14ac:dyDescent="0.4">
      <c r="A508" s="3" t="s">
        <v>639</v>
      </c>
      <c r="B508">
        <v>2329231</v>
      </c>
      <c r="C508">
        <v>543762.6</v>
      </c>
      <c r="D508">
        <v>351135.2</v>
      </c>
      <c r="E508" t="s">
        <v>139</v>
      </c>
      <c r="F508" t="s">
        <v>139</v>
      </c>
      <c r="G508">
        <v>192627.4</v>
      </c>
      <c r="H508" t="s">
        <v>139</v>
      </c>
      <c r="I508" t="s">
        <v>139</v>
      </c>
      <c r="J508">
        <v>1785468.4</v>
      </c>
      <c r="K508">
        <v>595460</v>
      </c>
      <c r="L508">
        <v>644186.9</v>
      </c>
      <c r="M508" t="s">
        <v>139</v>
      </c>
      <c r="N508">
        <v>38232</v>
      </c>
      <c r="O508" t="s">
        <v>139</v>
      </c>
      <c r="P508" t="s">
        <v>139</v>
      </c>
      <c r="Q508" t="s">
        <v>139</v>
      </c>
      <c r="R508" t="s">
        <v>139</v>
      </c>
      <c r="S508" t="s">
        <v>139</v>
      </c>
      <c r="T508" t="s">
        <v>139</v>
      </c>
      <c r="U508">
        <v>348889.1</v>
      </c>
      <c r="V508" s="6" t="s">
        <v>139</v>
      </c>
      <c r="W508" t="s">
        <v>139</v>
      </c>
      <c r="X508" t="s">
        <v>139</v>
      </c>
      <c r="Y508" t="s">
        <v>139</v>
      </c>
      <c r="Z508">
        <v>196932.4</v>
      </c>
      <c r="AA508" t="s">
        <v>139</v>
      </c>
      <c r="AB508" t="s">
        <v>139</v>
      </c>
      <c r="AC508" t="s">
        <v>139</v>
      </c>
      <c r="AD508">
        <v>239232.1</v>
      </c>
      <c r="AE508" t="s">
        <v>139</v>
      </c>
      <c r="AF508">
        <v>45782.3</v>
      </c>
      <c r="AG508">
        <v>167963.3</v>
      </c>
      <c r="AH508" s="9">
        <v>2887727.3</v>
      </c>
      <c r="AI508">
        <v>2080474.7</v>
      </c>
      <c r="AJ508">
        <v>418577.2</v>
      </c>
      <c r="AK508" t="s">
        <v>139</v>
      </c>
      <c r="AL508">
        <v>452870.5</v>
      </c>
      <c r="AM508" t="s">
        <v>139</v>
      </c>
      <c r="AN508">
        <v>153380.9</v>
      </c>
      <c r="AO508" s="9">
        <v>2689828.1</v>
      </c>
      <c r="AP508">
        <v>197899.2</v>
      </c>
      <c r="AQ508" t="s">
        <v>139</v>
      </c>
      <c r="AR508" t="s">
        <v>139</v>
      </c>
      <c r="AS508">
        <f t="shared" si="6"/>
        <v>2499051.9</v>
      </c>
      <c r="AT508">
        <f t="shared" si="5"/>
        <v>1.1555291428721428</v>
      </c>
    </row>
    <row r="509" spans="1:46" x14ac:dyDescent="0.4">
      <c r="A509" s="3" t="s">
        <v>640</v>
      </c>
      <c r="B509">
        <v>2342174.6</v>
      </c>
      <c r="C509">
        <v>544664</v>
      </c>
      <c r="D509">
        <v>352888.8</v>
      </c>
      <c r="E509" t="s">
        <v>139</v>
      </c>
      <c r="F509" t="s">
        <v>139</v>
      </c>
      <c r="G509">
        <v>191775.2</v>
      </c>
      <c r="H509" t="s">
        <v>139</v>
      </c>
      <c r="I509" t="s">
        <v>139</v>
      </c>
      <c r="J509">
        <v>1797510.6</v>
      </c>
      <c r="K509">
        <v>599064.30000000005</v>
      </c>
      <c r="L509">
        <v>651473.5</v>
      </c>
      <c r="M509" t="s">
        <v>139</v>
      </c>
      <c r="N509">
        <v>39325.800000000003</v>
      </c>
      <c r="O509" t="s">
        <v>139</v>
      </c>
      <c r="P509" t="s">
        <v>139</v>
      </c>
      <c r="Q509" t="s">
        <v>139</v>
      </c>
      <c r="R509" t="s">
        <v>139</v>
      </c>
      <c r="S509" t="s">
        <v>139</v>
      </c>
      <c r="T509" t="s">
        <v>139</v>
      </c>
      <c r="U509">
        <v>351491.2</v>
      </c>
      <c r="V509" s="6" t="s">
        <v>139</v>
      </c>
      <c r="W509" t="s">
        <v>139</v>
      </c>
      <c r="X509" t="s">
        <v>139</v>
      </c>
      <c r="Y509" t="s">
        <v>139</v>
      </c>
      <c r="Z509">
        <v>195481.60000000001</v>
      </c>
      <c r="AA509" t="s">
        <v>139</v>
      </c>
      <c r="AB509" t="s">
        <v>139</v>
      </c>
      <c r="AC509" t="s">
        <v>139</v>
      </c>
      <c r="AD509">
        <v>239180.5</v>
      </c>
      <c r="AE509" t="s">
        <v>139</v>
      </c>
      <c r="AF509">
        <v>45518.2</v>
      </c>
      <c r="AG509">
        <v>170932.6</v>
      </c>
      <c r="AH509" s="9">
        <v>2906639.4</v>
      </c>
      <c r="AI509">
        <v>2095169.1</v>
      </c>
      <c r="AJ509">
        <v>423896.8</v>
      </c>
      <c r="AK509" t="s">
        <v>139</v>
      </c>
      <c r="AL509">
        <v>454000.4</v>
      </c>
      <c r="AM509" t="s">
        <v>139</v>
      </c>
      <c r="AN509">
        <v>153349.4</v>
      </c>
      <c r="AO509" s="9">
        <v>2705490.3</v>
      </c>
      <c r="AP509">
        <v>201149.1</v>
      </c>
      <c r="AQ509" t="s">
        <v>139</v>
      </c>
      <c r="AR509" t="s">
        <v>139</v>
      </c>
      <c r="AS509">
        <f t="shared" si="6"/>
        <v>2519065.9</v>
      </c>
      <c r="AT509">
        <f t="shared" si="5"/>
        <v>1.1538560384625109</v>
      </c>
    </row>
    <row r="510" spans="1:46" x14ac:dyDescent="0.4">
      <c r="A510" s="3" t="s">
        <v>641</v>
      </c>
      <c r="B510">
        <v>2356673.5</v>
      </c>
      <c r="C510">
        <v>546866</v>
      </c>
      <c r="D510">
        <v>355892.3</v>
      </c>
      <c r="E510" t="s">
        <v>139</v>
      </c>
      <c r="F510" t="s">
        <v>139</v>
      </c>
      <c r="G510">
        <v>190973.7</v>
      </c>
      <c r="H510" t="s">
        <v>139</v>
      </c>
      <c r="I510" t="s">
        <v>139</v>
      </c>
      <c r="J510">
        <v>1809807.5</v>
      </c>
      <c r="K510">
        <v>601057.19999999995</v>
      </c>
      <c r="L510">
        <v>656922</v>
      </c>
      <c r="M510" t="s">
        <v>139</v>
      </c>
      <c r="N510">
        <v>40387.199999999997</v>
      </c>
      <c r="O510" t="s">
        <v>139</v>
      </c>
      <c r="P510" t="s">
        <v>139</v>
      </c>
      <c r="Q510" t="s">
        <v>139</v>
      </c>
      <c r="R510" t="s">
        <v>139</v>
      </c>
      <c r="S510" t="s">
        <v>139</v>
      </c>
      <c r="T510" t="s">
        <v>139</v>
      </c>
      <c r="U510">
        <v>352799.4</v>
      </c>
      <c r="V510" s="6" t="s">
        <v>139</v>
      </c>
      <c r="W510" t="s">
        <v>139</v>
      </c>
      <c r="X510" t="s">
        <v>139</v>
      </c>
      <c r="Y510" t="s">
        <v>139</v>
      </c>
      <c r="Z510">
        <v>199028.8</v>
      </c>
      <c r="AA510" t="s">
        <v>139</v>
      </c>
      <c r="AB510" t="s">
        <v>139</v>
      </c>
      <c r="AC510" t="s">
        <v>139</v>
      </c>
      <c r="AD510">
        <v>237237.6</v>
      </c>
      <c r="AE510" t="s">
        <v>139</v>
      </c>
      <c r="AF510">
        <v>45216.2</v>
      </c>
      <c r="AG510">
        <v>171609.3</v>
      </c>
      <c r="AH510" s="9">
        <v>2918023.9</v>
      </c>
      <c r="AI510">
        <v>2106459.2999999998</v>
      </c>
      <c r="AJ510">
        <v>427254.4</v>
      </c>
      <c r="AK510" t="s">
        <v>139</v>
      </c>
      <c r="AL510">
        <v>452009.6</v>
      </c>
      <c r="AM510" t="s">
        <v>139</v>
      </c>
      <c r="AN510">
        <v>156082</v>
      </c>
      <c r="AO510" s="9">
        <v>2722900.5</v>
      </c>
      <c r="AP510">
        <v>195123.4</v>
      </c>
      <c r="AQ510" t="s">
        <v>139</v>
      </c>
      <c r="AR510" t="s">
        <v>139</v>
      </c>
      <c r="AS510">
        <f t="shared" si="6"/>
        <v>2533713.6999999997</v>
      </c>
      <c r="AT510">
        <f t="shared" si="5"/>
        <v>1.151678620990209</v>
      </c>
    </row>
    <row r="511" spans="1:46" x14ac:dyDescent="0.4">
      <c r="A511" s="3" t="s">
        <v>642</v>
      </c>
      <c r="B511">
        <v>2367797.9</v>
      </c>
      <c r="C511">
        <v>549385.69999999995</v>
      </c>
      <c r="D511">
        <v>359557.6</v>
      </c>
      <c r="E511" t="s">
        <v>139</v>
      </c>
      <c r="F511" t="s">
        <v>139</v>
      </c>
      <c r="G511">
        <v>189828.1</v>
      </c>
      <c r="H511" t="s">
        <v>139</v>
      </c>
      <c r="I511" t="s">
        <v>139</v>
      </c>
      <c r="J511">
        <v>1818412.2</v>
      </c>
      <c r="K511">
        <v>604542.1</v>
      </c>
      <c r="L511">
        <v>663064.6</v>
      </c>
      <c r="M511" t="s">
        <v>139</v>
      </c>
      <c r="N511">
        <v>41216.300000000003</v>
      </c>
      <c r="O511" t="s">
        <v>139</v>
      </c>
      <c r="P511" t="s">
        <v>139</v>
      </c>
      <c r="Q511" t="s">
        <v>139</v>
      </c>
      <c r="R511" t="s">
        <v>139</v>
      </c>
      <c r="S511" t="s">
        <v>139</v>
      </c>
      <c r="T511" t="s">
        <v>139</v>
      </c>
      <c r="U511">
        <v>355286.3</v>
      </c>
      <c r="V511" s="6" t="s">
        <v>139</v>
      </c>
      <c r="W511" t="s">
        <v>139</v>
      </c>
      <c r="X511" t="s">
        <v>139</v>
      </c>
      <c r="Y511" t="s">
        <v>139</v>
      </c>
      <c r="Z511">
        <v>195519.3</v>
      </c>
      <c r="AA511" t="s">
        <v>139</v>
      </c>
      <c r="AB511" t="s">
        <v>139</v>
      </c>
      <c r="AC511" t="s">
        <v>139</v>
      </c>
      <c r="AD511">
        <v>237381.8</v>
      </c>
      <c r="AE511" t="s">
        <v>139</v>
      </c>
      <c r="AF511">
        <v>45003.4</v>
      </c>
      <c r="AG511">
        <v>174995.4</v>
      </c>
      <c r="AH511" s="9">
        <v>2929768.1</v>
      </c>
      <c r="AI511">
        <v>2115680.2999999998</v>
      </c>
      <c r="AJ511">
        <v>432180.4</v>
      </c>
      <c r="AK511" t="s">
        <v>139</v>
      </c>
      <c r="AL511">
        <v>457759.4</v>
      </c>
      <c r="AM511" t="s">
        <v>139</v>
      </c>
      <c r="AN511">
        <v>159357.1</v>
      </c>
      <c r="AO511" s="9">
        <v>2734705.5</v>
      </c>
      <c r="AP511">
        <v>195062.6</v>
      </c>
      <c r="AQ511" t="s">
        <v>139</v>
      </c>
      <c r="AR511" t="s">
        <v>139</v>
      </c>
      <c r="AS511">
        <f t="shared" si="6"/>
        <v>2547860.6999999997</v>
      </c>
      <c r="AT511">
        <f t="shared" si="5"/>
        <v>1.1498933595545473</v>
      </c>
    </row>
    <row r="512" spans="1:46" x14ac:dyDescent="0.4">
      <c r="A512" s="3" t="s">
        <v>643</v>
      </c>
      <c r="B512">
        <v>2375349.2999999998</v>
      </c>
      <c r="C512">
        <v>548099.19999999995</v>
      </c>
      <c r="D512">
        <v>361891.3</v>
      </c>
      <c r="E512" t="s">
        <v>139</v>
      </c>
      <c r="F512" t="s">
        <v>139</v>
      </c>
      <c r="G512">
        <v>186207.9</v>
      </c>
      <c r="H512" t="s">
        <v>139</v>
      </c>
      <c r="I512" t="s">
        <v>139</v>
      </c>
      <c r="J512">
        <v>1827250.1</v>
      </c>
      <c r="K512">
        <v>606279.30000000005</v>
      </c>
      <c r="L512">
        <v>676445</v>
      </c>
      <c r="M512" t="s">
        <v>139</v>
      </c>
      <c r="N512">
        <v>42163.1</v>
      </c>
      <c r="O512" t="s">
        <v>139</v>
      </c>
      <c r="P512" t="s">
        <v>139</v>
      </c>
      <c r="Q512" t="s">
        <v>139</v>
      </c>
      <c r="R512" t="s">
        <v>139</v>
      </c>
      <c r="S512" t="s">
        <v>139</v>
      </c>
      <c r="T512" t="s">
        <v>139</v>
      </c>
      <c r="U512">
        <v>356608</v>
      </c>
      <c r="V512" s="6" t="s">
        <v>139</v>
      </c>
      <c r="W512" t="s">
        <v>139</v>
      </c>
      <c r="X512" t="s">
        <v>139</v>
      </c>
      <c r="Y512" t="s">
        <v>139</v>
      </c>
      <c r="Z512">
        <v>187917.8</v>
      </c>
      <c r="AA512" t="s">
        <v>139</v>
      </c>
      <c r="AB512" t="s">
        <v>139</v>
      </c>
      <c r="AC512" t="s">
        <v>139</v>
      </c>
      <c r="AD512">
        <v>241340.6</v>
      </c>
      <c r="AE512" t="s">
        <v>139</v>
      </c>
      <c r="AF512">
        <v>44846</v>
      </c>
      <c r="AG512">
        <v>172191.6</v>
      </c>
      <c r="AH512" s="9">
        <v>2940678.7</v>
      </c>
      <c r="AI512">
        <v>2127938.2999999998</v>
      </c>
      <c r="AJ512">
        <v>436508.4</v>
      </c>
      <c r="AK512" t="s">
        <v>139</v>
      </c>
      <c r="AL512">
        <v>461064.6</v>
      </c>
      <c r="AM512" t="s">
        <v>139</v>
      </c>
      <c r="AN512">
        <v>154880.20000000001</v>
      </c>
      <c r="AO512" s="9">
        <v>2746800.4</v>
      </c>
      <c r="AP512">
        <v>193878.3</v>
      </c>
      <c r="AQ512" t="s">
        <v>139</v>
      </c>
      <c r="AR512" t="s">
        <v>139</v>
      </c>
      <c r="AS512">
        <f t="shared" si="6"/>
        <v>2564446.6999999997</v>
      </c>
      <c r="AT512">
        <f t="shared" si="5"/>
        <v>1.1467107895048083</v>
      </c>
    </row>
    <row r="513" spans="1:46" x14ac:dyDescent="0.4">
      <c r="A513" s="3" t="s">
        <v>644</v>
      </c>
      <c r="B513">
        <v>2394965.2000000002</v>
      </c>
      <c r="C513">
        <v>547269.1</v>
      </c>
      <c r="D513">
        <v>364009.9</v>
      </c>
      <c r="E513" t="s">
        <v>139</v>
      </c>
      <c r="F513" t="s">
        <v>139</v>
      </c>
      <c r="G513">
        <v>183259.2</v>
      </c>
      <c r="H513" t="s">
        <v>139</v>
      </c>
      <c r="I513" t="s">
        <v>139</v>
      </c>
      <c r="J513">
        <v>1847696.1</v>
      </c>
      <c r="K513">
        <v>617110.9</v>
      </c>
      <c r="L513">
        <v>683052.8</v>
      </c>
      <c r="M513" t="s">
        <v>139</v>
      </c>
      <c r="N513">
        <v>43159.9</v>
      </c>
      <c r="O513" t="s">
        <v>139</v>
      </c>
      <c r="P513" t="s">
        <v>139</v>
      </c>
      <c r="Q513" t="s">
        <v>139</v>
      </c>
      <c r="R513" t="s">
        <v>139</v>
      </c>
      <c r="S513" t="s">
        <v>139</v>
      </c>
      <c r="T513" t="s">
        <v>139</v>
      </c>
      <c r="U513">
        <v>357236.9</v>
      </c>
      <c r="V513" s="6" t="s">
        <v>139</v>
      </c>
      <c r="W513" t="s">
        <v>139</v>
      </c>
      <c r="X513" t="s">
        <v>139</v>
      </c>
      <c r="Y513" t="s">
        <v>139</v>
      </c>
      <c r="Z513">
        <v>190295.6</v>
      </c>
      <c r="AA513" t="s">
        <v>139</v>
      </c>
      <c r="AB513" t="s">
        <v>139</v>
      </c>
      <c r="AC513" t="s">
        <v>139</v>
      </c>
      <c r="AD513">
        <v>238680.4</v>
      </c>
      <c r="AE513" t="s">
        <v>139</v>
      </c>
      <c r="AF513">
        <v>45372.7</v>
      </c>
      <c r="AG513">
        <v>175069.1</v>
      </c>
      <c r="AH513" s="9">
        <v>2970615.8</v>
      </c>
      <c r="AI513">
        <v>2137392.6</v>
      </c>
      <c r="AJ513">
        <v>440110.5</v>
      </c>
      <c r="AK513" t="s">
        <v>139</v>
      </c>
      <c r="AL513">
        <v>469507.6</v>
      </c>
      <c r="AM513" t="s">
        <v>139</v>
      </c>
      <c r="AN513">
        <v>157505.20000000001</v>
      </c>
      <c r="AO513" s="9">
        <v>2767642.9</v>
      </c>
      <c r="AP513">
        <v>202972.9</v>
      </c>
      <c r="AQ513" t="s">
        <v>139</v>
      </c>
      <c r="AR513" t="s">
        <v>139</v>
      </c>
      <c r="AS513">
        <f t="shared" si="6"/>
        <v>2577503.1</v>
      </c>
      <c r="AT513">
        <f t="shared" ref="AT513:AT576" si="7">AH513/AS513</f>
        <v>1.1525168679719531</v>
      </c>
    </row>
    <row r="514" spans="1:46" x14ac:dyDescent="0.4">
      <c r="A514" s="3" t="s">
        <v>645</v>
      </c>
      <c r="B514">
        <v>2403731.5</v>
      </c>
      <c r="C514">
        <v>550458.80000000005</v>
      </c>
      <c r="D514">
        <v>369244.8</v>
      </c>
      <c r="E514" t="s">
        <v>139</v>
      </c>
      <c r="F514" t="s">
        <v>139</v>
      </c>
      <c r="G514">
        <v>181214</v>
      </c>
      <c r="H514" t="s">
        <v>139</v>
      </c>
      <c r="I514" t="s">
        <v>139</v>
      </c>
      <c r="J514">
        <v>1853272.7</v>
      </c>
      <c r="K514">
        <v>616500.69999999995</v>
      </c>
      <c r="L514">
        <v>688910.4</v>
      </c>
      <c r="M514" t="s">
        <v>139</v>
      </c>
      <c r="N514">
        <v>44097.599999999999</v>
      </c>
      <c r="O514" t="s">
        <v>139</v>
      </c>
      <c r="P514" t="s">
        <v>139</v>
      </c>
      <c r="Q514" t="s">
        <v>139</v>
      </c>
      <c r="R514" t="s">
        <v>139</v>
      </c>
      <c r="S514" t="s">
        <v>139</v>
      </c>
      <c r="T514" t="s">
        <v>139</v>
      </c>
      <c r="U514">
        <v>359145.4</v>
      </c>
      <c r="V514" s="6" t="s">
        <v>139</v>
      </c>
      <c r="W514" t="s">
        <v>139</v>
      </c>
      <c r="X514" t="s">
        <v>139</v>
      </c>
      <c r="Y514" t="s">
        <v>139</v>
      </c>
      <c r="Z514">
        <v>188716.2</v>
      </c>
      <c r="AA514" t="s">
        <v>139</v>
      </c>
      <c r="AB514" t="s">
        <v>139</v>
      </c>
      <c r="AC514" t="s">
        <v>139</v>
      </c>
      <c r="AD514">
        <v>234893.7</v>
      </c>
      <c r="AE514" t="s">
        <v>139</v>
      </c>
      <c r="AF514">
        <v>41757.699999999997</v>
      </c>
      <c r="AG514">
        <v>180764.1</v>
      </c>
      <c r="AH514" s="9">
        <v>2978012.8</v>
      </c>
      <c r="AI514">
        <v>2146834.7000000002</v>
      </c>
      <c r="AJ514">
        <v>448034.3</v>
      </c>
      <c r="AK514" t="s">
        <v>139</v>
      </c>
      <c r="AL514">
        <v>467831.8</v>
      </c>
      <c r="AM514" t="s">
        <v>139</v>
      </c>
      <c r="AN514">
        <v>159201.20000000001</v>
      </c>
      <c r="AO514" s="9">
        <v>2777261.2</v>
      </c>
      <c r="AP514">
        <v>200751.6</v>
      </c>
      <c r="AQ514" t="s">
        <v>139</v>
      </c>
      <c r="AR514" t="s">
        <v>139</v>
      </c>
      <c r="AS514">
        <f t="shared" si="6"/>
        <v>2594869</v>
      </c>
      <c r="AT514">
        <f t="shared" si="7"/>
        <v>1.1476543902601632</v>
      </c>
    </row>
    <row r="515" spans="1:46" x14ac:dyDescent="0.4">
      <c r="A515" s="3" t="s">
        <v>646</v>
      </c>
      <c r="B515">
        <v>2421439.9</v>
      </c>
      <c r="C515">
        <v>552369.4</v>
      </c>
      <c r="D515">
        <v>374643.1</v>
      </c>
      <c r="E515" t="s">
        <v>139</v>
      </c>
      <c r="F515" t="s">
        <v>139</v>
      </c>
      <c r="G515">
        <v>177726.3</v>
      </c>
      <c r="H515" t="s">
        <v>139</v>
      </c>
      <c r="I515" t="s">
        <v>139</v>
      </c>
      <c r="J515">
        <v>1869070.5</v>
      </c>
      <c r="K515">
        <v>619056.9</v>
      </c>
      <c r="L515">
        <v>698194.4</v>
      </c>
      <c r="M515" t="s">
        <v>139</v>
      </c>
      <c r="N515">
        <v>44860.7</v>
      </c>
      <c r="O515" t="s">
        <v>139</v>
      </c>
      <c r="P515" t="s">
        <v>139</v>
      </c>
      <c r="Q515" t="s">
        <v>139</v>
      </c>
      <c r="R515" t="s">
        <v>139</v>
      </c>
      <c r="S515" t="s">
        <v>139</v>
      </c>
      <c r="T515" t="s">
        <v>139</v>
      </c>
      <c r="U515">
        <v>360949.4</v>
      </c>
      <c r="V515" s="6" t="s">
        <v>139</v>
      </c>
      <c r="W515" t="s">
        <v>139</v>
      </c>
      <c r="X515" t="s">
        <v>139</v>
      </c>
      <c r="Y515" t="s">
        <v>139</v>
      </c>
      <c r="Z515">
        <v>190869.8</v>
      </c>
      <c r="AA515" t="s">
        <v>139</v>
      </c>
      <c r="AB515" t="s">
        <v>139</v>
      </c>
      <c r="AC515" t="s">
        <v>139</v>
      </c>
      <c r="AD515">
        <v>231449.1</v>
      </c>
      <c r="AE515" t="s">
        <v>139</v>
      </c>
      <c r="AF515">
        <v>44738.3</v>
      </c>
      <c r="AG515">
        <v>184711.2</v>
      </c>
      <c r="AH515" s="9">
        <v>2986659.7</v>
      </c>
      <c r="AI515">
        <v>2154360.6</v>
      </c>
      <c r="AJ515">
        <v>455682.4</v>
      </c>
      <c r="AK515" t="s">
        <v>139</v>
      </c>
      <c r="AL515">
        <v>465091.9</v>
      </c>
      <c r="AM515" t="s">
        <v>139</v>
      </c>
      <c r="AN515">
        <v>161547.1</v>
      </c>
      <c r="AO515" s="9">
        <v>2782264.3</v>
      </c>
      <c r="AP515">
        <v>204395.4</v>
      </c>
      <c r="AQ515" t="s">
        <v>139</v>
      </c>
      <c r="AR515" t="s">
        <v>139</v>
      </c>
      <c r="AS515">
        <f t="shared" si="6"/>
        <v>2610043</v>
      </c>
      <c r="AT515">
        <f t="shared" si="7"/>
        <v>1.1442952089295082</v>
      </c>
    </row>
    <row r="516" spans="1:46" x14ac:dyDescent="0.4">
      <c r="A516" s="3" t="s">
        <v>647</v>
      </c>
      <c r="B516">
        <v>2438620.9</v>
      </c>
      <c r="C516">
        <v>554739.80000000005</v>
      </c>
      <c r="D516">
        <v>378183.9</v>
      </c>
      <c r="E516" t="s">
        <v>139</v>
      </c>
      <c r="F516" t="s">
        <v>139</v>
      </c>
      <c r="G516">
        <v>176555.9</v>
      </c>
      <c r="H516" t="s">
        <v>139</v>
      </c>
      <c r="I516" t="s">
        <v>139</v>
      </c>
      <c r="J516">
        <v>1883881.1</v>
      </c>
      <c r="K516">
        <v>624309.30000000005</v>
      </c>
      <c r="L516">
        <v>704243.4</v>
      </c>
      <c r="M516" t="s">
        <v>139</v>
      </c>
      <c r="N516">
        <v>45788.1</v>
      </c>
      <c r="O516" t="s">
        <v>139</v>
      </c>
      <c r="P516" t="s">
        <v>139</v>
      </c>
      <c r="Q516" t="s">
        <v>139</v>
      </c>
      <c r="R516" t="s">
        <v>139</v>
      </c>
      <c r="S516" t="s">
        <v>139</v>
      </c>
      <c r="T516" t="s">
        <v>139</v>
      </c>
      <c r="U516">
        <v>362544</v>
      </c>
      <c r="V516" s="6" t="s">
        <v>139</v>
      </c>
      <c r="W516" t="s">
        <v>139</v>
      </c>
      <c r="X516" t="s">
        <v>139</v>
      </c>
      <c r="Y516" t="s">
        <v>139</v>
      </c>
      <c r="Z516">
        <v>192784.4</v>
      </c>
      <c r="AA516" t="s">
        <v>139</v>
      </c>
      <c r="AB516" t="s">
        <v>139</v>
      </c>
      <c r="AC516" t="s">
        <v>139</v>
      </c>
      <c r="AD516">
        <v>233008.3</v>
      </c>
      <c r="AE516" t="s">
        <v>139</v>
      </c>
      <c r="AF516">
        <v>46923.8</v>
      </c>
      <c r="AG516">
        <v>184505</v>
      </c>
      <c r="AH516" s="9">
        <v>3010908.9</v>
      </c>
      <c r="AI516">
        <v>2157160.4</v>
      </c>
      <c r="AJ516">
        <v>456011.9</v>
      </c>
      <c r="AK516" t="s">
        <v>139</v>
      </c>
      <c r="AL516">
        <v>488599.1</v>
      </c>
      <c r="AM516" t="s">
        <v>139</v>
      </c>
      <c r="AN516">
        <v>162680.6</v>
      </c>
      <c r="AO516" s="9">
        <v>2808129.9</v>
      </c>
      <c r="AP516">
        <v>202778.9</v>
      </c>
      <c r="AQ516" t="s">
        <v>139</v>
      </c>
      <c r="AR516" t="s">
        <v>139</v>
      </c>
      <c r="AS516">
        <f t="shared" si="6"/>
        <v>2613172.2999999998</v>
      </c>
      <c r="AT516">
        <f t="shared" si="7"/>
        <v>1.1522045063771724</v>
      </c>
    </row>
    <row r="517" spans="1:46" x14ac:dyDescent="0.4">
      <c r="A517" s="3" t="s">
        <v>648</v>
      </c>
      <c r="B517">
        <v>2450516.6</v>
      </c>
      <c r="C517">
        <v>555645</v>
      </c>
      <c r="D517">
        <v>380362.1</v>
      </c>
      <c r="E517" t="s">
        <v>139</v>
      </c>
      <c r="F517" t="s">
        <v>139</v>
      </c>
      <c r="G517">
        <v>175282.9</v>
      </c>
      <c r="H517" t="s">
        <v>139</v>
      </c>
      <c r="I517" t="s">
        <v>139</v>
      </c>
      <c r="J517">
        <v>1894871.5</v>
      </c>
      <c r="K517">
        <v>624269</v>
      </c>
      <c r="L517">
        <v>711877.8</v>
      </c>
      <c r="M517" t="s">
        <v>139</v>
      </c>
      <c r="N517">
        <v>46677.5</v>
      </c>
      <c r="O517" t="s">
        <v>139</v>
      </c>
      <c r="P517" t="s">
        <v>139</v>
      </c>
      <c r="Q517" t="s">
        <v>139</v>
      </c>
      <c r="R517" t="s">
        <v>139</v>
      </c>
      <c r="S517" t="s">
        <v>139</v>
      </c>
      <c r="T517" t="s">
        <v>139</v>
      </c>
      <c r="U517">
        <v>363304.8</v>
      </c>
      <c r="V517" s="6" t="s">
        <v>139</v>
      </c>
      <c r="W517" t="s">
        <v>139</v>
      </c>
      <c r="X517" t="s">
        <v>139</v>
      </c>
      <c r="Y517" t="s">
        <v>139</v>
      </c>
      <c r="Z517">
        <v>195419.9</v>
      </c>
      <c r="AA517" t="s">
        <v>139</v>
      </c>
      <c r="AB517" t="s">
        <v>139</v>
      </c>
      <c r="AC517" t="s">
        <v>139</v>
      </c>
      <c r="AD517">
        <v>227611.6</v>
      </c>
      <c r="AE517" t="s">
        <v>139</v>
      </c>
      <c r="AF517">
        <v>47480.4</v>
      </c>
      <c r="AG517">
        <v>184786.6</v>
      </c>
      <c r="AH517" s="9">
        <v>3017980.8</v>
      </c>
      <c r="AI517">
        <v>2157548.5</v>
      </c>
      <c r="AJ517">
        <v>458623.2</v>
      </c>
      <c r="AK517" t="s">
        <v>139</v>
      </c>
      <c r="AL517">
        <v>486737.3</v>
      </c>
      <c r="AM517" t="s">
        <v>139</v>
      </c>
      <c r="AN517">
        <v>163047.4</v>
      </c>
      <c r="AO517" s="9">
        <v>2810522</v>
      </c>
      <c r="AP517">
        <v>207458.8</v>
      </c>
      <c r="AQ517" t="s">
        <v>139</v>
      </c>
      <c r="AR517" t="s">
        <v>139</v>
      </c>
      <c r="AS517">
        <f t="shared" si="6"/>
        <v>2616171.7000000002</v>
      </c>
      <c r="AT517">
        <f t="shared" si="7"/>
        <v>1.1535866701715334</v>
      </c>
    </row>
    <row r="518" spans="1:46" x14ac:dyDescent="0.4">
      <c r="A518" s="3" t="s">
        <v>649</v>
      </c>
      <c r="B518">
        <v>2471453.4</v>
      </c>
      <c r="C518">
        <v>555552.19999999995</v>
      </c>
      <c r="D518">
        <v>382078.7</v>
      </c>
      <c r="E518" t="s">
        <v>139</v>
      </c>
      <c r="F518" t="s">
        <v>139</v>
      </c>
      <c r="G518">
        <v>173473.6</v>
      </c>
      <c r="H518" t="s">
        <v>139</v>
      </c>
      <c r="I518" t="s">
        <v>139</v>
      </c>
      <c r="J518">
        <v>1915901.2</v>
      </c>
      <c r="K518">
        <v>630999.4</v>
      </c>
      <c r="L518">
        <v>720395.6</v>
      </c>
      <c r="M518" t="s">
        <v>139</v>
      </c>
      <c r="N518">
        <v>47539.6</v>
      </c>
      <c r="O518" t="s">
        <v>139</v>
      </c>
      <c r="P518" t="s">
        <v>139</v>
      </c>
      <c r="Q518" t="s">
        <v>139</v>
      </c>
      <c r="R518" t="s">
        <v>139</v>
      </c>
      <c r="S518" t="s">
        <v>139</v>
      </c>
      <c r="T518" t="s">
        <v>139</v>
      </c>
      <c r="U518">
        <v>365247.8</v>
      </c>
      <c r="V518" s="6" t="s">
        <v>139</v>
      </c>
      <c r="W518" t="s">
        <v>139</v>
      </c>
      <c r="X518" t="s">
        <v>139</v>
      </c>
      <c r="Y518" t="s">
        <v>139</v>
      </c>
      <c r="Z518">
        <v>199258.3</v>
      </c>
      <c r="AA518" t="s">
        <v>139</v>
      </c>
      <c r="AB518" t="s">
        <v>139</v>
      </c>
      <c r="AC518" t="s">
        <v>139</v>
      </c>
      <c r="AD518">
        <v>235112.4</v>
      </c>
      <c r="AE518" t="s">
        <v>139</v>
      </c>
      <c r="AF518">
        <v>50034.6</v>
      </c>
      <c r="AG518">
        <v>186733.1</v>
      </c>
      <c r="AH518" s="9">
        <v>3049832.2</v>
      </c>
      <c r="AI518">
        <v>2181231.1</v>
      </c>
      <c r="AJ518">
        <v>462950</v>
      </c>
      <c r="AK518" t="s">
        <v>139</v>
      </c>
      <c r="AL518">
        <v>493411.1</v>
      </c>
      <c r="AM518" t="s">
        <v>139</v>
      </c>
      <c r="AN518">
        <v>164187.6</v>
      </c>
      <c r="AO518" s="9">
        <v>2841915.3</v>
      </c>
      <c r="AP518">
        <v>207917</v>
      </c>
      <c r="AQ518" t="s">
        <v>139</v>
      </c>
      <c r="AR518" t="s">
        <v>139</v>
      </c>
      <c r="AS518">
        <f t="shared" si="6"/>
        <v>2644181.1</v>
      </c>
      <c r="AT518">
        <f t="shared" si="7"/>
        <v>1.1534127522505928</v>
      </c>
    </row>
    <row r="519" spans="1:46" x14ac:dyDescent="0.4">
      <c r="A519" s="3" t="s">
        <v>650</v>
      </c>
      <c r="B519">
        <v>2487199.7000000002</v>
      </c>
      <c r="C519">
        <v>555349.80000000005</v>
      </c>
      <c r="D519">
        <v>384521.9</v>
      </c>
      <c r="E519" t="s">
        <v>139</v>
      </c>
      <c r="F519" t="s">
        <v>139</v>
      </c>
      <c r="G519">
        <v>170827.9</v>
      </c>
      <c r="H519" t="s">
        <v>139</v>
      </c>
      <c r="I519" t="s">
        <v>139</v>
      </c>
      <c r="J519">
        <v>1931849.9</v>
      </c>
      <c r="K519">
        <v>635268.19999999995</v>
      </c>
      <c r="L519">
        <v>730413.2</v>
      </c>
      <c r="M519" t="s">
        <v>139</v>
      </c>
      <c r="N519">
        <v>48395.6</v>
      </c>
      <c r="O519" t="s">
        <v>139</v>
      </c>
      <c r="P519" t="s">
        <v>139</v>
      </c>
      <c r="Q519" t="s">
        <v>139</v>
      </c>
      <c r="R519" t="s">
        <v>139</v>
      </c>
      <c r="S519" t="s">
        <v>139</v>
      </c>
      <c r="T519" t="s">
        <v>139</v>
      </c>
      <c r="U519">
        <v>366832.5</v>
      </c>
      <c r="V519" s="6" t="s">
        <v>139</v>
      </c>
      <c r="W519" t="s">
        <v>139</v>
      </c>
      <c r="X519" t="s">
        <v>139</v>
      </c>
      <c r="Y519" t="s">
        <v>139</v>
      </c>
      <c r="Z519">
        <v>199336</v>
      </c>
      <c r="AA519" t="s">
        <v>139</v>
      </c>
      <c r="AB519" t="s">
        <v>139</v>
      </c>
      <c r="AC519" t="s">
        <v>139</v>
      </c>
      <c r="AD519">
        <v>233859.20000000001</v>
      </c>
      <c r="AE519" t="s">
        <v>139</v>
      </c>
      <c r="AF519">
        <v>50944.1</v>
      </c>
      <c r="AG519">
        <v>188127.6</v>
      </c>
      <c r="AH519" s="9">
        <v>3067883.5</v>
      </c>
      <c r="AI519">
        <v>2186103.9</v>
      </c>
      <c r="AJ519">
        <v>463698.5</v>
      </c>
      <c r="AK519" t="s">
        <v>139</v>
      </c>
      <c r="AL519">
        <v>501580.3</v>
      </c>
      <c r="AM519" t="s">
        <v>139</v>
      </c>
      <c r="AN519">
        <v>163802</v>
      </c>
      <c r="AO519" s="9">
        <v>2861349.6</v>
      </c>
      <c r="AP519">
        <v>206534</v>
      </c>
      <c r="AQ519" t="s">
        <v>139</v>
      </c>
      <c r="AR519" t="s">
        <v>139</v>
      </c>
      <c r="AS519">
        <f t="shared" si="6"/>
        <v>2649802.4</v>
      </c>
      <c r="AT519">
        <f t="shared" si="7"/>
        <v>1.1577782177267257</v>
      </c>
    </row>
    <row r="520" spans="1:46" x14ac:dyDescent="0.4">
      <c r="A520" s="3" t="s">
        <v>651</v>
      </c>
      <c r="B520">
        <v>2498825.9</v>
      </c>
      <c r="C520">
        <v>554638.19999999995</v>
      </c>
      <c r="D520">
        <v>385092.3</v>
      </c>
      <c r="E520" t="s">
        <v>139</v>
      </c>
      <c r="F520" t="s">
        <v>139</v>
      </c>
      <c r="G520">
        <v>169545.9</v>
      </c>
      <c r="H520" t="s">
        <v>139</v>
      </c>
      <c r="I520" t="s">
        <v>139</v>
      </c>
      <c r="J520">
        <v>1944187.7</v>
      </c>
      <c r="K520">
        <v>637167.5</v>
      </c>
      <c r="L520">
        <v>739100.7</v>
      </c>
      <c r="M520" t="s">
        <v>139</v>
      </c>
      <c r="N520">
        <v>49098.6</v>
      </c>
      <c r="O520" t="s">
        <v>139</v>
      </c>
      <c r="P520" t="s">
        <v>139</v>
      </c>
      <c r="Q520" t="s">
        <v>139</v>
      </c>
      <c r="R520" t="s">
        <v>139</v>
      </c>
      <c r="S520" t="s">
        <v>139</v>
      </c>
      <c r="T520" t="s">
        <v>139</v>
      </c>
      <c r="U520">
        <v>368613.3</v>
      </c>
      <c r="V520" s="6" t="s">
        <v>139</v>
      </c>
      <c r="W520" t="s">
        <v>139</v>
      </c>
      <c r="X520" t="s">
        <v>139</v>
      </c>
      <c r="Y520" t="s">
        <v>139</v>
      </c>
      <c r="Z520">
        <v>199306.2</v>
      </c>
      <c r="AA520" t="s">
        <v>139</v>
      </c>
      <c r="AB520" t="s">
        <v>139</v>
      </c>
      <c r="AC520" t="s">
        <v>139</v>
      </c>
      <c r="AD520">
        <v>236247.1</v>
      </c>
      <c r="AE520" t="s">
        <v>139</v>
      </c>
      <c r="AF520">
        <v>51188.7</v>
      </c>
      <c r="AG520">
        <v>191014.7</v>
      </c>
      <c r="AH520" s="9">
        <v>3086034.3</v>
      </c>
      <c r="AI520">
        <v>2199418.7999999998</v>
      </c>
      <c r="AJ520">
        <v>464126.9</v>
      </c>
      <c r="AK520" t="s">
        <v>139</v>
      </c>
      <c r="AL520">
        <v>497500.3</v>
      </c>
      <c r="AM520" t="s">
        <v>139</v>
      </c>
      <c r="AN520">
        <v>165549.70000000001</v>
      </c>
      <c r="AO520" s="9">
        <v>2871604.9</v>
      </c>
      <c r="AP520">
        <v>214429.3</v>
      </c>
      <c r="AQ520" t="s">
        <v>139</v>
      </c>
      <c r="AR520" t="s">
        <v>139</v>
      </c>
      <c r="AS520">
        <f t="shared" si="6"/>
        <v>2663545.6999999997</v>
      </c>
      <c r="AT520">
        <f t="shared" si="7"/>
        <v>1.1586188665732298</v>
      </c>
    </row>
    <row r="521" spans="1:46" x14ac:dyDescent="0.4">
      <c r="A521" s="3" t="s">
        <v>652</v>
      </c>
      <c r="B521">
        <v>2518811.6</v>
      </c>
      <c r="C521">
        <v>562682.5</v>
      </c>
      <c r="D521">
        <v>392112.2</v>
      </c>
      <c r="E521" t="s">
        <v>139</v>
      </c>
      <c r="F521" t="s">
        <v>139</v>
      </c>
      <c r="G521">
        <v>170570.2</v>
      </c>
      <c r="H521" t="s">
        <v>139</v>
      </c>
      <c r="I521" t="s">
        <v>139</v>
      </c>
      <c r="J521">
        <v>1956129.1</v>
      </c>
      <c r="K521">
        <v>639354</v>
      </c>
      <c r="L521">
        <v>745253.1</v>
      </c>
      <c r="M521" t="s">
        <v>139</v>
      </c>
      <c r="N521">
        <v>49624.1</v>
      </c>
      <c r="O521" t="s">
        <v>139</v>
      </c>
      <c r="P521" t="s">
        <v>139</v>
      </c>
      <c r="Q521" t="s">
        <v>139</v>
      </c>
      <c r="R521" t="s">
        <v>139</v>
      </c>
      <c r="S521" t="s">
        <v>139</v>
      </c>
      <c r="T521" t="s">
        <v>139</v>
      </c>
      <c r="U521">
        <v>370278.2</v>
      </c>
      <c r="V521" s="6" t="s">
        <v>139</v>
      </c>
      <c r="W521" t="s">
        <v>139</v>
      </c>
      <c r="X521" t="s">
        <v>139</v>
      </c>
      <c r="Y521" t="s">
        <v>139</v>
      </c>
      <c r="Z521">
        <v>201243.9</v>
      </c>
      <c r="AA521" t="s">
        <v>139</v>
      </c>
      <c r="AB521" t="s">
        <v>139</v>
      </c>
      <c r="AC521" t="s">
        <v>139</v>
      </c>
      <c r="AD521">
        <v>240252.1</v>
      </c>
      <c r="AE521" t="s">
        <v>139</v>
      </c>
      <c r="AF521">
        <v>52044.7</v>
      </c>
      <c r="AG521">
        <v>192519.2</v>
      </c>
      <c r="AH521" s="9">
        <v>3110505.5</v>
      </c>
      <c r="AI521">
        <v>2223491.2999999998</v>
      </c>
      <c r="AJ521">
        <v>466895.9</v>
      </c>
      <c r="AK521" t="s">
        <v>139</v>
      </c>
      <c r="AL521">
        <v>503589.4</v>
      </c>
      <c r="AM521" t="s">
        <v>139</v>
      </c>
      <c r="AN521">
        <v>167401.4</v>
      </c>
      <c r="AO521" s="9">
        <v>2898441.9</v>
      </c>
      <c r="AP521">
        <v>212063.5</v>
      </c>
      <c r="AQ521" t="s">
        <v>139</v>
      </c>
      <c r="AR521" t="s">
        <v>139</v>
      </c>
      <c r="AS521">
        <f t="shared" ref="AS521:AS584" si="8">SUM(AI521:AK521)</f>
        <v>2690387.1999999997</v>
      </c>
      <c r="AT521">
        <f t="shared" si="7"/>
        <v>1.156155329612035</v>
      </c>
    </row>
    <row r="522" spans="1:46" x14ac:dyDescent="0.4">
      <c r="A522" s="3" t="s">
        <v>653</v>
      </c>
      <c r="B522">
        <v>2530080.7000000002</v>
      </c>
      <c r="C522">
        <v>566758.5</v>
      </c>
      <c r="D522">
        <v>396836.4</v>
      </c>
      <c r="E522" t="s">
        <v>139</v>
      </c>
      <c r="F522" t="s">
        <v>139</v>
      </c>
      <c r="G522">
        <v>169922.2</v>
      </c>
      <c r="H522" t="s">
        <v>139</v>
      </c>
      <c r="I522" t="s">
        <v>139</v>
      </c>
      <c r="J522">
        <v>1963322.2</v>
      </c>
      <c r="K522">
        <v>639684.30000000005</v>
      </c>
      <c r="L522">
        <v>752743.8</v>
      </c>
      <c r="M522" t="s">
        <v>139</v>
      </c>
      <c r="N522">
        <v>50526.3</v>
      </c>
      <c r="O522" t="s">
        <v>139</v>
      </c>
      <c r="P522" t="s">
        <v>139</v>
      </c>
      <c r="Q522" t="s">
        <v>139</v>
      </c>
      <c r="R522" t="s">
        <v>139</v>
      </c>
      <c r="S522" t="s">
        <v>139</v>
      </c>
      <c r="T522" t="s">
        <v>139</v>
      </c>
      <c r="U522">
        <v>372314.9</v>
      </c>
      <c r="V522" s="6" t="s">
        <v>139</v>
      </c>
      <c r="W522" t="s">
        <v>139</v>
      </c>
      <c r="X522" t="s">
        <v>139</v>
      </c>
      <c r="Y522" t="s">
        <v>139</v>
      </c>
      <c r="Z522">
        <v>198579.20000000001</v>
      </c>
      <c r="AA522" t="s">
        <v>139</v>
      </c>
      <c r="AB522" t="s">
        <v>139</v>
      </c>
      <c r="AC522" t="s">
        <v>139</v>
      </c>
      <c r="AD522">
        <v>231215.7</v>
      </c>
      <c r="AE522" t="s">
        <v>139</v>
      </c>
      <c r="AF522">
        <v>52393.2</v>
      </c>
      <c r="AG522">
        <v>192182.2</v>
      </c>
      <c r="AH522" s="9">
        <v>3118006.1</v>
      </c>
      <c r="AI522">
        <v>2229415.2999999998</v>
      </c>
      <c r="AJ522">
        <v>467198.6</v>
      </c>
      <c r="AK522" t="s">
        <v>139</v>
      </c>
      <c r="AL522">
        <v>511248.4</v>
      </c>
      <c r="AM522" t="s">
        <v>139</v>
      </c>
      <c r="AN522">
        <v>164503.1</v>
      </c>
      <c r="AO522" s="9">
        <v>2910541.9</v>
      </c>
      <c r="AP522">
        <v>207464.2</v>
      </c>
      <c r="AQ522" t="s">
        <v>139</v>
      </c>
      <c r="AR522" t="s">
        <v>139</v>
      </c>
      <c r="AS522">
        <f t="shared" si="8"/>
        <v>2696613.9</v>
      </c>
      <c r="AT522">
        <f t="shared" si="7"/>
        <v>1.1562671615688105</v>
      </c>
    </row>
    <row r="523" spans="1:46" x14ac:dyDescent="0.4">
      <c r="A523" s="3" t="s">
        <v>654</v>
      </c>
      <c r="B523">
        <v>2538522.9</v>
      </c>
      <c r="C523">
        <v>570506.30000000005</v>
      </c>
      <c r="D523">
        <v>400934.1</v>
      </c>
      <c r="E523" t="s">
        <v>139</v>
      </c>
      <c r="F523" t="s">
        <v>139</v>
      </c>
      <c r="G523">
        <v>169572.2</v>
      </c>
      <c r="H523" t="s">
        <v>139</v>
      </c>
      <c r="I523" t="s">
        <v>139</v>
      </c>
      <c r="J523">
        <v>1968016.6</v>
      </c>
      <c r="K523">
        <v>637563.6</v>
      </c>
      <c r="L523">
        <v>759923.8</v>
      </c>
      <c r="M523" t="s">
        <v>139</v>
      </c>
      <c r="N523">
        <v>51475.5</v>
      </c>
      <c r="O523" t="s">
        <v>139</v>
      </c>
      <c r="P523" t="s">
        <v>139</v>
      </c>
      <c r="Q523" t="s">
        <v>139</v>
      </c>
      <c r="R523" t="s">
        <v>139</v>
      </c>
      <c r="S523" t="s">
        <v>139</v>
      </c>
      <c r="T523" t="s">
        <v>139</v>
      </c>
      <c r="U523">
        <v>373952.4</v>
      </c>
      <c r="V523" s="6" t="s">
        <v>139</v>
      </c>
      <c r="W523" t="s">
        <v>139</v>
      </c>
      <c r="X523" t="s">
        <v>139</v>
      </c>
      <c r="Y523" t="s">
        <v>139</v>
      </c>
      <c r="Z523">
        <v>196576.8</v>
      </c>
      <c r="AA523" t="s">
        <v>139</v>
      </c>
      <c r="AB523" t="s">
        <v>139</v>
      </c>
      <c r="AC523" t="s">
        <v>139</v>
      </c>
      <c r="AD523">
        <v>239208.5</v>
      </c>
      <c r="AE523" t="s">
        <v>139</v>
      </c>
      <c r="AF523">
        <v>52396.2</v>
      </c>
      <c r="AG523">
        <v>193791.5</v>
      </c>
      <c r="AH523" s="9">
        <v>3134945.9</v>
      </c>
      <c r="AI523">
        <v>2241537.7999999998</v>
      </c>
      <c r="AJ523">
        <v>463121.4</v>
      </c>
      <c r="AK523" t="s">
        <v>139</v>
      </c>
      <c r="AL523">
        <v>515326.1</v>
      </c>
      <c r="AM523" t="s">
        <v>139</v>
      </c>
      <c r="AN523">
        <v>164561.9</v>
      </c>
      <c r="AO523" s="9">
        <v>2928772.5</v>
      </c>
      <c r="AP523">
        <v>206173.4</v>
      </c>
      <c r="AQ523" t="s">
        <v>139</v>
      </c>
      <c r="AR523" t="s">
        <v>139</v>
      </c>
      <c r="AS523">
        <f t="shared" si="8"/>
        <v>2704659.1999999997</v>
      </c>
      <c r="AT523">
        <f t="shared" si="7"/>
        <v>1.1590909124521123</v>
      </c>
    </row>
    <row r="524" spans="1:46" x14ac:dyDescent="0.4">
      <c r="A524" s="3" t="s">
        <v>655</v>
      </c>
      <c r="B524">
        <v>2553250.5</v>
      </c>
      <c r="C524">
        <v>579458.1</v>
      </c>
      <c r="D524">
        <v>411281.4</v>
      </c>
      <c r="E524" t="s">
        <v>139</v>
      </c>
      <c r="F524" t="s">
        <v>139</v>
      </c>
      <c r="G524">
        <v>168176.7</v>
      </c>
      <c r="H524" t="s">
        <v>139</v>
      </c>
      <c r="I524" t="s">
        <v>139</v>
      </c>
      <c r="J524">
        <v>1973792.4</v>
      </c>
      <c r="K524">
        <v>635756.5</v>
      </c>
      <c r="L524">
        <v>765803.7</v>
      </c>
      <c r="M524" t="s">
        <v>139</v>
      </c>
      <c r="N524">
        <v>52470.3</v>
      </c>
      <c r="O524" t="s">
        <v>139</v>
      </c>
      <c r="P524" t="s">
        <v>139</v>
      </c>
      <c r="Q524" t="s">
        <v>139</v>
      </c>
      <c r="R524" t="s">
        <v>139</v>
      </c>
      <c r="S524" t="s">
        <v>139</v>
      </c>
      <c r="T524" t="s">
        <v>139</v>
      </c>
      <c r="U524">
        <v>376046.8</v>
      </c>
      <c r="V524" s="6" t="s">
        <v>139</v>
      </c>
      <c r="W524" t="s">
        <v>139</v>
      </c>
      <c r="X524" t="s">
        <v>139</v>
      </c>
      <c r="Y524" t="s">
        <v>139</v>
      </c>
      <c r="Z524">
        <v>196185.5</v>
      </c>
      <c r="AA524" t="s">
        <v>139</v>
      </c>
      <c r="AB524" t="s">
        <v>139</v>
      </c>
      <c r="AC524" t="s">
        <v>139</v>
      </c>
      <c r="AD524">
        <v>239817.2</v>
      </c>
      <c r="AE524" t="s">
        <v>139</v>
      </c>
      <c r="AF524">
        <v>54795.199999999997</v>
      </c>
      <c r="AG524">
        <v>193388.7</v>
      </c>
      <c r="AH524" s="9">
        <v>3148481.5</v>
      </c>
      <c r="AI524">
        <v>2255650.2999999998</v>
      </c>
      <c r="AJ524">
        <v>462011.5</v>
      </c>
      <c r="AK524" t="s">
        <v>139</v>
      </c>
      <c r="AL524">
        <v>514736.8</v>
      </c>
      <c r="AM524" t="s">
        <v>139</v>
      </c>
      <c r="AN524">
        <v>167645.1</v>
      </c>
      <c r="AO524" s="9">
        <v>2945061.2</v>
      </c>
      <c r="AP524">
        <v>203420.2</v>
      </c>
      <c r="AQ524" t="s">
        <v>139</v>
      </c>
      <c r="AR524" t="s">
        <v>139</v>
      </c>
      <c r="AS524">
        <f t="shared" si="8"/>
        <v>2717661.8</v>
      </c>
      <c r="AT524">
        <f t="shared" si="7"/>
        <v>1.1585258695544824</v>
      </c>
    </row>
    <row r="525" spans="1:46" x14ac:dyDescent="0.4">
      <c r="A525" s="3" t="s">
        <v>656</v>
      </c>
      <c r="B525">
        <v>2571740.5</v>
      </c>
      <c r="C525">
        <v>588871.4</v>
      </c>
      <c r="D525">
        <v>421071.2</v>
      </c>
      <c r="E525" t="s">
        <v>139</v>
      </c>
      <c r="F525" t="s">
        <v>139</v>
      </c>
      <c r="G525">
        <v>167800.2</v>
      </c>
      <c r="H525" t="s">
        <v>139</v>
      </c>
      <c r="I525" t="s">
        <v>139</v>
      </c>
      <c r="J525">
        <v>1982869.1</v>
      </c>
      <c r="K525">
        <v>636541</v>
      </c>
      <c r="L525">
        <v>774775.5</v>
      </c>
      <c r="M525" t="s">
        <v>139</v>
      </c>
      <c r="N525">
        <v>53127.8</v>
      </c>
      <c r="O525" t="s">
        <v>139</v>
      </c>
      <c r="P525" t="s">
        <v>139</v>
      </c>
      <c r="Q525" t="s">
        <v>139</v>
      </c>
      <c r="R525" t="s">
        <v>139</v>
      </c>
      <c r="S525" t="s">
        <v>139</v>
      </c>
      <c r="T525" t="s">
        <v>139</v>
      </c>
      <c r="U525">
        <v>376141.7</v>
      </c>
      <c r="V525" s="6" t="s">
        <v>139</v>
      </c>
      <c r="W525" t="s">
        <v>139</v>
      </c>
      <c r="X525" t="s">
        <v>139</v>
      </c>
      <c r="Y525" t="s">
        <v>139</v>
      </c>
      <c r="Z525">
        <v>195410.8</v>
      </c>
      <c r="AA525" t="s">
        <v>139</v>
      </c>
      <c r="AB525" t="s">
        <v>139</v>
      </c>
      <c r="AC525" t="s">
        <v>139</v>
      </c>
      <c r="AD525">
        <v>235482.8</v>
      </c>
      <c r="AE525" t="s">
        <v>139</v>
      </c>
      <c r="AF525">
        <v>56932.9</v>
      </c>
      <c r="AG525">
        <v>192856.6</v>
      </c>
      <c r="AH525" s="9">
        <v>3162798.3</v>
      </c>
      <c r="AI525">
        <v>2258547.7999999998</v>
      </c>
      <c r="AJ525">
        <v>461191</v>
      </c>
      <c r="AK525" t="s">
        <v>139</v>
      </c>
      <c r="AL525">
        <v>510912.6</v>
      </c>
      <c r="AM525" t="s">
        <v>139</v>
      </c>
      <c r="AN525">
        <v>166303.1</v>
      </c>
      <c r="AO525" s="9">
        <v>2948383.5</v>
      </c>
      <c r="AP525">
        <v>214414.9</v>
      </c>
      <c r="AQ525" t="s">
        <v>139</v>
      </c>
      <c r="AR525" t="s">
        <v>139</v>
      </c>
      <c r="AS525">
        <f t="shared" si="8"/>
        <v>2719738.8</v>
      </c>
      <c r="AT525">
        <f t="shared" si="7"/>
        <v>1.1629051657460636</v>
      </c>
    </row>
    <row r="526" spans="1:46" x14ac:dyDescent="0.4">
      <c r="A526" s="3" t="s">
        <v>657</v>
      </c>
      <c r="B526">
        <v>2582120.4</v>
      </c>
      <c r="C526">
        <v>591511.80000000005</v>
      </c>
      <c r="D526">
        <v>425549.3</v>
      </c>
      <c r="E526" t="s">
        <v>139</v>
      </c>
      <c r="F526" t="s">
        <v>139</v>
      </c>
      <c r="G526">
        <v>165962.5</v>
      </c>
      <c r="H526" t="s">
        <v>139</v>
      </c>
      <c r="I526" t="s">
        <v>139</v>
      </c>
      <c r="J526">
        <v>1990608.6</v>
      </c>
      <c r="K526">
        <v>638371.1</v>
      </c>
      <c r="L526">
        <v>781673.7</v>
      </c>
      <c r="M526" t="s">
        <v>139</v>
      </c>
      <c r="N526">
        <v>53965</v>
      </c>
      <c r="O526" t="s">
        <v>139</v>
      </c>
      <c r="P526" t="s">
        <v>139</v>
      </c>
      <c r="Q526" t="s">
        <v>139</v>
      </c>
      <c r="R526" t="s">
        <v>139</v>
      </c>
      <c r="S526" t="s">
        <v>139</v>
      </c>
      <c r="T526" t="s">
        <v>139</v>
      </c>
      <c r="U526">
        <v>375760.9</v>
      </c>
      <c r="V526" s="6" t="s">
        <v>139</v>
      </c>
      <c r="W526" t="s">
        <v>139</v>
      </c>
      <c r="X526" t="s">
        <v>139</v>
      </c>
      <c r="Y526" t="s">
        <v>139</v>
      </c>
      <c r="Z526">
        <v>194802.9</v>
      </c>
      <c r="AA526" t="s">
        <v>139</v>
      </c>
      <c r="AB526" t="s">
        <v>139</v>
      </c>
      <c r="AC526" t="s">
        <v>139</v>
      </c>
      <c r="AD526">
        <v>236543</v>
      </c>
      <c r="AE526" t="s">
        <v>139</v>
      </c>
      <c r="AF526">
        <v>60792.9</v>
      </c>
      <c r="AG526">
        <v>193256.6</v>
      </c>
      <c r="AH526" s="9">
        <v>3182532.2</v>
      </c>
      <c r="AI526">
        <v>2264071.7000000002</v>
      </c>
      <c r="AJ526">
        <v>459752.7</v>
      </c>
      <c r="AK526" t="s">
        <v>139</v>
      </c>
      <c r="AL526">
        <v>525870.6</v>
      </c>
      <c r="AM526" t="s">
        <v>139</v>
      </c>
      <c r="AN526">
        <v>165287.20000000001</v>
      </c>
      <c r="AO526" s="9">
        <v>2972142.5</v>
      </c>
      <c r="AP526">
        <v>210389.7</v>
      </c>
      <c r="AQ526" t="s">
        <v>139</v>
      </c>
      <c r="AR526" t="s">
        <v>139</v>
      </c>
      <c r="AS526">
        <f t="shared" si="8"/>
        <v>2723824.4000000004</v>
      </c>
      <c r="AT526">
        <f t="shared" si="7"/>
        <v>1.1684057900355103</v>
      </c>
    </row>
    <row r="527" spans="1:46" x14ac:dyDescent="0.4">
      <c r="A527" s="3" t="s">
        <v>658</v>
      </c>
      <c r="B527">
        <v>2595154.2999999998</v>
      </c>
      <c r="C527">
        <v>595613.4</v>
      </c>
      <c r="D527">
        <v>430956.3</v>
      </c>
      <c r="E527" t="s">
        <v>139</v>
      </c>
      <c r="F527" t="s">
        <v>139</v>
      </c>
      <c r="G527">
        <v>164657.20000000001</v>
      </c>
      <c r="H527" t="s">
        <v>139</v>
      </c>
      <c r="I527" t="s">
        <v>139</v>
      </c>
      <c r="J527">
        <v>1999540.9</v>
      </c>
      <c r="K527">
        <v>640854.80000000005</v>
      </c>
      <c r="L527">
        <v>788726</v>
      </c>
      <c r="M527" t="s">
        <v>139</v>
      </c>
      <c r="N527">
        <v>54843.4</v>
      </c>
      <c r="O527" t="s">
        <v>139</v>
      </c>
      <c r="P527" t="s">
        <v>139</v>
      </c>
      <c r="Q527" t="s">
        <v>139</v>
      </c>
      <c r="R527" t="s">
        <v>139</v>
      </c>
      <c r="S527" t="s">
        <v>139</v>
      </c>
      <c r="T527" t="s">
        <v>139</v>
      </c>
      <c r="U527">
        <v>374515.4</v>
      </c>
      <c r="V527" s="6" t="s">
        <v>139</v>
      </c>
      <c r="W527" t="s">
        <v>139</v>
      </c>
      <c r="X527" t="s">
        <v>139</v>
      </c>
      <c r="Y527" t="s">
        <v>139</v>
      </c>
      <c r="Z527">
        <v>195444.7</v>
      </c>
      <c r="AA527" t="s">
        <v>139</v>
      </c>
      <c r="AB527" t="s">
        <v>139</v>
      </c>
      <c r="AC527" t="s">
        <v>139</v>
      </c>
      <c r="AD527">
        <v>237297.4</v>
      </c>
      <c r="AE527" t="s">
        <v>139</v>
      </c>
      <c r="AF527">
        <v>59030.6</v>
      </c>
      <c r="AG527">
        <v>193689.9</v>
      </c>
      <c r="AH527" s="9">
        <v>3196029.3</v>
      </c>
      <c r="AI527">
        <v>2274206</v>
      </c>
      <c r="AJ527">
        <v>459800</v>
      </c>
      <c r="AK527" t="s">
        <v>139</v>
      </c>
      <c r="AL527">
        <v>527866.5</v>
      </c>
      <c r="AM527" t="s">
        <v>139</v>
      </c>
      <c r="AN527">
        <v>161910.9</v>
      </c>
      <c r="AO527" s="9">
        <v>2982464.4</v>
      </c>
      <c r="AP527">
        <v>213564.9</v>
      </c>
      <c r="AQ527" t="s">
        <v>139</v>
      </c>
      <c r="AR527" t="s">
        <v>139</v>
      </c>
      <c r="AS527">
        <f t="shared" si="8"/>
        <v>2734006</v>
      </c>
      <c r="AT527">
        <f t="shared" si="7"/>
        <v>1.1689913262809226</v>
      </c>
    </row>
    <row r="528" spans="1:46" x14ac:dyDescent="0.4">
      <c r="A528" s="3" t="s">
        <v>659</v>
      </c>
      <c r="B528">
        <v>2607164.2000000002</v>
      </c>
      <c r="C528">
        <v>599813.19999999995</v>
      </c>
      <c r="D528">
        <v>435418.8</v>
      </c>
      <c r="E528" t="s">
        <v>139</v>
      </c>
      <c r="F528" t="s">
        <v>139</v>
      </c>
      <c r="G528">
        <v>164394.5</v>
      </c>
      <c r="H528" t="s">
        <v>139</v>
      </c>
      <c r="I528" t="s">
        <v>139</v>
      </c>
      <c r="J528">
        <v>2007351</v>
      </c>
      <c r="K528">
        <v>639751.9</v>
      </c>
      <c r="L528">
        <v>797820.1</v>
      </c>
      <c r="M528" t="s">
        <v>139</v>
      </c>
      <c r="N528">
        <v>55840.6</v>
      </c>
      <c r="O528" t="s">
        <v>139</v>
      </c>
      <c r="P528" t="s">
        <v>139</v>
      </c>
      <c r="Q528" t="s">
        <v>139</v>
      </c>
      <c r="R528" t="s">
        <v>139</v>
      </c>
      <c r="S528" t="s">
        <v>139</v>
      </c>
      <c r="T528" t="s">
        <v>139</v>
      </c>
      <c r="U528">
        <v>375863.2</v>
      </c>
      <c r="V528" s="6" t="s">
        <v>139</v>
      </c>
      <c r="W528" t="s">
        <v>139</v>
      </c>
      <c r="X528" t="s">
        <v>139</v>
      </c>
      <c r="Y528" t="s">
        <v>139</v>
      </c>
      <c r="Z528">
        <v>193915.9</v>
      </c>
      <c r="AA528" t="s">
        <v>139</v>
      </c>
      <c r="AB528" t="s">
        <v>139</v>
      </c>
      <c r="AC528" t="s">
        <v>139</v>
      </c>
      <c r="AD528">
        <v>235397.2</v>
      </c>
      <c r="AE528" t="s">
        <v>139</v>
      </c>
      <c r="AF528">
        <v>58195.199999999997</v>
      </c>
      <c r="AG528">
        <v>193962.6</v>
      </c>
      <c r="AH528" s="9">
        <v>3203864.6</v>
      </c>
      <c r="AI528">
        <v>2280523.4</v>
      </c>
      <c r="AJ528">
        <v>456449</v>
      </c>
      <c r="AK528" t="s">
        <v>139</v>
      </c>
      <c r="AL528">
        <v>521473.3</v>
      </c>
      <c r="AM528" t="s">
        <v>139</v>
      </c>
      <c r="AN528">
        <v>159960.4</v>
      </c>
      <c r="AO528" s="9">
        <v>2992697.9</v>
      </c>
      <c r="AP528">
        <v>211166.7</v>
      </c>
      <c r="AQ528" t="s">
        <v>139</v>
      </c>
      <c r="AR528" t="s">
        <v>139</v>
      </c>
      <c r="AS528">
        <f t="shared" si="8"/>
        <v>2736972.4</v>
      </c>
      <c r="AT528">
        <f t="shared" si="7"/>
        <v>1.1705871056646389</v>
      </c>
    </row>
    <row r="529" spans="1:46" x14ac:dyDescent="0.4">
      <c r="A529" s="3" t="s">
        <v>660</v>
      </c>
      <c r="B529">
        <v>2623647.7999999998</v>
      </c>
      <c r="C529">
        <v>607695.6</v>
      </c>
      <c r="D529">
        <v>443928.6</v>
      </c>
      <c r="E529" t="s">
        <v>139</v>
      </c>
      <c r="F529" t="s">
        <v>139</v>
      </c>
      <c r="G529">
        <v>163767</v>
      </c>
      <c r="H529" t="s">
        <v>139</v>
      </c>
      <c r="I529" t="s">
        <v>139</v>
      </c>
      <c r="J529">
        <v>2015952.2</v>
      </c>
      <c r="K529">
        <v>641522.1</v>
      </c>
      <c r="L529">
        <v>805605.5</v>
      </c>
      <c r="M529" t="s">
        <v>139</v>
      </c>
      <c r="N529">
        <v>56847.3</v>
      </c>
      <c r="O529" t="s">
        <v>139</v>
      </c>
      <c r="P529" t="s">
        <v>139</v>
      </c>
      <c r="Q529" t="s">
        <v>139</v>
      </c>
      <c r="R529" t="s">
        <v>139</v>
      </c>
      <c r="S529" t="s">
        <v>139</v>
      </c>
      <c r="T529" t="s">
        <v>139</v>
      </c>
      <c r="U529">
        <v>375250</v>
      </c>
      <c r="V529" s="6" t="s">
        <v>139</v>
      </c>
      <c r="W529" t="s">
        <v>139</v>
      </c>
      <c r="X529" t="s">
        <v>139</v>
      </c>
      <c r="Y529" t="s">
        <v>139</v>
      </c>
      <c r="Z529">
        <v>193574.5</v>
      </c>
      <c r="AA529" t="s">
        <v>139</v>
      </c>
      <c r="AB529" t="s">
        <v>139</v>
      </c>
      <c r="AC529" t="s">
        <v>139</v>
      </c>
      <c r="AD529">
        <v>237750.8</v>
      </c>
      <c r="AE529" t="s">
        <v>139</v>
      </c>
      <c r="AF529">
        <v>59977.599999999999</v>
      </c>
      <c r="AG529">
        <v>198133</v>
      </c>
      <c r="AH529" s="9">
        <v>3233274.8</v>
      </c>
      <c r="AI529">
        <v>2296256.2999999998</v>
      </c>
      <c r="AJ529">
        <v>454559.8</v>
      </c>
      <c r="AK529" t="s">
        <v>139</v>
      </c>
      <c r="AL529">
        <v>533779.30000000005</v>
      </c>
      <c r="AM529" t="s">
        <v>139</v>
      </c>
      <c r="AN529">
        <v>162458.29999999999</v>
      </c>
      <c r="AO529" s="9">
        <v>3017660.4</v>
      </c>
      <c r="AP529">
        <v>215614.4</v>
      </c>
      <c r="AQ529" t="s">
        <v>139</v>
      </c>
      <c r="AR529" t="s">
        <v>139</v>
      </c>
      <c r="AS529">
        <f t="shared" si="8"/>
        <v>2750816.0999999996</v>
      </c>
      <c r="AT529">
        <f t="shared" si="7"/>
        <v>1.1753874786467915</v>
      </c>
    </row>
    <row r="530" spans="1:46" x14ac:dyDescent="0.4">
      <c r="A530" s="3" t="s">
        <v>661</v>
      </c>
      <c r="B530">
        <v>2630643.7999999998</v>
      </c>
      <c r="C530">
        <v>610748.69999999995</v>
      </c>
      <c r="D530">
        <v>447993</v>
      </c>
      <c r="E530" t="s">
        <v>139</v>
      </c>
      <c r="F530" t="s">
        <v>139</v>
      </c>
      <c r="G530">
        <v>162755.70000000001</v>
      </c>
      <c r="H530" t="s">
        <v>139</v>
      </c>
      <c r="I530" t="s">
        <v>139</v>
      </c>
      <c r="J530">
        <v>2019895.1</v>
      </c>
      <c r="K530">
        <v>639894.19999999995</v>
      </c>
      <c r="L530">
        <v>814195.9</v>
      </c>
      <c r="M530" t="s">
        <v>139</v>
      </c>
      <c r="N530">
        <v>57987.5</v>
      </c>
      <c r="O530" t="s">
        <v>139</v>
      </c>
      <c r="P530" t="s">
        <v>139</v>
      </c>
      <c r="Q530" t="s">
        <v>139</v>
      </c>
      <c r="R530" t="s">
        <v>139</v>
      </c>
      <c r="S530" t="s">
        <v>139</v>
      </c>
      <c r="T530" t="s">
        <v>139</v>
      </c>
      <c r="U530">
        <v>372033</v>
      </c>
      <c r="V530" s="6" t="s">
        <v>139</v>
      </c>
      <c r="W530" t="s">
        <v>139</v>
      </c>
      <c r="X530" t="s">
        <v>139</v>
      </c>
      <c r="Y530" t="s">
        <v>139</v>
      </c>
      <c r="Z530">
        <v>193772</v>
      </c>
      <c r="AA530" t="s">
        <v>139</v>
      </c>
      <c r="AB530" t="s">
        <v>139</v>
      </c>
      <c r="AC530" t="s">
        <v>139</v>
      </c>
      <c r="AD530">
        <v>237284.8</v>
      </c>
      <c r="AE530" t="s">
        <v>139</v>
      </c>
      <c r="AF530">
        <v>59681.1</v>
      </c>
      <c r="AG530">
        <v>202168</v>
      </c>
      <c r="AH530" s="9">
        <v>3253985.8</v>
      </c>
      <c r="AI530">
        <v>2313598.1</v>
      </c>
      <c r="AJ530">
        <v>456243.20000000001</v>
      </c>
      <c r="AK530" t="s">
        <v>139</v>
      </c>
      <c r="AL530">
        <v>538280.6</v>
      </c>
      <c r="AM530" t="s">
        <v>139</v>
      </c>
      <c r="AN530">
        <v>163227</v>
      </c>
      <c r="AO530" s="9">
        <v>3037916.1</v>
      </c>
      <c r="AP530">
        <v>216069.8</v>
      </c>
      <c r="AQ530" t="s">
        <v>139</v>
      </c>
      <c r="AR530" t="s">
        <v>139</v>
      </c>
      <c r="AS530">
        <f t="shared" si="8"/>
        <v>2769841.3000000003</v>
      </c>
      <c r="AT530">
        <f t="shared" si="7"/>
        <v>1.1747914221655946</v>
      </c>
    </row>
    <row r="531" spans="1:46" x14ac:dyDescent="0.4">
      <c r="A531" s="3" t="s">
        <v>662</v>
      </c>
      <c r="B531">
        <v>2641167.7999999998</v>
      </c>
      <c r="C531">
        <v>612674.6</v>
      </c>
      <c r="D531">
        <v>450076.4</v>
      </c>
      <c r="E531" t="s">
        <v>139</v>
      </c>
      <c r="F531" t="s">
        <v>139</v>
      </c>
      <c r="G531">
        <v>162598.20000000001</v>
      </c>
      <c r="H531" t="s">
        <v>139</v>
      </c>
      <c r="I531" t="s">
        <v>139</v>
      </c>
      <c r="J531">
        <v>2028493.2</v>
      </c>
      <c r="K531">
        <v>640379.80000000005</v>
      </c>
      <c r="L531">
        <v>819157.4</v>
      </c>
      <c r="M531" t="s">
        <v>139</v>
      </c>
      <c r="N531">
        <v>59122.9</v>
      </c>
      <c r="O531" t="s">
        <v>139</v>
      </c>
      <c r="P531" t="s">
        <v>139</v>
      </c>
      <c r="Q531" t="s">
        <v>139</v>
      </c>
      <c r="R531" t="s">
        <v>139</v>
      </c>
      <c r="S531" t="s">
        <v>139</v>
      </c>
      <c r="T531" t="s">
        <v>139</v>
      </c>
      <c r="U531">
        <v>373528</v>
      </c>
      <c r="V531" s="6" t="s">
        <v>139</v>
      </c>
      <c r="W531" t="s">
        <v>139</v>
      </c>
      <c r="X531" t="s">
        <v>139</v>
      </c>
      <c r="Y531" t="s">
        <v>139</v>
      </c>
      <c r="Z531">
        <v>195428</v>
      </c>
      <c r="AA531" t="s">
        <v>139</v>
      </c>
      <c r="AB531" t="s">
        <v>139</v>
      </c>
      <c r="AC531" t="s">
        <v>139</v>
      </c>
      <c r="AD531">
        <v>237072.1</v>
      </c>
      <c r="AE531" t="s">
        <v>139</v>
      </c>
      <c r="AF531">
        <v>61025.4</v>
      </c>
      <c r="AG531">
        <v>205004.7</v>
      </c>
      <c r="AH531" s="9">
        <v>3282598.3</v>
      </c>
      <c r="AI531">
        <v>2318491.1</v>
      </c>
      <c r="AJ531">
        <v>450989</v>
      </c>
      <c r="AK531" t="s">
        <v>139</v>
      </c>
      <c r="AL531">
        <v>562282.5</v>
      </c>
      <c r="AM531" t="s">
        <v>139</v>
      </c>
      <c r="AN531">
        <v>167882.2</v>
      </c>
      <c r="AO531" s="9">
        <v>3068534.8</v>
      </c>
      <c r="AP531">
        <v>214063.5</v>
      </c>
      <c r="AQ531" t="s">
        <v>139</v>
      </c>
      <c r="AR531" t="s">
        <v>139</v>
      </c>
      <c r="AS531">
        <f t="shared" si="8"/>
        <v>2769480.1</v>
      </c>
      <c r="AT531">
        <f t="shared" si="7"/>
        <v>1.1852760018026487</v>
      </c>
    </row>
    <row r="532" spans="1:46" x14ac:dyDescent="0.4">
      <c r="A532" s="3" t="s">
        <v>663</v>
      </c>
      <c r="B532">
        <v>2646864.4</v>
      </c>
      <c r="C532">
        <v>615403.30000000005</v>
      </c>
      <c r="D532">
        <v>453525.7</v>
      </c>
      <c r="E532" t="s">
        <v>139</v>
      </c>
      <c r="F532" t="s">
        <v>139</v>
      </c>
      <c r="G532">
        <v>161877.70000000001</v>
      </c>
      <c r="H532" t="s">
        <v>139</v>
      </c>
      <c r="I532" t="s">
        <v>139</v>
      </c>
      <c r="J532">
        <v>2031461.1</v>
      </c>
      <c r="K532">
        <v>639461.6</v>
      </c>
      <c r="L532">
        <v>823176.4</v>
      </c>
      <c r="M532" t="s">
        <v>139</v>
      </c>
      <c r="N532">
        <v>59934.7</v>
      </c>
      <c r="O532" t="s">
        <v>139</v>
      </c>
      <c r="P532" t="s">
        <v>139</v>
      </c>
      <c r="Q532" t="s">
        <v>139</v>
      </c>
      <c r="R532" t="s">
        <v>139</v>
      </c>
      <c r="S532" t="s">
        <v>139</v>
      </c>
      <c r="T532" t="s">
        <v>139</v>
      </c>
      <c r="U532">
        <v>373771.9</v>
      </c>
      <c r="V532" s="6" t="s">
        <v>139</v>
      </c>
      <c r="W532" t="s">
        <v>139</v>
      </c>
      <c r="X532" t="s">
        <v>139</v>
      </c>
      <c r="Y532" t="s">
        <v>139</v>
      </c>
      <c r="Z532">
        <v>195051.1</v>
      </c>
      <c r="AA532" t="s">
        <v>139</v>
      </c>
      <c r="AB532" t="s">
        <v>139</v>
      </c>
      <c r="AC532" t="s">
        <v>139</v>
      </c>
      <c r="AD532">
        <v>230569.3</v>
      </c>
      <c r="AE532" t="s">
        <v>139</v>
      </c>
      <c r="AF532">
        <v>60751.1</v>
      </c>
      <c r="AG532">
        <v>211264.7</v>
      </c>
      <c r="AH532" s="9">
        <v>3282403.4</v>
      </c>
      <c r="AI532">
        <v>2320675.2000000002</v>
      </c>
      <c r="AJ532">
        <v>447041.6</v>
      </c>
      <c r="AK532" t="s">
        <v>139</v>
      </c>
      <c r="AL532">
        <v>544148.69999999995</v>
      </c>
      <c r="AM532" t="s">
        <v>139</v>
      </c>
      <c r="AN532">
        <v>169427.4</v>
      </c>
      <c r="AO532" s="9">
        <v>3059158.4</v>
      </c>
      <c r="AP532">
        <v>223245</v>
      </c>
      <c r="AQ532" t="s">
        <v>139</v>
      </c>
      <c r="AR532" t="s">
        <v>139</v>
      </c>
      <c r="AS532">
        <f t="shared" si="8"/>
        <v>2767716.8000000003</v>
      </c>
      <c r="AT532">
        <f t="shared" si="7"/>
        <v>1.1859607167900992</v>
      </c>
    </row>
    <row r="533" spans="1:46" x14ac:dyDescent="0.4">
      <c r="A533" s="3" t="s">
        <v>664</v>
      </c>
      <c r="B533">
        <v>2655917.4</v>
      </c>
      <c r="C533">
        <v>616405.9</v>
      </c>
      <c r="D533">
        <v>456126.8</v>
      </c>
      <c r="E533" t="s">
        <v>139</v>
      </c>
      <c r="F533" t="s">
        <v>139</v>
      </c>
      <c r="G533">
        <v>160279</v>
      </c>
      <c r="H533" t="s">
        <v>139</v>
      </c>
      <c r="I533" t="s">
        <v>139</v>
      </c>
      <c r="J533">
        <v>2039511.5</v>
      </c>
      <c r="K533">
        <v>637523.1</v>
      </c>
      <c r="L533">
        <v>829163.3</v>
      </c>
      <c r="M533" t="s">
        <v>139</v>
      </c>
      <c r="N533">
        <v>61623</v>
      </c>
      <c r="O533" t="s">
        <v>139</v>
      </c>
      <c r="P533" t="s">
        <v>139</v>
      </c>
      <c r="Q533" t="s">
        <v>139</v>
      </c>
      <c r="R533" t="s">
        <v>139</v>
      </c>
      <c r="S533" t="s">
        <v>139</v>
      </c>
      <c r="T533" t="s">
        <v>139</v>
      </c>
      <c r="U533">
        <v>375011.4</v>
      </c>
      <c r="V533" s="6" t="s">
        <v>139</v>
      </c>
      <c r="W533" t="s">
        <v>139</v>
      </c>
      <c r="X533" t="s">
        <v>139</v>
      </c>
      <c r="Y533" t="s">
        <v>139</v>
      </c>
      <c r="Z533">
        <v>197813.7</v>
      </c>
      <c r="AA533" t="s">
        <v>139</v>
      </c>
      <c r="AB533" t="s">
        <v>139</v>
      </c>
      <c r="AC533" t="s">
        <v>139</v>
      </c>
      <c r="AD533">
        <v>227522.3</v>
      </c>
      <c r="AE533" t="s">
        <v>139</v>
      </c>
      <c r="AF533">
        <v>61131.9</v>
      </c>
      <c r="AG533">
        <v>210706.8</v>
      </c>
      <c r="AH533" s="9">
        <v>3279804</v>
      </c>
      <c r="AI533">
        <v>2322207.9</v>
      </c>
      <c r="AJ533">
        <v>443854.9</v>
      </c>
      <c r="AK533" t="s">
        <v>139</v>
      </c>
      <c r="AL533">
        <v>536896.4</v>
      </c>
      <c r="AM533" t="s">
        <v>139</v>
      </c>
      <c r="AN533">
        <v>168719.1</v>
      </c>
      <c r="AO533" s="9">
        <v>3056972</v>
      </c>
      <c r="AP533">
        <v>222832</v>
      </c>
      <c r="AQ533" t="s">
        <v>139</v>
      </c>
      <c r="AR533" t="s">
        <v>139</v>
      </c>
      <c r="AS533">
        <f t="shared" si="8"/>
        <v>2766062.8</v>
      </c>
      <c r="AT533">
        <f t="shared" si="7"/>
        <v>1.1857301287591882</v>
      </c>
    </row>
    <row r="534" spans="1:46" x14ac:dyDescent="0.4">
      <c r="A534" s="3" t="s">
        <v>665</v>
      </c>
      <c r="B534">
        <v>2661992.5</v>
      </c>
      <c r="C534">
        <v>618581.80000000005</v>
      </c>
      <c r="D534">
        <v>457968.3</v>
      </c>
      <c r="E534" t="s">
        <v>139</v>
      </c>
      <c r="F534" t="s">
        <v>139</v>
      </c>
      <c r="G534">
        <v>160613.5</v>
      </c>
      <c r="H534" t="s">
        <v>139</v>
      </c>
      <c r="I534" t="s">
        <v>139</v>
      </c>
      <c r="J534">
        <v>2043410.8</v>
      </c>
      <c r="K534">
        <v>639186.80000000005</v>
      </c>
      <c r="L534">
        <v>834367</v>
      </c>
      <c r="M534" t="s">
        <v>139</v>
      </c>
      <c r="N534">
        <v>62621.5</v>
      </c>
      <c r="O534" t="s">
        <v>139</v>
      </c>
      <c r="P534" t="s">
        <v>139</v>
      </c>
      <c r="Q534" t="s">
        <v>139</v>
      </c>
      <c r="R534" t="s">
        <v>139</v>
      </c>
      <c r="S534" t="s">
        <v>139</v>
      </c>
      <c r="T534" t="s">
        <v>139</v>
      </c>
      <c r="U534">
        <v>374672.9</v>
      </c>
      <c r="V534" s="6" t="s">
        <v>139</v>
      </c>
      <c r="W534" t="s">
        <v>139</v>
      </c>
      <c r="X534" t="s">
        <v>139</v>
      </c>
      <c r="Y534" t="s">
        <v>139</v>
      </c>
      <c r="Z534">
        <v>195184.1</v>
      </c>
      <c r="AA534" t="s">
        <v>139</v>
      </c>
      <c r="AB534" t="s">
        <v>139</v>
      </c>
      <c r="AC534" t="s">
        <v>139</v>
      </c>
      <c r="AD534">
        <v>225020.6</v>
      </c>
      <c r="AE534" t="s">
        <v>139</v>
      </c>
      <c r="AF534">
        <v>64878</v>
      </c>
      <c r="AG534">
        <v>209835.6</v>
      </c>
      <c r="AH534" s="9">
        <v>3282214.6</v>
      </c>
      <c r="AI534">
        <v>2322894.9</v>
      </c>
      <c r="AJ534">
        <v>441467.1</v>
      </c>
      <c r="AK534" t="s">
        <v>139</v>
      </c>
      <c r="AL534">
        <v>546094.5</v>
      </c>
      <c r="AM534" t="s">
        <v>139</v>
      </c>
      <c r="AN534">
        <v>166851.20000000001</v>
      </c>
      <c r="AO534" s="9">
        <v>3062377.9</v>
      </c>
      <c r="AP534">
        <v>219836.7</v>
      </c>
      <c r="AQ534" t="s">
        <v>139</v>
      </c>
      <c r="AR534" t="s">
        <v>139</v>
      </c>
      <c r="AS534">
        <f t="shared" si="8"/>
        <v>2764362</v>
      </c>
      <c r="AT534">
        <f t="shared" si="7"/>
        <v>1.1873316881074187</v>
      </c>
    </row>
    <row r="535" spans="1:46" x14ac:dyDescent="0.4">
      <c r="A535" s="3" t="s">
        <v>666</v>
      </c>
      <c r="B535">
        <v>2672986.6</v>
      </c>
      <c r="C535">
        <v>620018.4</v>
      </c>
      <c r="D535">
        <v>460107.6</v>
      </c>
      <c r="E535" t="s">
        <v>139</v>
      </c>
      <c r="F535" t="s">
        <v>139</v>
      </c>
      <c r="G535">
        <v>159910.79999999999</v>
      </c>
      <c r="H535" t="s">
        <v>139</v>
      </c>
      <c r="I535" t="s">
        <v>139</v>
      </c>
      <c r="J535">
        <v>2052968.2</v>
      </c>
      <c r="K535">
        <v>641587.30000000005</v>
      </c>
      <c r="L535">
        <v>841735.6</v>
      </c>
      <c r="M535" t="s">
        <v>139</v>
      </c>
      <c r="N535">
        <v>63442</v>
      </c>
      <c r="O535" t="s">
        <v>139</v>
      </c>
      <c r="P535" t="s">
        <v>139</v>
      </c>
      <c r="Q535" t="s">
        <v>139</v>
      </c>
      <c r="R535" t="s">
        <v>139</v>
      </c>
      <c r="S535" t="s">
        <v>139</v>
      </c>
      <c r="T535" t="s">
        <v>139</v>
      </c>
      <c r="U535">
        <v>375963.2</v>
      </c>
      <c r="V535" s="6" t="s">
        <v>139</v>
      </c>
      <c r="W535" t="s">
        <v>139</v>
      </c>
      <c r="X535" t="s">
        <v>139</v>
      </c>
      <c r="Y535" t="s">
        <v>139</v>
      </c>
      <c r="Z535">
        <v>193682</v>
      </c>
      <c r="AA535" t="s">
        <v>139</v>
      </c>
      <c r="AB535" t="s">
        <v>139</v>
      </c>
      <c r="AC535" t="s">
        <v>139</v>
      </c>
      <c r="AD535">
        <v>223106.3</v>
      </c>
      <c r="AE535" t="s">
        <v>139</v>
      </c>
      <c r="AF535">
        <v>62098.6</v>
      </c>
      <c r="AG535">
        <v>211276.4</v>
      </c>
      <c r="AH535" s="9">
        <v>3286743.2</v>
      </c>
      <c r="AI535">
        <v>2338962</v>
      </c>
      <c r="AJ535">
        <v>437409.4</v>
      </c>
      <c r="AK535" t="s">
        <v>139</v>
      </c>
      <c r="AL535">
        <v>525927.9</v>
      </c>
      <c r="AM535" t="s">
        <v>139</v>
      </c>
      <c r="AN535">
        <v>170918.39999999999</v>
      </c>
      <c r="AO535" s="9">
        <v>3065918</v>
      </c>
      <c r="AP535">
        <v>220825.1</v>
      </c>
      <c r="AQ535" t="s">
        <v>139</v>
      </c>
      <c r="AR535" t="s">
        <v>139</v>
      </c>
      <c r="AS535">
        <f t="shared" si="8"/>
        <v>2776371.4</v>
      </c>
      <c r="AT535">
        <f t="shared" si="7"/>
        <v>1.1838269188336978</v>
      </c>
    </row>
    <row r="536" spans="1:46" x14ac:dyDescent="0.4">
      <c r="A536" s="3" t="s">
        <v>667</v>
      </c>
      <c r="B536">
        <v>2671455.2000000002</v>
      </c>
      <c r="C536">
        <v>624294.30000000005</v>
      </c>
      <c r="D536">
        <v>463516.8</v>
      </c>
      <c r="E536" t="s">
        <v>139</v>
      </c>
      <c r="F536" t="s">
        <v>139</v>
      </c>
      <c r="G536">
        <v>160777.4</v>
      </c>
      <c r="H536" t="s">
        <v>139</v>
      </c>
      <c r="I536" t="s">
        <v>139</v>
      </c>
      <c r="J536">
        <v>2047160.9</v>
      </c>
      <c r="K536">
        <v>636138.6</v>
      </c>
      <c r="L536">
        <v>846572.8</v>
      </c>
      <c r="M536" t="s">
        <v>139</v>
      </c>
      <c r="N536">
        <v>64118.2</v>
      </c>
      <c r="O536" t="s">
        <v>139</v>
      </c>
      <c r="P536" t="s">
        <v>139</v>
      </c>
      <c r="Q536" t="s">
        <v>139</v>
      </c>
      <c r="R536" t="s">
        <v>139</v>
      </c>
      <c r="S536" t="s">
        <v>139</v>
      </c>
      <c r="T536" t="s">
        <v>139</v>
      </c>
      <c r="U536">
        <v>371770.4</v>
      </c>
      <c r="V536" s="6" t="s">
        <v>139</v>
      </c>
      <c r="W536" t="s">
        <v>139</v>
      </c>
      <c r="X536" t="s">
        <v>139</v>
      </c>
      <c r="Y536" t="s">
        <v>139</v>
      </c>
      <c r="Z536">
        <v>192679.1</v>
      </c>
      <c r="AA536" t="s">
        <v>139</v>
      </c>
      <c r="AB536" t="s">
        <v>139</v>
      </c>
      <c r="AC536" t="s">
        <v>139</v>
      </c>
      <c r="AD536">
        <v>215085.4</v>
      </c>
      <c r="AE536" t="s">
        <v>139</v>
      </c>
      <c r="AF536">
        <v>56498.1</v>
      </c>
      <c r="AG536">
        <v>214257.5</v>
      </c>
      <c r="AH536" s="9">
        <v>3271623.3</v>
      </c>
      <c r="AI536">
        <v>2353716.6</v>
      </c>
      <c r="AJ536">
        <v>448769.4</v>
      </c>
      <c r="AK536" t="s">
        <v>139</v>
      </c>
      <c r="AL536">
        <v>492998.9</v>
      </c>
      <c r="AM536" t="s">
        <v>139</v>
      </c>
      <c r="AN536">
        <v>173429.5</v>
      </c>
      <c r="AO536" s="9">
        <v>3053963.6</v>
      </c>
      <c r="AP536">
        <v>217659.7</v>
      </c>
      <c r="AQ536" t="s">
        <v>139</v>
      </c>
      <c r="AR536" t="s">
        <v>139</v>
      </c>
      <c r="AS536">
        <f t="shared" si="8"/>
        <v>2802486</v>
      </c>
      <c r="AT536">
        <f t="shared" si="7"/>
        <v>1.1674004080662668</v>
      </c>
    </row>
    <row r="537" spans="1:46" x14ac:dyDescent="0.4">
      <c r="A537" s="3" t="s">
        <v>668</v>
      </c>
      <c r="B537">
        <v>2681195.4</v>
      </c>
      <c r="C537">
        <v>628729.69999999995</v>
      </c>
      <c r="D537">
        <v>467089.8</v>
      </c>
      <c r="E537" t="s">
        <v>139</v>
      </c>
      <c r="F537" t="s">
        <v>139</v>
      </c>
      <c r="G537">
        <v>161639.9</v>
      </c>
      <c r="H537" t="s">
        <v>139</v>
      </c>
      <c r="I537" t="s">
        <v>139</v>
      </c>
      <c r="J537">
        <v>2052465.7</v>
      </c>
      <c r="K537">
        <v>635973.5</v>
      </c>
      <c r="L537">
        <v>851859.7</v>
      </c>
      <c r="M537" t="s">
        <v>139</v>
      </c>
      <c r="N537">
        <v>65235.1</v>
      </c>
      <c r="O537" t="s">
        <v>139</v>
      </c>
      <c r="P537" t="s">
        <v>139</v>
      </c>
      <c r="Q537" t="s">
        <v>139</v>
      </c>
      <c r="R537" t="s">
        <v>139</v>
      </c>
      <c r="S537" t="s">
        <v>139</v>
      </c>
      <c r="T537" t="s">
        <v>139</v>
      </c>
      <c r="U537">
        <v>371486.8</v>
      </c>
      <c r="V537" s="6" t="s">
        <v>139</v>
      </c>
      <c r="W537" t="s">
        <v>139</v>
      </c>
      <c r="X537" t="s">
        <v>139</v>
      </c>
      <c r="Y537" t="s">
        <v>139</v>
      </c>
      <c r="Z537">
        <v>193145.8</v>
      </c>
      <c r="AA537" t="s">
        <v>139</v>
      </c>
      <c r="AB537" t="s">
        <v>139</v>
      </c>
      <c r="AC537" t="s">
        <v>139</v>
      </c>
      <c r="AD537">
        <v>219806.9</v>
      </c>
      <c r="AE537" t="s">
        <v>139</v>
      </c>
      <c r="AF537">
        <v>52260.6</v>
      </c>
      <c r="AG537">
        <v>216230.6</v>
      </c>
      <c r="AH537" s="9">
        <v>3290511.1</v>
      </c>
      <c r="AI537">
        <v>2378515.2999999998</v>
      </c>
      <c r="AJ537">
        <v>458194.4</v>
      </c>
      <c r="AK537" t="s">
        <v>139</v>
      </c>
      <c r="AL537">
        <v>482916.6</v>
      </c>
      <c r="AM537" t="s">
        <v>139</v>
      </c>
      <c r="AN537">
        <v>175898.3</v>
      </c>
      <c r="AO537" s="9">
        <v>3065283.2</v>
      </c>
      <c r="AP537">
        <v>225227.9</v>
      </c>
      <c r="AQ537" t="s">
        <v>139</v>
      </c>
      <c r="AR537" t="s">
        <v>139</v>
      </c>
      <c r="AS537">
        <f t="shared" si="8"/>
        <v>2836709.6999999997</v>
      </c>
      <c r="AT537">
        <f t="shared" si="7"/>
        <v>1.1599745648981989</v>
      </c>
    </row>
    <row r="538" spans="1:46" x14ac:dyDescent="0.4">
      <c r="A538" s="3" t="s">
        <v>669</v>
      </c>
      <c r="B538">
        <v>2697517.6</v>
      </c>
      <c r="C538">
        <v>640345.5</v>
      </c>
      <c r="D538">
        <v>475579</v>
      </c>
      <c r="E538" t="s">
        <v>139</v>
      </c>
      <c r="F538" t="s">
        <v>139</v>
      </c>
      <c r="G538">
        <v>164766.5</v>
      </c>
      <c r="H538" t="s">
        <v>139</v>
      </c>
      <c r="I538" t="s">
        <v>139</v>
      </c>
      <c r="J538">
        <v>2057172</v>
      </c>
      <c r="K538">
        <v>635294.69999999995</v>
      </c>
      <c r="L538">
        <v>857380.2</v>
      </c>
      <c r="M538" t="s">
        <v>139</v>
      </c>
      <c r="N538">
        <v>66201.3</v>
      </c>
      <c r="O538" t="s">
        <v>139</v>
      </c>
      <c r="P538" t="s">
        <v>139</v>
      </c>
      <c r="Q538" t="s">
        <v>139</v>
      </c>
      <c r="R538" t="s">
        <v>139</v>
      </c>
      <c r="S538" t="s">
        <v>139</v>
      </c>
      <c r="T538" t="s">
        <v>139</v>
      </c>
      <c r="U538">
        <v>371658.7</v>
      </c>
      <c r="V538" s="6" t="s">
        <v>139</v>
      </c>
      <c r="W538" t="s">
        <v>139</v>
      </c>
      <c r="X538" t="s">
        <v>139</v>
      </c>
      <c r="Y538" t="s">
        <v>139</v>
      </c>
      <c r="Z538">
        <v>192838.39999999999</v>
      </c>
      <c r="AA538" t="s">
        <v>139</v>
      </c>
      <c r="AB538" t="s">
        <v>139</v>
      </c>
      <c r="AC538" t="s">
        <v>139</v>
      </c>
      <c r="AD538">
        <v>224929.5</v>
      </c>
      <c r="AE538" t="s">
        <v>139</v>
      </c>
      <c r="AF538">
        <v>48870.3</v>
      </c>
      <c r="AG538">
        <v>214508.3</v>
      </c>
      <c r="AH538" s="9">
        <v>3300993.6</v>
      </c>
      <c r="AI538">
        <v>2397275.1</v>
      </c>
      <c r="AJ538">
        <v>458000.2</v>
      </c>
      <c r="AK538" t="s">
        <v>139</v>
      </c>
      <c r="AL538">
        <v>472418.8</v>
      </c>
      <c r="AM538" t="s">
        <v>139</v>
      </c>
      <c r="AN538">
        <v>176829.7</v>
      </c>
      <c r="AO538" s="9">
        <v>3078949.3</v>
      </c>
      <c r="AP538">
        <v>222044.3</v>
      </c>
      <c r="AQ538" t="s">
        <v>139</v>
      </c>
      <c r="AR538" t="s">
        <v>139</v>
      </c>
      <c r="AS538">
        <f t="shared" si="8"/>
        <v>2855275.3000000003</v>
      </c>
      <c r="AT538">
        <f t="shared" si="7"/>
        <v>1.1561034412338451</v>
      </c>
    </row>
    <row r="539" spans="1:46" x14ac:dyDescent="0.4">
      <c r="A539" s="3" t="s">
        <v>670</v>
      </c>
      <c r="B539">
        <v>2699556.5</v>
      </c>
      <c r="C539">
        <v>643797.69999999995</v>
      </c>
      <c r="D539">
        <v>480614.9</v>
      </c>
      <c r="E539" t="s">
        <v>139</v>
      </c>
      <c r="F539" t="s">
        <v>139</v>
      </c>
      <c r="G539">
        <v>163182.9</v>
      </c>
      <c r="H539" t="s">
        <v>139</v>
      </c>
      <c r="I539" t="s">
        <v>139</v>
      </c>
      <c r="J539">
        <v>2055758.8</v>
      </c>
      <c r="K539">
        <v>631258</v>
      </c>
      <c r="L539">
        <v>860641.8</v>
      </c>
      <c r="M539" t="s">
        <v>139</v>
      </c>
      <c r="N539">
        <v>66783.899999999994</v>
      </c>
      <c r="O539" t="s">
        <v>139</v>
      </c>
      <c r="P539" t="s">
        <v>139</v>
      </c>
      <c r="Q539" t="s">
        <v>139</v>
      </c>
      <c r="R539" t="s">
        <v>139</v>
      </c>
      <c r="S539" t="s">
        <v>139</v>
      </c>
      <c r="T539" t="s">
        <v>139</v>
      </c>
      <c r="U539">
        <v>371191.9</v>
      </c>
      <c r="V539" s="6" t="s">
        <v>139</v>
      </c>
      <c r="W539" t="s">
        <v>139</v>
      </c>
      <c r="X539" t="s">
        <v>139</v>
      </c>
      <c r="Y539" t="s">
        <v>139</v>
      </c>
      <c r="Z539">
        <v>192667.1</v>
      </c>
      <c r="AA539" t="s">
        <v>139</v>
      </c>
      <c r="AB539" t="s">
        <v>139</v>
      </c>
      <c r="AC539" t="s">
        <v>139</v>
      </c>
      <c r="AD539">
        <v>225362.1</v>
      </c>
      <c r="AE539" t="s">
        <v>139</v>
      </c>
      <c r="AF539">
        <v>44900.6</v>
      </c>
      <c r="AG539">
        <v>214688.1</v>
      </c>
      <c r="AH539" s="9">
        <v>3300948.9</v>
      </c>
      <c r="AI539">
        <v>2408937.9</v>
      </c>
      <c r="AJ539">
        <v>459399.7</v>
      </c>
      <c r="AK539" t="s">
        <v>139</v>
      </c>
      <c r="AL539">
        <v>465977.3</v>
      </c>
      <c r="AM539" t="s">
        <v>139</v>
      </c>
      <c r="AN539">
        <v>174486.9</v>
      </c>
      <c r="AO539" s="9">
        <v>3076968.9</v>
      </c>
      <c r="AP539">
        <v>223980</v>
      </c>
      <c r="AQ539" t="s">
        <v>139</v>
      </c>
      <c r="AR539" t="s">
        <v>139</v>
      </c>
      <c r="AS539">
        <f t="shared" si="8"/>
        <v>2868337.6</v>
      </c>
      <c r="AT539">
        <f t="shared" si="7"/>
        <v>1.1508230063295199</v>
      </c>
    </row>
    <row r="540" spans="1:46" x14ac:dyDescent="0.4">
      <c r="A540" s="3" t="s">
        <v>671</v>
      </c>
      <c r="B540">
        <v>2703010.6</v>
      </c>
      <c r="C540">
        <v>649102.5</v>
      </c>
      <c r="D540">
        <v>486654.1</v>
      </c>
      <c r="E540" t="s">
        <v>139</v>
      </c>
      <c r="F540" t="s">
        <v>139</v>
      </c>
      <c r="G540">
        <v>162448.5</v>
      </c>
      <c r="H540" t="s">
        <v>139</v>
      </c>
      <c r="I540" t="s">
        <v>139</v>
      </c>
      <c r="J540">
        <v>2053908.1</v>
      </c>
      <c r="K540">
        <v>627721.6</v>
      </c>
      <c r="L540">
        <v>862426</v>
      </c>
      <c r="M540" t="s">
        <v>139</v>
      </c>
      <c r="N540">
        <v>67299.3</v>
      </c>
      <c r="O540" t="s">
        <v>139</v>
      </c>
      <c r="P540" t="s">
        <v>139</v>
      </c>
      <c r="Q540" t="s">
        <v>139</v>
      </c>
      <c r="R540" t="s">
        <v>139</v>
      </c>
      <c r="S540" t="s">
        <v>139</v>
      </c>
      <c r="T540" t="s">
        <v>139</v>
      </c>
      <c r="U540">
        <v>370719.3</v>
      </c>
      <c r="V540" s="6" t="s">
        <v>139</v>
      </c>
      <c r="W540" t="s">
        <v>139</v>
      </c>
      <c r="X540" t="s">
        <v>139</v>
      </c>
      <c r="Y540" t="s">
        <v>139</v>
      </c>
      <c r="Z540">
        <v>193041.1</v>
      </c>
      <c r="AA540" t="s">
        <v>139</v>
      </c>
      <c r="AB540" t="s">
        <v>139</v>
      </c>
      <c r="AC540" t="s">
        <v>139</v>
      </c>
      <c r="AD540">
        <v>222972</v>
      </c>
      <c r="AE540" t="s">
        <v>139</v>
      </c>
      <c r="AF540">
        <v>42148.1</v>
      </c>
      <c r="AG540">
        <v>211784.8</v>
      </c>
      <c r="AH540" s="9">
        <v>3295058.6</v>
      </c>
      <c r="AI540">
        <v>2419746</v>
      </c>
      <c r="AJ540">
        <v>458226.3</v>
      </c>
      <c r="AK540" t="s">
        <v>139</v>
      </c>
      <c r="AL540">
        <v>457770.5</v>
      </c>
      <c r="AM540" t="s">
        <v>139</v>
      </c>
      <c r="AN540">
        <v>172129.5</v>
      </c>
      <c r="AO540" s="9">
        <v>3070886.2</v>
      </c>
      <c r="AP540">
        <v>224172.4</v>
      </c>
      <c r="AQ540" t="s">
        <v>139</v>
      </c>
      <c r="AR540" t="s">
        <v>139</v>
      </c>
      <c r="AS540">
        <f t="shared" si="8"/>
        <v>2877972.3</v>
      </c>
      <c r="AT540">
        <f t="shared" si="7"/>
        <v>1.1449236672639276</v>
      </c>
    </row>
    <row r="541" spans="1:46" x14ac:dyDescent="0.4">
      <c r="A541" s="3" t="s">
        <v>672</v>
      </c>
      <c r="B541">
        <v>2711387.4</v>
      </c>
      <c r="C541">
        <v>658548</v>
      </c>
      <c r="D541">
        <v>494406.1</v>
      </c>
      <c r="E541" t="s">
        <v>139</v>
      </c>
      <c r="F541" t="s">
        <v>139</v>
      </c>
      <c r="G541">
        <v>164141.9</v>
      </c>
      <c r="H541" t="s">
        <v>139</v>
      </c>
      <c r="I541" t="s">
        <v>139</v>
      </c>
      <c r="J541">
        <v>2052839.4</v>
      </c>
      <c r="K541">
        <v>626362.30000000005</v>
      </c>
      <c r="L541">
        <v>865853.4</v>
      </c>
      <c r="M541" t="s">
        <v>139</v>
      </c>
      <c r="N541">
        <v>68084</v>
      </c>
      <c r="O541" t="s">
        <v>139</v>
      </c>
      <c r="P541" t="s">
        <v>139</v>
      </c>
      <c r="Q541" t="s">
        <v>139</v>
      </c>
      <c r="R541" t="s">
        <v>139</v>
      </c>
      <c r="S541" t="s">
        <v>139</v>
      </c>
      <c r="T541" t="s">
        <v>139</v>
      </c>
      <c r="U541">
        <v>368886.6</v>
      </c>
      <c r="V541" s="6" t="s">
        <v>139</v>
      </c>
      <c r="W541" t="s">
        <v>139</v>
      </c>
      <c r="X541" t="s">
        <v>139</v>
      </c>
      <c r="Y541" t="s">
        <v>139</v>
      </c>
      <c r="Z541">
        <v>191737.1</v>
      </c>
      <c r="AA541" t="s">
        <v>139</v>
      </c>
      <c r="AB541" t="s">
        <v>139</v>
      </c>
      <c r="AC541" t="s">
        <v>139</v>
      </c>
      <c r="AD541">
        <v>222809.7</v>
      </c>
      <c r="AE541" t="s">
        <v>139</v>
      </c>
      <c r="AF541">
        <v>39306.9</v>
      </c>
      <c r="AG541">
        <v>212823.1</v>
      </c>
      <c r="AH541" s="9">
        <v>3302951.4</v>
      </c>
      <c r="AI541">
        <v>2429066.2000000002</v>
      </c>
      <c r="AJ541">
        <v>458358.7</v>
      </c>
      <c r="AK541" t="s">
        <v>139</v>
      </c>
      <c r="AL541">
        <v>453301.9</v>
      </c>
      <c r="AM541" t="s">
        <v>139</v>
      </c>
      <c r="AN541">
        <v>171851.3</v>
      </c>
      <c r="AO541" s="9">
        <v>3075968.2</v>
      </c>
      <c r="AP541">
        <v>226983.1</v>
      </c>
      <c r="AQ541" t="s">
        <v>139</v>
      </c>
      <c r="AR541" t="s">
        <v>139</v>
      </c>
      <c r="AS541">
        <f t="shared" si="8"/>
        <v>2887424.9000000004</v>
      </c>
      <c r="AT541">
        <f t="shared" si="7"/>
        <v>1.1439090242658776</v>
      </c>
    </row>
    <row r="542" spans="1:46" x14ac:dyDescent="0.4">
      <c r="A542" s="3" t="s">
        <v>673</v>
      </c>
      <c r="B542">
        <v>2711562.7</v>
      </c>
      <c r="C542">
        <v>667815.4</v>
      </c>
      <c r="D542">
        <v>504475.8</v>
      </c>
      <c r="E542" t="s">
        <v>139</v>
      </c>
      <c r="F542" t="s">
        <v>139</v>
      </c>
      <c r="G542">
        <v>163339.5</v>
      </c>
      <c r="H542" t="s">
        <v>139</v>
      </c>
      <c r="I542" t="s">
        <v>139</v>
      </c>
      <c r="J542">
        <v>2043747.4</v>
      </c>
      <c r="K542">
        <v>623212.9</v>
      </c>
      <c r="L542">
        <v>864412.1</v>
      </c>
      <c r="M542" t="s">
        <v>139</v>
      </c>
      <c r="N542">
        <v>68481.7</v>
      </c>
      <c r="O542" t="s">
        <v>139</v>
      </c>
      <c r="P542" t="s">
        <v>139</v>
      </c>
      <c r="Q542" t="s">
        <v>139</v>
      </c>
      <c r="R542" t="s">
        <v>139</v>
      </c>
      <c r="S542" t="s">
        <v>139</v>
      </c>
      <c r="T542" t="s">
        <v>139</v>
      </c>
      <c r="U542">
        <v>366287.1</v>
      </c>
      <c r="V542" s="6" t="s">
        <v>139</v>
      </c>
      <c r="W542" t="s">
        <v>139</v>
      </c>
      <c r="X542" t="s">
        <v>139</v>
      </c>
      <c r="Y542" t="s">
        <v>139</v>
      </c>
      <c r="Z542">
        <v>189835.2</v>
      </c>
      <c r="AA542" t="s">
        <v>139</v>
      </c>
      <c r="AB542" t="s">
        <v>139</v>
      </c>
      <c r="AC542" t="s">
        <v>139</v>
      </c>
      <c r="AD542">
        <v>220522.9</v>
      </c>
      <c r="AE542" t="s">
        <v>139</v>
      </c>
      <c r="AF542">
        <v>38091.4</v>
      </c>
      <c r="AG542">
        <v>213809</v>
      </c>
      <c r="AH542" s="9">
        <v>3299028.1</v>
      </c>
      <c r="AI542">
        <v>2436376</v>
      </c>
      <c r="AJ542">
        <v>456482.3</v>
      </c>
      <c r="AK542" t="s">
        <v>139</v>
      </c>
      <c r="AL542">
        <v>447310.2</v>
      </c>
      <c r="AM542" t="s">
        <v>139</v>
      </c>
      <c r="AN542">
        <v>165287.79999999999</v>
      </c>
      <c r="AO542" s="9">
        <v>3069408.8</v>
      </c>
      <c r="AP542">
        <v>229619.3</v>
      </c>
      <c r="AQ542" t="s">
        <v>139</v>
      </c>
      <c r="AR542" t="s">
        <v>139</v>
      </c>
      <c r="AS542">
        <f t="shared" si="8"/>
        <v>2892858.3</v>
      </c>
      <c r="AT542">
        <f t="shared" si="7"/>
        <v>1.1404043191469144</v>
      </c>
    </row>
    <row r="543" spans="1:46" x14ac:dyDescent="0.4">
      <c r="A543" s="3" t="s">
        <v>674</v>
      </c>
      <c r="B543">
        <v>2710796.6</v>
      </c>
      <c r="C543">
        <v>674608.3</v>
      </c>
      <c r="D543">
        <v>512532</v>
      </c>
      <c r="E543" t="s">
        <v>139</v>
      </c>
      <c r="F543" t="s">
        <v>139</v>
      </c>
      <c r="G543">
        <v>162076.29999999999</v>
      </c>
      <c r="H543" t="s">
        <v>139</v>
      </c>
      <c r="I543" t="s">
        <v>139</v>
      </c>
      <c r="J543">
        <v>2036188.3</v>
      </c>
      <c r="K543">
        <v>618390.69999999995</v>
      </c>
      <c r="L543">
        <v>863635.5</v>
      </c>
      <c r="M543" t="s">
        <v>139</v>
      </c>
      <c r="N543">
        <v>68981.8</v>
      </c>
      <c r="O543" t="s">
        <v>139</v>
      </c>
      <c r="P543" t="s">
        <v>139</v>
      </c>
      <c r="Q543" t="s">
        <v>139</v>
      </c>
      <c r="R543" t="s">
        <v>139</v>
      </c>
      <c r="S543" t="s">
        <v>139</v>
      </c>
      <c r="T543" t="s">
        <v>139</v>
      </c>
      <c r="U543">
        <v>365416.9</v>
      </c>
      <c r="V543" s="6" t="s">
        <v>139</v>
      </c>
      <c r="W543" t="s">
        <v>139</v>
      </c>
      <c r="X543" t="s">
        <v>139</v>
      </c>
      <c r="Y543" t="s">
        <v>139</v>
      </c>
      <c r="Z543">
        <v>188745.1</v>
      </c>
      <c r="AA543" t="s">
        <v>139</v>
      </c>
      <c r="AB543" t="s">
        <v>139</v>
      </c>
      <c r="AC543" t="s">
        <v>139</v>
      </c>
      <c r="AD543">
        <v>225014</v>
      </c>
      <c r="AE543" t="s">
        <v>139</v>
      </c>
      <c r="AF543">
        <v>38680.800000000003</v>
      </c>
      <c r="AG543">
        <v>214506</v>
      </c>
      <c r="AH543" s="9">
        <v>3308883.1</v>
      </c>
      <c r="AI543">
        <v>2450754.7999999998</v>
      </c>
      <c r="AJ543">
        <v>454857.1</v>
      </c>
      <c r="AK543" t="s">
        <v>139</v>
      </c>
      <c r="AL543">
        <v>449717.5</v>
      </c>
      <c r="AM543" t="s">
        <v>139</v>
      </c>
      <c r="AN543">
        <v>160275.9</v>
      </c>
      <c r="AO543" s="9">
        <v>3078759.9</v>
      </c>
      <c r="AP543">
        <v>230123.1</v>
      </c>
      <c r="AQ543" t="s">
        <v>139</v>
      </c>
      <c r="AR543" t="s">
        <v>139</v>
      </c>
      <c r="AS543">
        <f t="shared" si="8"/>
        <v>2905611.9</v>
      </c>
      <c r="AT543">
        <f t="shared" si="7"/>
        <v>1.1387904558072606</v>
      </c>
    </row>
    <row r="544" spans="1:46" x14ac:dyDescent="0.4">
      <c r="A544" s="3" t="s">
        <v>675</v>
      </c>
      <c r="B544">
        <v>2722147.7</v>
      </c>
      <c r="C544">
        <v>686013.1</v>
      </c>
      <c r="D544">
        <v>523901</v>
      </c>
      <c r="E544" t="s">
        <v>139</v>
      </c>
      <c r="F544" t="s">
        <v>139</v>
      </c>
      <c r="G544">
        <v>162112.1</v>
      </c>
      <c r="H544" t="s">
        <v>139</v>
      </c>
      <c r="I544" t="s">
        <v>139</v>
      </c>
      <c r="J544">
        <v>2036134.6</v>
      </c>
      <c r="K544">
        <v>620551.19999999995</v>
      </c>
      <c r="L544">
        <v>864279.7</v>
      </c>
      <c r="M544" t="s">
        <v>139</v>
      </c>
      <c r="N544">
        <v>69675.7</v>
      </c>
      <c r="O544" t="s">
        <v>139</v>
      </c>
      <c r="P544" t="s">
        <v>139</v>
      </c>
      <c r="Q544" t="s">
        <v>139</v>
      </c>
      <c r="R544" t="s">
        <v>139</v>
      </c>
      <c r="S544" t="s">
        <v>139</v>
      </c>
      <c r="T544" t="s">
        <v>139</v>
      </c>
      <c r="U544">
        <v>364426.2</v>
      </c>
      <c r="V544" s="6" t="s">
        <v>139</v>
      </c>
      <c r="W544" t="s">
        <v>139</v>
      </c>
      <c r="X544" t="s">
        <v>139</v>
      </c>
      <c r="Y544" t="s">
        <v>139</v>
      </c>
      <c r="Z544">
        <v>186877.5</v>
      </c>
      <c r="AA544" t="s">
        <v>139</v>
      </c>
      <c r="AB544" t="s">
        <v>139</v>
      </c>
      <c r="AC544" t="s">
        <v>139</v>
      </c>
      <c r="AD544">
        <v>224707.3</v>
      </c>
      <c r="AE544" t="s">
        <v>139</v>
      </c>
      <c r="AF544">
        <v>39531.699999999997</v>
      </c>
      <c r="AG544">
        <v>217909.8</v>
      </c>
      <c r="AH544" s="9">
        <v>3325087.7</v>
      </c>
      <c r="AI544">
        <v>2454040.6</v>
      </c>
      <c r="AJ544">
        <v>452822</v>
      </c>
      <c r="AK544" t="s">
        <v>139</v>
      </c>
      <c r="AL544">
        <v>453633.7</v>
      </c>
      <c r="AM544" t="s">
        <v>139</v>
      </c>
      <c r="AN544">
        <v>158809</v>
      </c>
      <c r="AO544" s="9">
        <v>3087269.4</v>
      </c>
      <c r="AP544">
        <v>237818.3</v>
      </c>
      <c r="AQ544" t="s">
        <v>139</v>
      </c>
      <c r="AR544" t="s">
        <v>139</v>
      </c>
      <c r="AS544">
        <f t="shared" si="8"/>
        <v>2906862.6</v>
      </c>
      <c r="AT544">
        <f t="shared" si="7"/>
        <v>1.1438750837414882</v>
      </c>
    </row>
    <row r="545" spans="1:46" x14ac:dyDescent="0.4">
      <c r="A545" s="3" t="s">
        <v>676</v>
      </c>
      <c r="B545">
        <v>2738613.7</v>
      </c>
      <c r="C545">
        <v>700956.4</v>
      </c>
      <c r="D545">
        <v>538436.4</v>
      </c>
      <c r="E545" t="s">
        <v>139</v>
      </c>
      <c r="F545" t="s">
        <v>139</v>
      </c>
      <c r="G545">
        <v>162520</v>
      </c>
      <c r="H545" t="s">
        <v>139</v>
      </c>
      <c r="I545" t="s">
        <v>139</v>
      </c>
      <c r="J545">
        <v>2037657.3</v>
      </c>
      <c r="K545">
        <v>620961</v>
      </c>
      <c r="L545">
        <v>865802.8</v>
      </c>
      <c r="M545" t="s">
        <v>139</v>
      </c>
      <c r="N545">
        <v>70472.600000000006</v>
      </c>
      <c r="O545" t="s">
        <v>139</v>
      </c>
      <c r="P545" t="s">
        <v>139</v>
      </c>
      <c r="Q545" t="s">
        <v>139</v>
      </c>
      <c r="R545" t="s">
        <v>139</v>
      </c>
      <c r="S545" t="s">
        <v>139</v>
      </c>
      <c r="T545" t="s">
        <v>139</v>
      </c>
      <c r="U545">
        <v>362143.3</v>
      </c>
      <c r="V545" s="6" t="s">
        <v>139</v>
      </c>
      <c r="W545" t="s">
        <v>139</v>
      </c>
      <c r="X545" t="s">
        <v>139</v>
      </c>
      <c r="Y545" t="s">
        <v>139</v>
      </c>
      <c r="Z545">
        <v>188750.1</v>
      </c>
      <c r="AA545" t="s">
        <v>139</v>
      </c>
      <c r="AB545" t="s">
        <v>139</v>
      </c>
      <c r="AC545" t="s">
        <v>139</v>
      </c>
      <c r="AD545">
        <v>222784.9</v>
      </c>
      <c r="AE545" t="s">
        <v>139</v>
      </c>
      <c r="AF545">
        <v>36451.199999999997</v>
      </c>
      <c r="AG545">
        <v>222734.9</v>
      </c>
      <c r="AH545" s="9">
        <v>3341787.5</v>
      </c>
      <c r="AI545">
        <v>2453161.2999999998</v>
      </c>
      <c r="AJ545">
        <v>443524.7</v>
      </c>
      <c r="AK545" t="s">
        <v>139</v>
      </c>
      <c r="AL545">
        <v>460793.2</v>
      </c>
      <c r="AM545" t="s">
        <v>139</v>
      </c>
      <c r="AN545">
        <v>160608.29999999999</v>
      </c>
      <c r="AO545" s="9">
        <v>3106640.9</v>
      </c>
      <c r="AP545">
        <v>235146.6</v>
      </c>
      <c r="AQ545" t="s">
        <v>139</v>
      </c>
      <c r="AR545" t="s">
        <v>139</v>
      </c>
      <c r="AS545">
        <f t="shared" si="8"/>
        <v>2896686</v>
      </c>
      <c r="AT545">
        <f t="shared" si="7"/>
        <v>1.1536588708613913</v>
      </c>
    </row>
    <row r="546" spans="1:46" x14ac:dyDescent="0.4">
      <c r="A546" s="3" t="s">
        <v>677</v>
      </c>
      <c r="B546">
        <v>2754068.5</v>
      </c>
      <c r="C546">
        <v>714655.1</v>
      </c>
      <c r="D546">
        <v>551971.4</v>
      </c>
      <c r="E546" t="s">
        <v>139</v>
      </c>
      <c r="F546" t="s">
        <v>139</v>
      </c>
      <c r="G546">
        <v>162683.70000000001</v>
      </c>
      <c r="H546" t="s">
        <v>139</v>
      </c>
      <c r="I546" t="s">
        <v>139</v>
      </c>
      <c r="J546">
        <v>2039413.4</v>
      </c>
      <c r="K546">
        <v>618423.6</v>
      </c>
      <c r="L546">
        <v>867160.1</v>
      </c>
      <c r="M546" t="s">
        <v>139</v>
      </c>
      <c r="N546">
        <v>71179</v>
      </c>
      <c r="O546" t="s">
        <v>139</v>
      </c>
      <c r="P546" t="s">
        <v>139</v>
      </c>
      <c r="Q546" t="s">
        <v>139</v>
      </c>
      <c r="R546" t="s">
        <v>139</v>
      </c>
      <c r="S546" t="s">
        <v>139</v>
      </c>
      <c r="T546" t="s">
        <v>139</v>
      </c>
      <c r="U546">
        <v>362024</v>
      </c>
      <c r="V546" s="6" t="s">
        <v>139</v>
      </c>
      <c r="W546" t="s">
        <v>139</v>
      </c>
      <c r="X546" t="s">
        <v>139</v>
      </c>
      <c r="Y546" t="s">
        <v>139</v>
      </c>
      <c r="Z546">
        <v>191805.6</v>
      </c>
      <c r="AA546" t="s">
        <v>139</v>
      </c>
      <c r="AB546" t="s">
        <v>139</v>
      </c>
      <c r="AC546" t="s">
        <v>139</v>
      </c>
      <c r="AD546">
        <v>227290.7</v>
      </c>
      <c r="AE546" t="s">
        <v>139</v>
      </c>
      <c r="AF546">
        <v>36820.800000000003</v>
      </c>
      <c r="AG546">
        <v>224655.4</v>
      </c>
      <c r="AH546" s="9">
        <v>3364631.8</v>
      </c>
      <c r="AI546">
        <v>2468574.1</v>
      </c>
      <c r="AJ546">
        <v>442882</v>
      </c>
      <c r="AK546" t="s">
        <v>139</v>
      </c>
      <c r="AL546">
        <v>462751.3</v>
      </c>
      <c r="AM546" t="s">
        <v>139</v>
      </c>
      <c r="AN546">
        <v>160199.6</v>
      </c>
      <c r="AO546" s="9">
        <v>3128953.5</v>
      </c>
      <c r="AP546">
        <v>235678.3</v>
      </c>
      <c r="AQ546" t="s">
        <v>139</v>
      </c>
      <c r="AR546" t="s">
        <v>139</v>
      </c>
      <c r="AS546">
        <f t="shared" si="8"/>
        <v>2911456.1</v>
      </c>
      <c r="AT546">
        <f t="shared" si="7"/>
        <v>1.1556525959639232</v>
      </c>
    </row>
    <row r="547" spans="1:46" x14ac:dyDescent="0.4">
      <c r="A547" s="3" t="s">
        <v>678</v>
      </c>
      <c r="B547">
        <v>2769847.7</v>
      </c>
      <c r="C547">
        <v>726458.3</v>
      </c>
      <c r="D547">
        <v>563177.4</v>
      </c>
      <c r="E547" t="s">
        <v>139</v>
      </c>
      <c r="F547" t="s">
        <v>139</v>
      </c>
      <c r="G547">
        <v>163280.9</v>
      </c>
      <c r="H547" t="s">
        <v>139</v>
      </c>
      <c r="I547" t="s">
        <v>139</v>
      </c>
      <c r="J547">
        <v>2043389.4</v>
      </c>
      <c r="K547">
        <v>618398.6</v>
      </c>
      <c r="L547">
        <v>868176</v>
      </c>
      <c r="M547" t="s">
        <v>139</v>
      </c>
      <c r="N547">
        <v>71948.100000000006</v>
      </c>
      <c r="O547" t="s">
        <v>139</v>
      </c>
      <c r="P547" t="s">
        <v>139</v>
      </c>
      <c r="Q547" t="s">
        <v>139</v>
      </c>
      <c r="R547" t="s">
        <v>139</v>
      </c>
      <c r="S547" t="s">
        <v>139</v>
      </c>
      <c r="T547" t="s">
        <v>139</v>
      </c>
      <c r="U547">
        <v>363121.5</v>
      </c>
      <c r="V547" s="6" t="s">
        <v>139</v>
      </c>
      <c r="W547" t="s">
        <v>139</v>
      </c>
      <c r="X547" t="s">
        <v>139</v>
      </c>
      <c r="Y547" t="s">
        <v>139</v>
      </c>
      <c r="Z547">
        <v>193693.4</v>
      </c>
      <c r="AA547" t="s">
        <v>139</v>
      </c>
      <c r="AB547" t="s">
        <v>139</v>
      </c>
      <c r="AC547" t="s">
        <v>139</v>
      </c>
      <c r="AD547">
        <v>224900.6</v>
      </c>
      <c r="AE547" t="s">
        <v>139</v>
      </c>
      <c r="AF547">
        <v>36717.5</v>
      </c>
      <c r="AG547">
        <v>221143.9</v>
      </c>
      <c r="AH547" s="9">
        <v>3372349.4</v>
      </c>
      <c r="AI547">
        <v>2466190.2999999998</v>
      </c>
      <c r="AJ547">
        <v>440335</v>
      </c>
      <c r="AK547" t="s">
        <v>139</v>
      </c>
      <c r="AL547">
        <v>465850.7</v>
      </c>
      <c r="AM547" t="s">
        <v>139</v>
      </c>
      <c r="AN547">
        <v>164226.1</v>
      </c>
      <c r="AO547" s="9">
        <v>3134117.4</v>
      </c>
      <c r="AP547">
        <v>238232</v>
      </c>
      <c r="AQ547" t="s">
        <v>139</v>
      </c>
      <c r="AR547" t="s">
        <v>139</v>
      </c>
      <c r="AS547">
        <f t="shared" si="8"/>
        <v>2906525.3</v>
      </c>
      <c r="AT547">
        <f t="shared" si="7"/>
        <v>1.1602683795664879</v>
      </c>
    </row>
    <row r="548" spans="1:46" x14ac:dyDescent="0.4">
      <c r="A548" s="3" t="s">
        <v>679</v>
      </c>
      <c r="B548">
        <v>2778101</v>
      </c>
      <c r="C548">
        <v>736097.3</v>
      </c>
      <c r="D548">
        <v>572257.5</v>
      </c>
      <c r="E548" t="s">
        <v>139</v>
      </c>
      <c r="F548" t="s">
        <v>139</v>
      </c>
      <c r="G548">
        <v>163839.79999999999</v>
      </c>
      <c r="H548" t="s">
        <v>139</v>
      </c>
      <c r="I548" t="s">
        <v>139</v>
      </c>
      <c r="J548">
        <v>2042003.7</v>
      </c>
      <c r="K548">
        <v>613604</v>
      </c>
      <c r="L548">
        <v>870989.6</v>
      </c>
      <c r="M548" t="s">
        <v>139</v>
      </c>
      <c r="N548">
        <v>72271.7</v>
      </c>
      <c r="O548" t="s">
        <v>139</v>
      </c>
      <c r="P548" t="s">
        <v>139</v>
      </c>
      <c r="Q548" t="s">
        <v>139</v>
      </c>
      <c r="R548" t="s">
        <v>139</v>
      </c>
      <c r="S548" t="s">
        <v>139</v>
      </c>
      <c r="T548" t="s">
        <v>139</v>
      </c>
      <c r="U548">
        <v>363052.9</v>
      </c>
      <c r="V548" s="6" t="s">
        <v>139</v>
      </c>
      <c r="W548" t="s">
        <v>139</v>
      </c>
      <c r="X548" t="s">
        <v>139</v>
      </c>
      <c r="Y548" t="s">
        <v>139</v>
      </c>
      <c r="Z548">
        <v>194357.2</v>
      </c>
      <c r="AA548" t="s">
        <v>139</v>
      </c>
      <c r="AB548" t="s">
        <v>139</v>
      </c>
      <c r="AC548" t="s">
        <v>139</v>
      </c>
      <c r="AD548">
        <v>220286.6</v>
      </c>
      <c r="AE548" t="s">
        <v>139</v>
      </c>
      <c r="AF548">
        <v>38011.699999999997</v>
      </c>
      <c r="AG548">
        <v>211774.5</v>
      </c>
      <c r="AH548" s="9">
        <v>3388171.1</v>
      </c>
      <c r="AI548">
        <v>2478475.4</v>
      </c>
      <c r="AJ548">
        <v>436108.79999999999</v>
      </c>
      <c r="AK548" t="s">
        <v>139</v>
      </c>
      <c r="AL548">
        <v>478000.6</v>
      </c>
      <c r="AM548" t="s">
        <v>139</v>
      </c>
      <c r="AN548">
        <v>163262</v>
      </c>
      <c r="AO548" s="9">
        <v>3156041</v>
      </c>
      <c r="AP548">
        <v>232130.1</v>
      </c>
      <c r="AQ548" t="s">
        <v>139</v>
      </c>
      <c r="AR548" t="s">
        <v>139</v>
      </c>
      <c r="AS548">
        <f t="shared" si="8"/>
        <v>2914584.1999999997</v>
      </c>
      <c r="AT548">
        <f t="shared" si="7"/>
        <v>1.1624886664794245</v>
      </c>
    </row>
    <row r="549" spans="1:46" x14ac:dyDescent="0.4">
      <c r="A549" s="3" t="s">
        <v>680</v>
      </c>
      <c r="B549">
        <v>2783308.9</v>
      </c>
      <c r="C549">
        <v>744279.6</v>
      </c>
      <c r="D549">
        <v>580779.9</v>
      </c>
      <c r="E549" t="s">
        <v>139</v>
      </c>
      <c r="F549" t="s">
        <v>139</v>
      </c>
      <c r="G549">
        <v>163499.70000000001</v>
      </c>
      <c r="H549" t="s">
        <v>139</v>
      </c>
      <c r="I549" t="s">
        <v>139</v>
      </c>
      <c r="J549">
        <v>2039029.3</v>
      </c>
      <c r="K549">
        <v>609760.69999999995</v>
      </c>
      <c r="L549">
        <v>873463.1</v>
      </c>
      <c r="M549" t="s">
        <v>139</v>
      </c>
      <c r="N549">
        <v>72339.600000000006</v>
      </c>
      <c r="O549" t="s">
        <v>139</v>
      </c>
      <c r="P549" t="s">
        <v>139</v>
      </c>
      <c r="Q549" t="s">
        <v>139</v>
      </c>
      <c r="R549" t="s">
        <v>139</v>
      </c>
      <c r="S549" t="s">
        <v>139</v>
      </c>
      <c r="T549" t="s">
        <v>139</v>
      </c>
      <c r="U549">
        <v>361559.3</v>
      </c>
      <c r="V549" s="6" t="s">
        <v>139</v>
      </c>
      <c r="W549" t="s">
        <v>139</v>
      </c>
      <c r="X549" t="s">
        <v>139</v>
      </c>
      <c r="Y549" t="s">
        <v>139</v>
      </c>
      <c r="Z549">
        <v>194246.2</v>
      </c>
      <c r="AA549" t="s">
        <v>139</v>
      </c>
      <c r="AB549" t="s">
        <v>139</v>
      </c>
      <c r="AC549" t="s">
        <v>139</v>
      </c>
      <c r="AD549">
        <v>225692.79999999999</v>
      </c>
      <c r="AE549" t="s">
        <v>139</v>
      </c>
      <c r="AF549">
        <v>37394.9</v>
      </c>
      <c r="AG549">
        <v>206072.3</v>
      </c>
      <c r="AH549" s="9">
        <v>3396857</v>
      </c>
      <c r="AI549">
        <v>2485359.9</v>
      </c>
      <c r="AJ549">
        <v>428878.2</v>
      </c>
      <c r="AK549" t="s">
        <v>139</v>
      </c>
      <c r="AL549">
        <v>479466.1</v>
      </c>
      <c r="AM549" t="s">
        <v>139</v>
      </c>
      <c r="AN549">
        <v>157700.29999999999</v>
      </c>
      <c r="AO549" s="9">
        <v>3157174.2</v>
      </c>
      <c r="AP549">
        <v>239682.8</v>
      </c>
      <c r="AQ549" t="s">
        <v>139</v>
      </c>
      <c r="AR549" t="s">
        <v>139</v>
      </c>
      <c r="AS549">
        <f t="shared" si="8"/>
        <v>2914238.1</v>
      </c>
      <c r="AT549">
        <f t="shared" si="7"/>
        <v>1.165607230239698</v>
      </c>
    </row>
    <row r="550" spans="1:46" x14ac:dyDescent="0.4">
      <c r="A550" s="3" t="s">
        <v>681</v>
      </c>
      <c r="B550">
        <v>2788560.8</v>
      </c>
      <c r="C550">
        <v>749772.4</v>
      </c>
      <c r="D550">
        <v>587527.5</v>
      </c>
      <c r="E550" t="s">
        <v>139</v>
      </c>
      <c r="F550" t="s">
        <v>139</v>
      </c>
      <c r="G550">
        <v>162244.9</v>
      </c>
      <c r="H550" t="s">
        <v>139</v>
      </c>
      <c r="I550" t="s">
        <v>139</v>
      </c>
      <c r="J550">
        <v>2038788.5</v>
      </c>
      <c r="K550">
        <v>607378.80000000005</v>
      </c>
      <c r="L550">
        <v>874712.2</v>
      </c>
      <c r="M550" t="s">
        <v>139</v>
      </c>
      <c r="N550">
        <v>72450.8</v>
      </c>
      <c r="O550" t="s">
        <v>139</v>
      </c>
      <c r="P550" t="s">
        <v>139</v>
      </c>
      <c r="Q550" t="s">
        <v>139</v>
      </c>
      <c r="R550" t="s">
        <v>139</v>
      </c>
      <c r="S550" t="s">
        <v>139</v>
      </c>
      <c r="T550" t="s">
        <v>139</v>
      </c>
      <c r="U550">
        <v>359886.2</v>
      </c>
      <c r="V550" s="6" t="s">
        <v>139</v>
      </c>
      <c r="W550" t="s">
        <v>139</v>
      </c>
      <c r="X550" t="s">
        <v>139</v>
      </c>
      <c r="Y550" t="s">
        <v>139</v>
      </c>
      <c r="Z550">
        <v>196811.3</v>
      </c>
      <c r="AA550" t="s">
        <v>139</v>
      </c>
      <c r="AB550" t="s">
        <v>139</v>
      </c>
      <c r="AC550" t="s">
        <v>139</v>
      </c>
      <c r="AD550">
        <v>233229.6</v>
      </c>
      <c r="AE550" t="s">
        <v>139</v>
      </c>
      <c r="AF550">
        <v>37229.4</v>
      </c>
      <c r="AG550">
        <v>203637.8</v>
      </c>
      <c r="AH550" s="9">
        <v>3403026.7</v>
      </c>
      <c r="AI550">
        <v>2499143</v>
      </c>
      <c r="AJ550">
        <v>421938.9</v>
      </c>
      <c r="AK550" t="s">
        <v>139</v>
      </c>
      <c r="AL550">
        <v>474765.8</v>
      </c>
      <c r="AM550" t="s">
        <v>139</v>
      </c>
      <c r="AN550">
        <v>155923.79999999999</v>
      </c>
      <c r="AO550" s="9">
        <v>3165126.6</v>
      </c>
      <c r="AP550">
        <v>237900.2</v>
      </c>
      <c r="AQ550" t="s">
        <v>139</v>
      </c>
      <c r="AR550" t="s">
        <v>139</v>
      </c>
      <c r="AS550">
        <f t="shared" si="8"/>
        <v>2921081.9</v>
      </c>
      <c r="AT550">
        <f t="shared" si="7"/>
        <v>1.1649884585570847</v>
      </c>
    </row>
    <row r="551" spans="1:46" x14ac:dyDescent="0.4">
      <c r="A551" s="3" t="s">
        <v>682</v>
      </c>
      <c r="B551">
        <v>2795727</v>
      </c>
      <c r="C551">
        <v>755943</v>
      </c>
      <c r="D551">
        <v>594225</v>
      </c>
      <c r="E551" t="s">
        <v>139</v>
      </c>
      <c r="F551" t="s">
        <v>139</v>
      </c>
      <c r="G551">
        <v>161718</v>
      </c>
      <c r="H551" t="s">
        <v>139</v>
      </c>
      <c r="I551" t="s">
        <v>139</v>
      </c>
      <c r="J551">
        <v>2039784</v>
      </c>
      <c r="K551">
        <v>604375.80000000005</v>
      </c>
      <c r="L551">
        <v>881183.8</v>
      </c>
      <c r="M551" t="s">
        <v>139</v>
      </c>
      <c r="N551">
        <v>72900.899999999994</v>
      </c>
      <c r="O551" t="s">
        <v>139</v>
      </c>
      <c r="P551" t="s">
        <v>139</v>
      </c>
      <c r="Q551" t="s">
        <v>139</v>
      </c>
      <c r="R551" t="s">
        <v>139</v>
      </c>
      <c r="S551" t="s">
        <v>139</v>
      </c>
      <c r="T551" t="s">
        <v>139</v>
      </c>
      <c r="U551">
        <v>359068.5</v>
      </c>
      <c r="V551" s="6" t="s">
        <v>139</v>
      </c>
      <c r="W551" t="s">
        <v>139</v>
      </c>
      <c r="X551" t="s">
        <v>139</v>
      </c>
      <c r="Y551" t="s">
        <v>139</v>
      </c>
      <c r="Z551">
        <v>195155.9</v>
      </c>
      <c r="AA551" t="s">
        <v>139</v>
      </c>
      <c r="AB551" t="s">
        <v>139</v>
      </c>
      <c r="AC551" t="s">
        <v>139</v>
      </c>
      <c r="AD551">
        <v>225563.4</v>
      </c>
      <c r="AE551" t="s">
        <v>139</v>
      </c>
      <c r="AF551">
        <v>38976.6</v>
      </c>
      <c r="AG551">
        <v>206137.2</v>
      </c>
      <c r="AH551" s="9">
        <v>3407150.1</v>
      </c>
      <c r="AI551">
        <v>2490649.4</v>
      </c>
      <c r="AJ551">
        <v>413403.7</v>
      </c>
      <c r="AK551" t="s">
        <v>139</v>
      </c>
      <c r="AL551">
        <v>469782.5</v>
      </c>
      <c r="AM551" t="s">
        <v>139</v>
      </c>
      <c r="AN551">
        <v>159589.1</v>
      </c>
      <c r="AO551" s="9">
        <v>3164291.2</v>
      </c>
      <c r="AP551">
        <v>242858.9</v>
      </c>
      <c r="AQ551" t="s">
        <v>139</v>
      </c>
      <c r="AR551" t="s">
        <v>139</v>
      </c>
      <c r="AS551">
        <f t="shared" si="8"/>
        <v>2904053.1</v>
      </c>
      <c r="AT551">
        <f t="shared" si="7"/>
        <v>1.173239600887463</v>
      </c>
    </row>
    <row r="552" spans="1:46" x14ac:dyDescent="0.4">
      <c r="A552" s="3" t="s">
        <v>683</v>
      </c>
      <c r="B552">
        <v>2801816.9</v>
      </c>
      <c r="C552">
        <v>765682.7</v>
      </c>
      <c r="D552">
        <v>603799.80000000005</v>
      </c>
      <c r="E552" t="s">
        <v>139</v>
      </c>
      <c r="F552" t="s">
        <v>139</v>
      </c>
      <c r="G552">
        <v>161882.9</v>
      </c>
      <c r="H552" t="s">
        <v>139</v>
      </c>
      <c r="I552" t="s">
        <v>139</v>
      </c>
      <c r="J552">
        <v>2036134.2</v>
      </c>
      <c r="K552">
        <v>602183.80000000005</v>
      </c>
      <c r="L552">
        <v>881748.6</v>
      </c>
      <c r="M552" t="s">
        <v>139</v>
      </c>
      <c r="N552">
        <v>73284.5</v>
      </c>
      <c r="O552" t="s">
        <v>139</v>
      </c>
      <c r="P552" t="s">
        <v>139</v>
      </c>
      <c r="Q552" t="s">
        <v>139</v>
      </c>
      <c r="R552" t="s">
        <v>139</v>
      </c>
      <c r="S552" t="s">
        <v>139</v>
      </c>
      <c r="T552" t="s">
        <v>139</v>
      </c>
      <c r="U552">
        <v>357334.6</v>
      </c>
      <c r="V552" s="6" t="s">
        <v>139</v>
      </c>
      <c r="W552" t="s">
        <v>139</v>
      </c>
      <c r="X552" t="s">
        <v>139</v>
      </c>
      <c r="Y552" t="s">
        <v>139</v>
      </c>
      <c r="Z552">
        <v>194867.20000000001</v>
      </c>
      <c r="AA552" t="s">
        <v>139</v>
      </c>
      <c r="AB552" t="s">
        <v>139</v>
      </c>
      <c r="AC552" t="s">
        <v>139</v>
      </c>
      <c r="AD552">
        <v>218209.1</v>
      </c>
      <c r="AE552" t="s">
        <v>139</v>
      </c>
      <c r="AF552">
        <v>37850.400000000001</v>
      </c>
      <c r="AG552">
        <v>207999</v>
      </c>
      <c r="AH552" s="9">
        <v>3398732.6</v>
      </c>
      <c r="AI552">
        <v>2483020.7000000002</v>
      </c>
      <c r="AJ552">
        <v>408439</v>
      </c>
      <c r="AK552" t="s">
        <v>139</v>
      </c>
      <c r="AL552">
        <v>461528.2</v>
      </c>
      <c r="AM552" t="s">
        <v>139</v>
      </c>
      <c r="AN552">
        <v>160157.4</v>
      </c>
      <c r="AO552" s="9">
        <v>3156514</v>
      </c>
      <c r="AP552">
        <v>242218.5</v>
      </c>
      <c r="AQ552" t="s">
        <v>139</v>
      </c>
      <c r="AR552" t="s">
        <v>139</v>
      </c>
      <c r="AS552">
        <f t="shared" si="8"/>
        <v>2891459.7</v>
      </c>
      <c r="AT552">
        <f t="shared" si="7"/>
        <v>1.1754383434775175</v>
      </c>
    </row>
    <row r="553" spans="1:46" x14ac:dyDescent="0.4">
      <c r="A553" s="3" t="s">
        <v>684</v>
      </c>
      <c r="B553">
        <v>2805832.9</v>
      </c>
      <c r="C553">
        <v>774523.4</v>
      </c>
      <c r="D553">
        <v>612889.9</v>
      </c>
      <c r="E553" t="s">
        <v>139</v>
      </c>
      <c r="F553" t="s">
        <v>139</v>
      </c>
      <c r="G553">
        <v>161633.5</v>
      </c>
      <c r="H553" t="s">
        <v>139</v>
      </c>
      <c r="I553" t="s">
        <v>139</v>
      </c>
      <c r="J553">
        <v>2031309.5</v>
      </c>
      <c r="K553">
        <v>601040.80000000005</v>
      </c>
      <c r="L553">
        <v>879372.9</v>
      </c>
      <c r="M553" t="s">
        <v>139</v>
      </c>
      <c r="N553">
        <v>73544.100000000006</v>
      </c>
      <c r="O553" t="s">
        <v>139</v>
      </c>
      <c r="P553" t="s">
        <v>139</v>
      </c>
      <c r="Q553" t="s">
        <v>139</v>
      </c>
      <c r="R553" t="s">
        <v>139</v>
      </c>
      <c r="S553" t="s">
        <v>139</v>
      </c>
      <c r="T553" t="s">
        <v>139</v>
      </c>
      <c r="U553">
        <v>357107.8</v>
      </c>
      <c r="V553" s="6" t="s">
        <v>139</v>
      </c>
      <c r="W553" t="s">
        <v>139</v>
      </c>
      <c r="X553" t="s">
        <v>139</v>
      </c>
      <c r="Y553" t="s">
        <v>139</v>
      </c>
      <c r="Z553">
        <v>193787.9</v>
      </c>
      <c r="AA553" t="s">
        <v>139</v>
      </c>
      <c r="AB553" t="s">
        <v>139</v>
      </c>
      <c r="AC553" t="s">
        <v>139</v>
      </c>
      <c r="AD553">
        <v>223723.2</v>
      </c>
      <c r="AE553" t="s">
        <v>139</v>
      </c>
      <c r="AF553">
        <v>35127.9</v>
      </c>
      <c r="AG553">
        <v>210512.8</v>
      </c>
      <c r="AH553" s="9">
        <v>3410201.7</v>
      </c>
      <c r="AI553">
        <v>2485112.7999999998</v>
      </c>
      <c r="AJ553">
        <v>405493.1</v>
      </c>
      <c r="AK553" t="s">
        <v>139</v>
      </c>
      <c r="AL553">
        <v>464795.4</v>
      </c>
      <c r="AM553" t="s">
        <v>139</v>
      </c>
      <c r="AN553">
        <v>162770.79999999999</v>
      </c>
      <c r="AO553" s="9">
        <v>3166345.3</v>
      </c>
      <c r="AP553">
        <v>243856.4</v>
      </c>
      <c r="AQ553" t="s">
        <v>139</v>
      </c>
      <c r="AR553" t="s">
        <v>139</v>
      </c>
      <c r="AS553">
        <f t="shared" si="8"/>
        <v>2890605.9</v>
      </c>
      <c r="AT553">
        <f t="shared" si="7"/>
        <v>1.1797532482722741</v>
      </c>
    </row>
    <row r="554" spans="1:46" x14ac:dyDescent="0.4">
      <c r="A554" s="3" t="s">
        <v>685</v>
      </c>
      <c r="B554">
        <v>2812231.3</v>
      </c>
      <c r="C554">
        <v>785536.5</v>
      </c>
      <c r="D554">
        <v>624520.19999999995</v>
      </c>
      <c r="E554" t="s">
        <v>139</v>
      </c>
      <c r="F554" t="s">
        <v>139</v>
      </c>
      <c r="G554">
        <v>161016.4</v>
      </c>
      <c r="H554" t="s">
        <v>139</v>
      </c>
      <c r="I554" t="s">
        <v>139</v>
      </c>
      <c r="J554">
        <v>2026694.7</v>
      </c>
      <c r="K554">
        <v>599263.4</v>
      </c>
      <c r="L554">
        <v>878539.3</v>
      </c>
      <c r="M554" t="s">
        <v>139</v>
      </c>
      <c r="N554">
        <v>73981.7</v>
      </c>
      <c r="O554" t="s">
        <v>139</v>
      </c>
      <c r="P554" t="s">
        <v>139</v>
      </c>
      <c r="Q554" t="s">
        <v>139</v>
      </c>
      <c r="R554" t="s">
        <v>139</v>
      </c>
      <c r="S554" t="s">
        <v>139</v>
      </c>
      <c r="T554" t="s">
        <v>139</v>
      </c>
      <c r="U554">
        <v>356090.1</v>
      </c>
      <c r="V554" s="6" t="s">
        <v>139</v>
      </c>
      <c r="W554" t="s">
        <v>139</v>
      </c>
      <c r="X554" t="s">
        <v>139</v>
      </c>
      <c r="Y554" t="s">
        <v>139</v>
      </c>
      <c r="Z554">
        <v>192801.9</v>
      </c>
      <c r="AA554" t="s">
        <v>139</v>
      </c>
      <c r="AB554" t="s">
        <v>139</v>
      </c>
      <c r="AC554" t="s">
        <v>139</v>
      </c>
      <c r="AD554">
        <v>223430</v>
      </c>
      <c r="AE554" t="s">
        <v>139</v>
      </c>
      <c r="AF554">
        <v>31958</v>
      </c>
      <c r="AG554">
        <v>213670.39999999999</v>
      </c>
      <c r="AH554" s="9">
        <v>3408228.8</v>
      </c>
      <c r="AI554">
        <v>2480572.1</v>
      </c>
      <c r="AJ554">
        <v>402195.4</v>
      </c>
      <c r="AK554" t="s">
        <v>139</v>
      </c>
      <c r="AL554">
        <v>455606.9</v>
      </c>
      <c r="AM554" t="s">
        <v>139</v>
      </c>
      <c r="AN554">
        <v>163966.5</v>
      </c>
      <c r="AO554" s="9">
        <v>3155318.1</v>
      </c>
      <c r="AP554">
        <v>252910.7</v>
      </c>
      <c r="AQ554" t="s">
        <v>139</v>
      </c>
      <c r="AR554" t="s">
        <v>139</v>
      </c>
      <c r="AS554">
        <f t="shared" si="8"/>
        <v>2882767.5</v>
      </c>
      <c r="AT554">
        <f t="shared" si="7"/>
        <v>1.1822766837769607</v>
      </c>
    </row>
    <row r="555" spans="1:46" x14ac:dyDescent="0.4">
      <c r="A555" s="3" t="s">
        <v>686</v>
      </c>
      <c r="B555">
        <v>2821669.5</v>
      </c>
      <c r="C555">
        <v>796970.7</v>
      </c>
      <c r="D555">
        <v>635801.30000000005</v>
      </c>
      <c r="E555" t="s">
        <v>139</v>
      </c>
      <c r="F555" t="s">
        <v>139</v>
      </c>
      <c r="G555">
        <v>161169.5</v>
      </c>
      <c r="H555" t="s">
        <v>139</v>
      </c>
      <c r="I555" t="s">
        <v>139</v>
      </c>
      <c r="J555">
        <v>2024698.7</v>
      </c>
      <c r="K555">
        <v>597271.9</v>
      </c>
      <c r="L555">
        <v>880146.5</v>
      </c>
      <c r="M555" t="s">
        <v>139</v>
      </c>
      <c r="N555">
        <v>74166.5</v>
      </c>
      <c r="O555" t="s">
        <v>139</v>
      </c>
      <c r="P555" t="s">
        <v>139</v>
      </c>
      <c r="Q555" t="s">
        <v>139</v>
      </c>
      <c r="R555" t="s">
        <v>139</v>
      </c>
      <c r="S555" t="s">
        <v>139</v>
      </c>
      <c r="T555" t="s">
        <v>139</v>
      </c>
      <c r="U555">
        <v>354473.8</v>
      </c>
      <c r="V555" s="6" t="s">
        <v>139</v>
      </c>
      <c r="W555" t="s">
        <v>139</v>
      </c>
      <c r="X555" t="s">
        <v>139</v>
      </c>
      <c r="Y555" t="s">
        <v>139</v>
      </c>
      <c r="Z555">
        <v>192806.6</v>
      </c>
      <c r="AA555" t="s">
        <v>139</v>
      </c>
      <c r="AB555" t="s">
        <v>139</v>
      </c>
      <c r="AC555" t="s">
        <v>139</v>
      </c>
      <c r="AD555">
        <v>221386.4</v>
      </c>
      <c r="AE555" t="s">
        <v>139</v>
      </c>
      <c r="AF555">
        <v>31621.5</v>
      </c>
      <c r="AG555">
        <v>217671</v>
      </c>
      <c r="AH555" s="9">
        <v>3421742.2</v>
      </c>
      <c r="AI555">
        <v>2483927.7000000002</v>
      </c>
      <c r="AJ555">
        <v>399992.3</v>
      </c>
      <c r="AK555" t="s">
        <v>139</v>
      </c>
      <c r="AL555">
        <v>463891.9</v>
      </c>
      <c r="AM555" t="s">
        <v>139</v>
      </c>
      <c r="AN555">
        <v>165266</v>
      </c>
      <c r="AO555" s="9">
        <v>3164514.8</v>
      </c>
      <c r="AP555">
        <v>257227.4</v>
      </c>
      <c r="AQ555" t="s">
        <v>139</v>
      </c>
      <c r="AR555" t="s">
        <v>139</v>
      </c>
      <c r="AS555">
        <f t="shared" si="8"/>
        <v>2883920</v>
      </c>
      <c r="AT555">
        <f t="shared" si="7"/>
        <v>1.1864899858525897</v>
      </c>
    </row>
    <row r="556" spans="1:46" x14ac:dyDescent="0.4">
      <c r="A556" s="3" t="s">
        <v>687</v>
      </c>
      <c r="B556">
        <v>2833330.6</v>
      </c>
      <c r="C556">
        <v>801790.3</v>
      </c>
      <c r="D556">
        <v>641421.4</v>
      </c>
      <c r="E556" t="s">
        <v>139</v>
      </c>
      <c r="F556" t="s">
        <v>139</v>
      </c>
      <c r="G556">
        <v>160368.9</v>
      </c>
      <c r="H556" t="s">
        <v>139</v>
      </c>
      <c r="I556" t="s">
        <v>139</v>
      </c>
      <c r="J556">
        <v>2031540.3</v>
      </c>
      <c r="K556">
        <v>598409.1</v>
      </c>
      <c r="L556">
        <v>882881.3</v>
      </c>
      <c r="M556" t="s">
        <v>139</v>
      </c>
      <c r="N556">
        <v>74151.5</v>
      </c>
      <c r="O556" t="s">
        <v>139</v>
      </c>
      <c r="P556" t="s">
        <v>139</v>
      </c>
      <c r="Q556" t="s">
        <v>139</v>
      </c>
      <c r="R556" t="s">
        <v>139</v>
      </c>
      <c r="S556" t="s">
        <v>139</v>
      </c>
      <c r="T556" t="s">
        <v>139</v>
      </c>
      <c r="U556">
        <v>354303.1</v>
      </c>
      <c r="V556" s="6" t="s">
        <v>139</v>
      </c>
      <c r="W556" t="s">
        <v>139</v>
      </c>
      <c r="X556" t="s">
        <v>139</v>
      </c>
      <c r="Y556" t="s">
        <v>139</v>
      </c>
      <c r="Z556">
        <v>195946.8</v>
      </c>
      <c r="AA556" t="s">
        <v>139</v>
      </c>
      <c r="AB556" t="s">
        <v>139</v>
      </c>
      <c r="AC556" t="s">
        <v>139</v>
      </c>
      <c r="AD556">
        <v>224224.5</v>
      </c>
      <c r="AE556" t="s">
        <v>139</v>
      </c>
      <c r="AF556">
        <v>31084.400000000001</v>
      </c>
      <c r="AG556">
        <v>222950.8</v>
      </c>
      <c r="AH556" s="9">
        <v>3441133.5</v>
      </c>
      <c r="AI556">
        <v>2490327.6</v>
      </c>
      <c r="AJ556">
        <v>394292.9</v>
      </c>
      <c r="AK556" t="s">
        <v>139</v>
      </c>
      <c r="AL556">
        <v>466358.3</v>
      </c>
      <c r="AM556" t="s">
        <v>139</v>
      </c>
      <c r="AN556">
        <v>169767.7</v>
      </c>
      <c r="AO556" s="9">
        <v>3176839.4</v>
      </c>
      <c r="AP556">
        <v>264294.09999999998</v>
      </c>
      <c r="AQ556" t="s">
        <v>139</v>
      </c>
      <c r="AR556" t="s">
        <v>139</v>
      </c>
      <c r="AS556">
        <f t="shared" si="8"/>
        <v>2884620.5</v>
      </c>
      <c r="AT556">
        <f t="shared" si="7"/>
        <v>1.1929241645478148</v>
      </c>
    </row>
    <row r="557" spans="1:46" x14ac:dyDescent="0.4">
      <c r="A557" s="3" t="s">
        <v>688</v>
      </c>
      <c r="B557">
        <v>2839149.8</v>
      </c>
      <c r="C557">
        <v>808141.1</v>
      </c>
      <c r="D557">
        <v>647748.9</v>
      </c>
      <c r="E557" t="s">
        <v>139</v>
      </c>
      <c r="F557" t="s">
        <v>139</v>
      </c>
      <c r="G557">
        <v>160392.20000000001</v>
      </c>
      <c r="H557" t="s">
        <v>139</v>
      </c>
      <c r="I557" t="s">
        <v>139</v>
      </c>
      <c r="J557">
        <v>2031008.6</v>
      </c>
      <c r="K557">
        <v>596847.19999999995</v>
      </c>
      <c r="L557">
        <v>885789.2</v>
      </c>
      <c r="M557" t="s">
        <v>139</v>
      </c>
      <c r="N557">
        <v>74704.399999999994</v>
      </c>
      <c r="O557" t="s">
        <v>139</v>
      </c>
      <c r="P557" t="s">
        <v>139</v>
      </c>
      <c r="Q557" t="s">
        <v>139</v>
      </c>
      <c r="R557" t="s">
        <v>139</v>
      </c>
      <c r="S557" t="s">
        <v>139</v>
      </c>
      <c r="T557" t="s">
        <v>139</v>
      </c>
      <c r="U557">
        <v>352485.6</v>
      </c>
      <c r="V557" s="6" t="s">
        <v>139</v>
      </c>
      <c r="W557" t="s">
        <v>139</v>
      </c>
      <c r="X557" t="s">
        <v>139</v>
      </c>
      <c r="Y557" t="s">
        <v>139</v>
      </c>
      <c r="Z557">
        <v>195886.7</v>
      </c>
      <c r="AA557" t="s">
        <v>139</v>
      </c>
      <c r="AB557" t="s">
        <v>139</v>
      </c>
      <c r="AC557" t="s">
        <v>139</v>
      </c>
      <c r="AD557">
        <v>221734.39999999999</v>
      </c>
      <c r="AE557" t="s">
        <v>139</v>
      </c>
      <c r="AF557">
        <v>31295.599999999999</v>
      </c>
      <c r="AG557">
        <v>222026.3</v>
      </c>
      <c r="AH557" s="9">
        <v>3444628.7</v>
      </c>
      <c r="AI557">
        <v>2497572.5</v>
      </c>
      <c r="AJ557">
        <v>388349.9</v>
      </c>
      <c r="AK557" t="s">
        <v>139</v>
      </c>
      <c r="AL557">
        <v>459388</v>
      </c>
      <c r="AM557" t="s">
        <v>139</v>
      </c>
      <c r="AN557">
        <v>168691.5</v>
      </c>
      <c r="AO557" s="9">
        <v>3181207.8</v>
      </c>
      <c r="AP557">
        <v>263420.90000000002</v>
      </c>
      <c r="AQ557" t="s">
        <v>139</v>
      </c>
      <c r="AR557" t="s">
        <v>139</v>
      </c>
      <c r="AS557">
        <f t="shared" si="8"/>
        <v>2885922.4</v>
      </c>
      <c r="AT557">
        <f t="shared" si="7"/>
        <v>1.193597132064258</v>
      </c>
    </row>
    <row r="558" spans="1:46" x14ac:dyDescent="0.4">
      <c r="A558" s="3" t="s">
        <v>689</v>
      </c>
      <c r="B558">
        <v>2848513.2</v>
      </c>
      <c r="C558">
        <v>816753.7</v>
      </c>
      <c r="D558">
        <v>656956.80000000005</v>
      </c>
      <c r="E558" t="s">
        <v>139</v>
      </c>
      <c r="F558" t="s">
        <v>139</v>
      </c>
      <c r="G558">
        <v>159796.9</v>
      </c>
      <c r="H558" t="s">
        <v>139</v>
      </c>
      <c r="I558" t="s">
        <v>139</v>
      </c>
      <c r="J558">
        <v>2031759.5</v>
      </c>
      <c r="K558">
        <v>596897.9</v>
      </c>
      <c r="L558">
        <v>887093.9</v>
      </c>
      <c r="M558" t="s">
        <v>139</v>
      </c>
      <c r="N558">
        <v>74829.5</v>
      </c>
      <c r="O558" t="s">
        <v>139</v>
      </c>
      <c r="P558" t="s">
        <v>139</v>
      </c>
      <c r="Q558" t="s">
        <v>139</v>
      </c>
      <c r="R558" t="s">
        <v>139</v>
      </c>
      <c r="S558" t="s">
        <v>139</v>
      </c>
      <c r="T558" t="s">
        <v>139</v>
      </c>
      <c r="U558">
        <v>352536</v>
      </c>
      <c r="V558" s="6" t="s">
        <v>139</v>
      </c>
      <c r="W558" t="s">
        <v>139</v>
      </c>
      <c r="X558" t="s">
        <v>139</v>
      </c>
      <c r="Y558" t="s">
        <v>139</v>
      </c>
      <c r="Z558">
        <v>195231.7</v>
      </c>
      <c r="AA558" t="s">
        <v>139</v>
      </c>
      <c r="AB558" t="s">
        <v>139</v>
      </c>
      <c r="AC558" t="s">
        <v>139</v>
      </c>
      <c r="AD558">
        <v>223415.4</v>
      </c>
      <c r="AE558" t="s">
        <v>139</v>
      </c>
      <c r="AF558">
        <v>33001.599999999999</v>
      </c>
      <c r="AG558">
        <v>221019.9</v>
      </c>
      <c r="AH558" s="9">
        <v>3460254.2</v>
      </c>
      <c r="AI558">
        <v>2499768.4</v>
      </c>
      <c r="AJ558">
        <v>382974.3</v>
      </c>
      <c r="AK558" t="s">
        <v>139</v>
      </c>
      <c r="AL558">
        <v>464554.8</v>
      </c>
      <c r="AM558" t="s">
        <v>139</v>
      </c>
      <c r="AN558">
        <v>170588.6</v>
      </c>
      <c r="AO558" s="9">
        <v>3192618.6</v>
      </c>
      <c r="AP558">
        <v>267635.59999999998</v>
      </c>
      <c r="AQ558" t="s">
        <v>139</v>
      </c>
      <c r="AR558" t="s">
        <v>139</v>
      </c>
      <c r="AS558">
        <f t="shared" si="8"/>
        <v>2882742.6999999997</v>
      </c>
      <c r="AT558">
        <f t="shared" si="7"/>
        <v>1.2003340429931539</v>
      </c>
    </row>
    <row r="559" spans="1:46" x14ac:dyDescent="0.4">
      <c r="A559" s="3" t="s">
        <v>690</v>
      </c>
      <c r="B559">
        <v>2860638.1</v>
      </c>
      <c r="C559">
        <v>825135.5</v>
      </c>
      <c r="D559">
        <v>665714.4</v>
      </c>
      <c r="E559" t="s">
        <v>139</v>
      </c>
      <c r="F559" t="s">
        <v>139</v>
      </c>
      <c r="G559">
        <v>159421</v>
      </c>
      <c r="H559" t="s">
        <v>139</v>
      </c>
      <c r="I559" t="s">
        <v>139</v>
      </c>
      <c r="J559">
        <v>2035502.6</v>
      </c>
      <c r="K559">
        <v>596510</v>
      </c>
      <c r="L559">
        <v>887862.3</v>
      </c>
      <c r="M559" t="s">
        <v>139</v>
      </c>
      <c r="N559">
        <v>75060.5</v>
      </c>
      <c r="O559" t="s">
        <v>139</v>
      </c>
      <c r="P559" t="s">
        <v>139</v>
      </c>
      <c r="Q559" t="s">
        <v>139</v>
      </c>
      <c r="R559" t="s">
        <v>139</v>
      </c>
      <c r="S559" t="s">
        <v>139</v>
      </c>
      <c r="T559" t="s">
        <v>139</v>
      </c>
      <c r="U559">
        <v>354117.4</v>
      </c>
      <c r="V559" s="6" t="s">
        <v>139</v>
      </c>
      <c r="W559" t="s">
        <v>139</v>
      </c>
      <c r="X559" t="s">
        <v>139</v>
      </c>
      <c r="Y559" t="s">
        <v>139</v>
      </c>
      <c r="Z559">
        <v>197013</v>
      </c>
      <c r="AA559" t="s">
        <v>139</v>
      </c>
      <c r="AB559" t="s">
        <v>139</v>
      </c>
      <c r="AC559" t="s">
        <v>139</v>
      </c>
      <c r="AD559">
        <v>224770.9</v>
      </c>
      <c r="AE559" t="s">
        <v>139</v>
      </c>
      <c r="AF559">
        <v>29758</v>
      </c>
      <c r="AG559">
        <v>214641</v>
      </c>
      <c r="AH559" s="9">
        <v>3462219.4</v>
      </c>
      <c r="AI559">
        <v>2497379.2999999998</v>
      </c>
      <c r="AJ559">
        <v>376292.2</v>
      </c>
      <c r="AK559" t="s">
        <v>139</v>
      </c>
      <c r="AL559">
        <v>467733.5</v>
      </c>
      <c r="AM559" t="s">
        <v>139</v>
      </c>
      <c r="AN559">
        <v>170375.4</v>
      </c>
      <c r="AO559" s="9">
        <v>3192571.9</v>
      </c>
      <c r="AP559">
        <v>269647.5</v>
      </c>
      <c r="AQ559" t="s">
        <v>139</v>
      </c>
      <c r="AR559" t="s">
        <v>139</v>
      </c>
      <c r="AS559">
        <f t="shared" si="8"/>
        <v>2873671.5</v>
      </c>
      <c r="AT559">
        <f t="shared" si="7"/>
        <v>1.2048069516644473</v>
      </c>
    </row>
    <row r="560" spans="1:46" x14ac:dyDescent="0.4">
      <c r="A560" s="3" t="s">
        <v>691</v>
      </c>
      <c r="B560">
        <v>2859827.2000000002</v>
      </c>
      <c r="C560">
        <v>824270.2</v>
      </c>
      <c r="D560">
        <v>666726</v>
      </c>
      <c r="E560" t="s">
        <v>139</v>
      </c>
      <c r="F560" t="s">
        <v>139</v>
      </c>
      <c r="G560">
        <v>157544.20000000001</v>
      </c>
      <c r="H560" t="s">
        <v>139</v>
      </c>
      <c r="I560" t="s">
        <v>139</v>
      </c>
      <c r="J560">
        <v>2035556.9</v>
      </c>
      <c r="K560">
        <v>595501.4</v>
      </c>
      <c r="L560">
        <v>886104.9</v>
      </c>
      <c r="M560" t="s">
        <v>139</v>
      </c>
      <c r="N560">
        <v>75202.3</v>
      </c>
      <c r="O560" t="s">
        <v>139</v>
      </c>
      <c r="P560" t="s">
        <v>139</v>
      </c>
      <c r="Q560" t="s">
        <v>139</v>
      </c>
      <c r="R560" t="s">
        <v>139</v>
      </c>
      <c r="S560" t="s">
        <v>139</v>
      </c>
      <c r="T560" t="s">
        <v>139</v>
      </c>
      <c r="U560">
        <v>357442.8</v>
      </c>
      <c r="V560" s="6" t="s">
        <v>139</v>
      </c>
      <c r="W560" t="s">
        <v>139</v>
      </c>
      <c r="X560" t="s">
        <v>139</v>
      </c>
      <c r="Y560" t="s">
        <v>139</v>
      </c>
      <c r="Z560">
        <v>196507.9</v>
      </c>
      <c r="AA560" t="s">
        <v>139</v>
      </c>
      <c r="AB560" t="s">
        <v>139</v>
      </c>
      <c r="AC560" t="s">
        <v>139</v>
      </c>
      <c r="AD560">
        <v>220733.5</v>
      </c>
      <c r="AE560" t="s">
        <v>139</v>
      </c>
      <c r="AF560">
        <v>26963</v>
      </c>
      <c r="AG560">
        <v>211081.2</v>
      </c>
      <c r="AH560" s="9">
        <v>3447488.5</v>
      </c>
      <c r="AI560">
        <v>2490231.2999999998</v>
      </c>
      <c r="AJ560">
        <v>372527.2</v>
      </c>
      <c r="AK560" t="s">
        <v>139</v>
      </c>
      <c r="AL560">
        <v>459065.1</v>
      </c>
      <c r="AM560" t="s">
        <v>139</v>
      </c>
      <c r="AN560">
        <v>170061.4</v>
      </c>
      <c r="AO560" s="9">
        <v>3182057.9</v>
      </c>
      <c r="AP560">
        <v>265430.59999999998</v>
      </c>
      <c r="AQ560" t="s">
        <v>139</v>
      </c>
      <c r="AR560" t="s">
        <v>139</v>
      </c>
      <c r="AS560">
        <f t="shared" si="8"/>
        <v>2862758.5</v>
      </c>
      <c r="AT560">
        <f t="shared" si="7"/>
        <v>1.2042540437832949</v>
      </c>
    </row>
    <row r="561" spans="1:46" x14ac:dyDescent="0.4">
      <c r="A561" s="3" t="s">
        <v>692</v>
      </c>
      <c r="B561">
        <v>2869673.4</v>
      </c>
      <c r="C561">
        <v>833919.6</v>
      </c>
      <c r="D561">
        <v>674816.4</v>
      </c>
      <c r="E561" t="s">
        <v>139</v>
      </c>
      <c r="F561" t="s">
        <v>139</v>
      </c>
      <c r="G561">
        <v>159103.29999999999</v>
      </c>
      <c r="H561" t="s">
        <v>139</v>
      </c>
      <c r="I561" t="s">
        <v>139</v>
      </c>
      <c r="J561">
        <v>2035753.8</v>
      </c>
      <c r="K561">
        <v>593542.5</v>
      </c>
      <c r="L561">
        <v>886961.4</v>
      </c>
      <c r="M561" t="s">
        <v>139</v>
      </c>
      <c r="N561">
        <v>75376.3</v>
      </c>
      <c r="O561" t="s">
        <v>139</v>
      </c>
      <c r="P561" t="s">
        <v>139</v>
      </c>
      <c r="Q561" t="s">
        <v>139</v>
      </c>
      <c r="R561" t="s">
        <v>139</v>
      </c>
      <c r="S561" t="s">
        <v>139</v>
      </c>
      <c r="T561" t="s">
        <v>139</v>
      </c>
      <c r="U561">
        <v>358820.8</v>
      </c>
      <c r="V561" s="6" t="s">
        <v>139</v>
      </c>
      <c r="W561" t="s">
        <v>139</v>
      </c>
      <c r="X561" t="s">
        <v>139</v>
      </c>
      <c r="Y561" t="s">
        <v>139</v>
      </c>
      <c r="Z561">
        <v>196429</v>
      </c>
      <c r="AA561" t="s">
        <v>139</v>
      </c>
      <c r="AB561" t="s">
        <v>139</v>
      </c>
      <c r="AC561" t="s">
        <v>139</v>
      </c>
      <c r="AD561">
        <v>221063.5</v>
      </c>
      <c r="AE561" t="s">
        <v>139</v>
      </c>
      <c r="AF561">
        <v>27221.5</v>
      </c>
      <c r="AG561">
        <v>214933</v>
      </c>
      <c r="AH561" s="9">
        <v>3455206</v>
      </c>
      <c r="AI561">
        <v>2492534.9</v>
      </c>
      <c r="AJ561">
        <v>370530.3</v>
      </c>
      <c r="AK561" t="s">
        <v>139</v>
      </c>
      <c r="AL561">
        <v>458436.5</v>
      </c>
      <c r="AM561" t="s">
        <v>139</v>
      </c>
      <c r="AN561">
        <v>172569.4</v>
      </c>
      <c r="AO561" s="9">
        <v>3185941.5</v>
      </c>
      <c r="AP561">
        <v>269264.40000000002</v>
      </c>
      <c r="AQ561" t="s">
        <v>139</v>
      </c>
      <c r="AR561" t="s">
        <v>139</v>
      </c>
      <c r="AS561">
        <f t="shared" si="8"/>
        <v>2863065.1999999997</v>
      </c>
      <c r="AT561">
        <f t="shared" si="7"/>
        <v>1.2068205781691594</v>
      </c>
    </row>
    <row r="562" spans="1:46" x14ac:dyDescent="0.4">
      <c r="A562" s="3" t="s">
        <v>693</v>
      </c>
      <c r="B562">
        <v>2882843.4</v>
      </c>
      <c r="C562">
        <v>847691.4</v>
      </c>
      <c r="D562">
        <v>685097.8</v>
      </c>
      <c r="E562" t="s">
        <v>139</v>
      </c>
      <c r="F562" t="s">
        <v>139</v>
      </c>
      <c r="G562">
        <v>162593.60000000001</v>
      </c>
      <c r="H562" t="s">
        <v>139</v>
      </c>
      <c r="I562" t="s">
        <v>139</v>
      </c>
      <c r="J562">
        <v>2035152</v>
      </c>
      <c r="K562">
        <v>591269</v>
      </c>
      <c r="L562">
        <v>889855.7</v>
      </c>
      <c r="M562" t="s">
        <v>139</v>
      </c>
      <c r="N562">
        <v>76035.7</v>
      </c>
      <c r="O562" t="s">
        <v>139</v>
      </c>
      <c r="P562" t="s">
        <v>139</v>
      </c>
      <c r="Q562" t="s">
        <v>139</v>
      </c>
      <c r="R562" t="s">
        <v>139</v>
      </c>
      <c r="S562" t="s">
        <v>139</v>
      </c>
      <c r="T562" t="s">
        <v>139</v>
      </c>
      <c r="U562">
        <v>358955.9</v>
      </c>
      <c r="V562" s="6" t="s">
        <v>139</v>
      </c>
      <c r="W562" t="s">
        <v>139</v>
      </c>
      <c r="X562" t="s">
        <v>139</v>
      </c>
      <c r="Y562" t="s">
        <v>139</v>
      </c>
      <c r="Z562">
        <v>195071.5</v>
      </c>
      <c r="AA562" t="s">
        <v>139</v>
      </c>
      <c r="AB562" t="s">
        <v>139</v>
      </c>
      <c r="AC562" t="s">
        <v>139</v>
      </c>
      <c r="AD562">
        <v>221239.8</v>
      </c>
      <c r="AE562" t="s">
        <v>139</v>
      </c>
      <c r="AF562">
        <v>26976.1</v>
      </c>
      <c r="AG562">
        <v>218837.6</v>
      </c>
      <c r="AH562" s="9">
        <v>3475245.2</v>
      </c>
      <c r="AI562">
        <v>2494927.5</v>
      </c>
      <c r="AJ562">
        <v>366553.5</v>
      </c>
      <c r="AK562" t="s">
        <v>139</v>
      </c>
      <c r="AL562">
        <v>463890.8</v>
      </c>
      <c r="AM562" t="s">
        <v>139</v>
      </c>
      <c r="AN562">
        <v>176191.6</v>
      </c>
      <c r="AO562" s="9">
        <v>3205013.7</v>
      </c>
      <c r="AP562">
        <v>270231.40000000002</v>
      </c>
      <c r="AQ562" t="s">
        <v>139</v>
      </c>
      <c r="AR562" t="s">
        <v>139</v>
      </c>
      <c r="AS562">
        <f t="shared" si="8"/>
        <v>2861481</v>
      </c>
      <c r="AT562">
        <f t="shared" si="7"/>
        <v>1.2144917963809649</v>
      </c>
    </row>
    <row r="563" spans="1:46" x14ac:dyDescent="0.4">
      <c r="A563" s="3" t="s">
        <v>694</v>
      </c>
      <c r="B563">
        <v>2892237.9</v>
      </c>
      <c r="C563">
        <v>857199.1</v>
      </c>
      <c r="D563">
        <v>693320.2</v>
      </c>
      <c r="E563" t="s">
        <v>139</v>
      </c>
      <c r="F563" t="s">
        <v>139</v>
      </c>
      <c r="G563">
        <v>163878.9</v>
      </c>
      <c r="H563" t="s">
        <v>139</v>
      </c>
      <c r="I563" t="s">
        <v>139</v>
      </c>
      <c r="J563">
        <v>2035038.7</v>
      </c>
      <c r="K563">
        <v>585621</v>
      </c>
      <c r="L563">
        <v>892742.9</v>
      </c>
      <c r="M563" t="s">
        <v>139</v>
      </c>
      <c r="N563">
        <v>76293.7</v>
      </c>
      <c r="O563" t="s">
        <v>139</v>
      </c>
      <c r="P563" t="s">
        <v>139</v>
      </c>
      <c r="Q563" t="s">
        <v>139</v>
      </c>
      <c r="R563" t="s">
        <v>139</v>
      </c>
      <c r="S563" t="s">
        <v>139</v>
      </c>
      <c r="T563" t="s">
        <v>139</v>
      </c>
      <c r="U563">
        <v>360027</v>
      </c>
      <c r="V563" s="6" t="s">
        <v>139</v>
      </c>
      <c r="W563" t="s">
        <v>139</v>
      </c>
      <c r="X563" t="s">
        <v>139</v>
      </c>
      <c r="Y563" t="s">
        <v>139</v>
      </c>
      <c r="Z563">
        <v>196647.8</v>
      </c>
      <c r="AA563" t="s">
        <v>139</v>
      </c>
      <c r="AB563" t="s">
        <v>139</v>
      </c>
      <c r="AC563" t="s">
        <v>139</v>
      </c>
      <c r="AD563">
        <v>223894.7</v>
      </c>
      <c r="AE563" t="s">
        <v>139</v>
      </c>
      <c r="AF563">
        <v>25955.7</v>
      </c>
      <c r="AG563">
        <v>221053</v>
      </c>
      <c r="AH563" s="9">
        <v>3484879.3</v>
      </c>
      <c r="AI563">
        <v>2498964</v>
      </c>
      <c r="AJ563">
        <v>365381.3</v>
      </c>
      <c r="AK563" t="s">
        <v>139</v>
      </c>
      <c r="AL563">
        <v>452724.3</v>
      </c>
      <c r="AM563" t="s">
        <v>139</v>
      </c>
      <c r="AN563">
        <v>176780.4</v>
      </c>
      <c r="AO563" s="9">
        <v>3208776.1</v>
      </c>
      <c r="AP563">
        <v>276103.3</v>
      </c>
      <c r="AQ563" t="s">
        <v>139</v>
      </c>
      <c r="AR563" t="s">
        <v>139</v>
      </c>
      <c r="AS563">
        <f t="shared" si="8"/>
        <v>2864345.3</v>
      </c>
      <c r="AT563">
        <f t="shared" si="7"/>
        <v>1.2166407800065167</v>
      </c>
    </row>
    <row r="564" spans="1:46" x14ac:dyDescent="0.4">
      <c r="A564" s="3" t="s">
        <v>695</v>
      </c>
      <c r="B564">
        <v>2909852.7</v>
      </c>
      <c r="C564">
        <v>860558.5</v>
      </c>
      <c r="D564">
        <v>696332.80000000005</v>
      </c>
      <c r="E564" t="s">
        <v>139</v>
      </c>
      <c r="F564" t="s">
        <v>139</v>
      </c>
      <c r="G564">
        <v>164225.70000000001</v>
      </c>
      <c r="H564" t="s">
        <v>139</v>
      </c>
      <c r="I564" t="s">
        <v>139</v>
      </c>
      <c r="J564">
        <v>2049294.2</v>
      </c>
      <c r="K564">
        <v>587953.19999999995</v>
      </c>
      <c r="L564">
        <v>898140.7</v>
      </c>
      <c r="M564" t="s">
        <v>139</v>
      </c>
      <c r="N564">
        <v>76379.100000000006</v>
      </c>
      <c r="O564" t="s">
        <v>139</v>
      </c>
      <c r="P564" t="s">
        <v>139</v>
      </c>
      <c r="Q564" t="s">
        <v>139</v>
      </c>
      <c r="R564" t="s">
        <v>139</v>
      </c>
      <c r="S564" t="s">
        <v>139</v>
      </c>
      <c r="T564" t="s">
        <v>139</v>
      </c>
      <c r="U564">
        <v>363296.7</v>
      </c>
      <c r="V564" s="6" t="s">
        <v>139</v>
      </c>
      <c r="W564" t="s">
        <v>139</v>
      </c>
      <c r="X564" t="s">
        <v>139</v>
      </c>
      <c r="Y564" t="s">
        <v>139</v>
      </c>
      <c r="Z564">
        <v>199903.7</v>
      </c>
      <c r="AA564" t="s">
        <v>139</v>
      </c>
      <c r="AB564" t="s">
        <v>139</v>
      </c>
      <c r="AC564" t="s">
        <v>139</v>
      </c>
      <c r="AD564">
        <v>227370.6</v>
      </c>
      <c r="AE564" t="s">
        <v>139</v>
      </c>
      <c r="AF564">
        <v>26820</v>
      </c>
      <c r="AG564">
        <v>221425.9</v>
      </c>
      <c r="AH564" s="9">
        <v>3515873.4</v>
      </c>
      <c r="AI564">
        <v>2521313.9</v>
      </c>
      <c r="AJ564">
        <v>366117.1</v>
      </c>
      <c r="AK564" t="s">
        <v>139</v>
      </c>
      <c r="AL564">
        <v>463209.6</v>
      </c>
      <c r="AM564" t="s">
        <v>139</v>
      </c>
      <c r="AN564">
        <v>179027.20000000001</v>
      </c>
      <c r="AO564" s="9">
        <v>3241360.8</v>
      </c>
      <c r="AP564">
        <v>274512.59999999998</v>
      </c>
      <c r="AQ564" t="s">
        <v>139</v>
      </c>
      <c r="AR564" t="s">
        <v>139</v>
      </c>
      <c r="AS564">
        <f t="shared" si="8"/>
        <v>2887431</v>
      </c>
      <c r="AT564">
        <f t="shared" si="7"/>
        <v>1.2176475905398259</v>
      </c>
    </row>
    <row r="565" spans="1:46" x14ac:dyDescent="0.4">
      <c r="A565" s="3" t="s">
        <v>696</v>
      </c>
      <c r="B565">
        <v>2928864.9</v>
      </c>
      <c r="C565">
        <v>870408.6</v>
      </c>
      <c r="D565">
        <v>706128.2</v>
      </c>
      <c r="E565" t="s">
        <v>139</v>
      </c>
      <c r="F565" t="s">
        <v>139</v>
      </c>
      <c r="G565">
        <v>164280.4</v>
      </c>
      <c r="H565" t="s">
        <v>139</v>
      </c>
      <c r="I565" t="s">
        <v>139</v>
      </c>
      <c r="J565">
        <v>2058456.3</v>
      </c>
      <c r="K565">
        <v>590215.30000000005</v>
      </c>
      <c r="L565">
        <v>902324.2</v>
      </c>
      <c r="M565" t="s">
        <v>139</v>
      </c>
      <c r="N565">
        <v>76369.3</v>
      </c>
      <c r="O565" t="s">
        <v>139</v>
      </c>
      <c r="P565" t="s">
        <v>139</v>
      </c>
      <c r="Q565" t="s">
        <v>139</v>
      </c>
      <c r="R565" t="s">
        <v>139</v>
      </c>
      <c r="S565" t="s">
        <v>139</v>
      </c>
      <c r="T565" t="s">
        <v>139</v>
      </c>
      <c r="U565">
        <v>365192.2</v>
      </c>
      <c r="V565" s="6" t="s">
        <v>139</v>
      </c>
      <c r="W565" t="s">
        <v>139</v>
      </c>
      <c r="X565" t="s">
        <v>139</v>
      </c>
      <c r="Y565" t="s">
        <v>139</v>
      </c>
      <c r="Z565">
        <v>200724.6</v>
      </c>
      <c r="AA565" t="s">
        <v>139</v>
      </c>
      <c r="AB565" t="s">
        <v>139</v>
      </c>
      <c r="AC565" t="s">
        <v>139</v>
      </c>
      <c r="AD565">
        <v>228671.8</v>
      </c>
      <c r="AE565" t="s">
        <v>139</v>
      </c>
      <c r="AF565">
        <v>28208.6</v>
      </c>
      <c r="AG565">
        <v>223565.6</v>
      </c>
      <c r="AH565" s="9">
        <v>3546973.7</v>
      </c>
      <c r="AI565">
        <v>2524817.1</v>
      </c>
      <c r="AJ565">
        <v>364558.2</v>
      </c>
      <c r="AK565" t="s">
        <v>139</v>
      </c>
      <c r="AL565">
        <v>478695</v>
      </c>
      <c r="AM565" t="s">
        <v>139</v>
      </c>
      <c r="AN565">
        <v>183804.4</v>
      </c>
      <c r="AO565" s="9">
        <v>3271907.7</v>
      </c>
      <c r="AP565">
        <v>275065.90000000002</v>
      </c>
      <c r="AQ565" t="s">
        <v>139</v>
      </c>
      <c r="AR565" t="s">
        <v>139</v>
      </c>
      <c r="AS565">
        <f t="shared" si="8"/>
        <v>2889375.3000000003</v>
      </c>
      <c r="AT565">
        <f t="shared" si="7"/>
        <v>1.2275918950369653</v>
      </c>
    </row>
    <row r="566" spans="1:46" x14ac:dyDescent="0.4">
      <c r="A566" s="3" t="s">
        <v>697</v>
      </c>
      <c r="B566">
        <v>2944415.2</v>
      </c>
      <c r="C566">
        <v>880134</v>
      </c>
      <c r="D566">
        <v>714620.2</v>
      </c>
      <c r="E566" t="s">
        <v>139</v>
      </c>
      <c r="F566" t="s">
        <v>139</v>
      </c>
      <c r="G566">
        <v>165513.79999999999</v>
      </c>
      <c r="H566" t="s">
        <v>139</v>
      </c>
      <c r="I566" t="s">
        <v>139</v>
      </c>
      <c r="J566">
        <v>2064281.2</v>
      </c>
      <c r="K566">
        <v>587913</v>
      </c>
      <c r="L566">
        <v>904392.3</v>
      </c>
      <c r="M566" t="s">
        <v>139</v>
      </c>
      <c r="N566">
        <v>75466.5</v>
      </c>
      <c r="O566" t="s">
        <v>139</v>
      </c>
      <c r="P566" t="s">
        <v>139</v>
      </c>
      <c r="Q566" t="s">
        <v>139</v>
      </c>
      <c r="R566" t="s">
        <v>139</v>
      </c>
      <c r="S566" t="s">
        <v>139</v>
      </c>
      <c r="T566" t="s">
        <v>139</v>
      </c>
      <c r="U566">
        <v>369714.2</v>
      </c>
      <c r="V566" s="6" t="s">
        <v>139</v>
      </c>
      <c r="W566" t="s">
        <v>139</v>
      </c>
      <c r="X566" t="s">
        <v>139</v>
      </c>
      <c r="Y566" t="s">
        <v>139</v>
      </c>
      <c r="Z566">
        <v>202261.7</v>
      </c>
      <c r="AA566" t="s">
        <v>139</v>
      </c>
      <c r="AB566" t="s">
        <v>139</v>
      </c>
      <c r="AC566" t="s">
        <v>139</v>
      </c>
      <c r="AD566">
        <v>230389.3</v>
      </c>
      <c r="AE566" t="s">
        <v>139</v>
      </c>
      <c r="AF566">
        <v>27699</v>
      </c>
      <c r="AG566">
        <v>225014.39999999999</v>
      </c>
      <c r="AH566" s="9">
        <v>3576031.3</v>
      </c>
      <c r="AI566">
        <v>2521058.7999999998</v>
      </c>
      <c r="AJ566">
        <v>356433.8</v>
      </c>
      <c r="AK566" t="s">
        <v>139</v>
      </c>
      <c r="AL566">
        <v>490678.3</v>
      </c>
      <c r="AM566" t="s">
        <v>139</v>
      </c>
      <c r="AN566">
        <v>178313</v>
      </c>
      <c r="AO566" s="9">
        <v>3291178.7</v>
      </c>
      <c r="AP566">
        <v>284852.5</v>
      </c>
      <c r="AQ566" t="s">
        <v>139</v>
      </c>
      <c r="AR566" t="s">
        <v>139</v>
      </c>
      <c r="AS566">
        <f t="shared" si="8"/>
        <v>2877492.5999999996</v>
      </c>
      <c r="AT566">
        <f t="shared" si="7"/>
        <v>1.242759512222551</v>
      </c>
    </row>
    <row r="567" spans="1:46" x14ac:dyDescent="0.4">
      <c r="A567" s="3" t="s">
        <v>698</v>
      </c>
      <c r="B567">
        <v>2953762.7</v>
      </c>
      <c r="C567">
        <v>882535.7</v>
      </c>
      <c r="D567">
        <v>716659</v>
      </c>
      <c r="E567" t="s">
        <v>139</v>
      </c>
      <c r="F567" t="s">
        <v>139</v>
      </c>
      <c r="G567">
        <v>165876.79999999999</v>
      </c>
      <c r="H567" t="s">
        <v>139</v>
      </c>
      <c r="I567" t="s">
        <v>139</v>
      </c>
      <c r="J567">
        <v>2071227</v>
      </c>
      <c r="K567">
        <v>587728.6</v>
      </c>
      <c r="L567">
        <v>907254.9</v>
      </c>
      <c r="M567" t="s">
        <v>139</v>
      </c>
      <c r="N567">
        <v>74793.100000000006</v>
      </c>
      <c r="O567" t="s">
        <v>139</v>
      </c>
      <c r="P567" t="s">
        <v>139</v>
      </c>
      <c r="Q567" t="s">
        <v>139</v>
      </c>
      <c r="R567" t="s">
        <v>139</v>
      </c>
      <c r="S567" t="s">
        <v>139</v>
      </c>
      <c r="T567" t="s">
        <v>139</v>
      </c>
      <c r="U567">
        <v>371925.3</v>
      </c>
      <c r="V567" s="6" t="s">
        <v>139</v>
      </c>
      <c r="W567" t="s">
        <v>139</v>
      </c>
      <c r="X567" t="s">
        <v>139</v>
      </c>
      <c r="Y567" t="s">
        <v>139</v>
      </c>
      <c r="Z567">
        <v>204318.3</v>
      </c>
      <c r="AA567" t="s">
        <v>139</v>
      </c>
      <c r="AB567" t="s">
        <v>139</v>
      </c>
      <c r="AC567" t="s">
        <v>139</v>
      </c>
      <c r="AD567">
        <v>235617.1</v>
      </c>
      <c r="AE567" t="s">
        <v>139</v>
      </c>
      <c r="AF567">
        <v>26895.3</v>
      </c>
      <c r="AG567">
        <v>226912.9</v>
      </c>
      <c r="AH567" s="9">
        <v>3586988.9</v>
      </c>
      <c r="AI567">
        <v>2519904.4</v>
      </c>
      <c r="AJ567">
        <v>350267.1</v>
      </c>
      <c r="AK567" t="s">
        <v>139</v>
      </c>
      <c r="AL567">
        <v>486576.2</v>
      </c>
      <c r="AM567" t="s">
        <v>139</v>
      </c>
      <c r="AN567">
        <v>174629.2</v>
      </c>
      <c r="AO567" s="9">
        <v>3296188.6</v>
      </c>
      <c r="AP567">
        <v>290800.3</v>
      </c>
      <c r="AQ567" t="s">
        <v>139</v>
      </c>
      <c r="AR567" t="s">
        <v>139</v>
      </c>
      <c r="AS567">
        <f t="shared" si="8"/>
        <v>2870171.5</v>
      </c>
      <c r="AT567">
        <f t="shared" si="7"/>
        <v>1.2497472363585242</v>
      </c>
    </row>
    <row r="568" spans="1:46" x14ac:dyDescent="0.4">
      <c r="A568" s="3" t="s">
        <v>699</v>
      </c>
      <c r="B568">
        <v>2960105.1</v>
      </c>
      <c r="C568">
        <v>885329.6</v>
      </c>
      <c r="D568">
        <v>720068.2</v>
      </c>
      <c r="E568" t="s">
        <v>139</v>
      </c>
      <c r="F568" t="s">
        <v>139</v>
      </c>
      <c r="G568">
        <v>165261.5</v>
      </c>
      <c r="H568" t="s">
        <v>139</v>
      </c>
      <c r="I568" t="s">
        <v>139</v>
      </c>
      <c r="J568">
        <v>2074775.4</v>
      </c>
      <c r="K568">
        <v>585432.5</v>
      </c>
      <c r="L568">
        <v>910659.5</v>
      </c>
      <c r="M568" t="s">
        <v>139</v>
      </c>
      <c r="N568">
        <v>76024.3</v>
      </c>
      <c r="O568" t="s">
        <v>139</v>
      </c>
      <c r="P568" t="s">
        <v>139</v>
      </c>
      <c r="Q568" t="s">
        <v>139</v>
      </c>
      <c r="R568" t="s">
        <v>139</v>
      </c>
      <c r="S568" t="s">
        <v>139</v>
      </c>
      <c r="T568" t="s">
        <v>139</v>
      </c>
      <c r="U568">
        <v>373056.7</v>
      </c>
      <c r="V568" s="6" t="s">
        <v>139</v>
      </c>
      <c r="W568" t="s">
        <v>139</v>
      </c>
      <c r="X568" t="s">
        <v>139</v>
      </c>
      <c r="Y568" t="s">
        <v>139</v>
      </c>
      <c r="Z568">
        <v>205626.8</v>
      </c>
      <c r="AA568" t="s">
        <v>139</v>
      </c>
      <c r="AB568" t="s">
        <v>139</v>
      </c>
      <c r="AC568" t="s">
        <v>139</v>
      </c>
      <c r="AD568">
        <v>240895.3</v>
      </c>
      <c r="AE568" t="s">
        <v>139</v>
      </c>
      <c r="AF568">
        <v>25976.6</v>
      </c>
      <c r="AG568">
        <v>228555.7</v>
      </c>
      <c r="AH568" s="9">
        <v>3598953.5</v>
      </c>
      <c r="AI568">
        <v>2524407.2000000002</v>
      </c>
      <c r="AJ568">
        <v>347282</v>
      </c>
      <c r="AK568" t="s">
        <v>139</v>
      </c>
      <c r="AL568">
        <v>490543.6</v>
      </c>
      <c r="AM568" t="s">
        <v>139</v>
      </c>
      <c r="AN568">
        <v>171719.9</v>
      </c>
      <c r="AO568" s="9">
        <v>3305241</v>
      </c>
      <c r="AP568">
        <v>293712.5</v>
      </c>
      <c r="AQ568" t="s">
        <v>139</v>
      </c>
      <c r="AR568" t="s">
        <v>139</v>
      </c>
      <c r="AS568">
        <f t="shared" si="8"/>
        <v>2871689.2</v>
      </c>
      <c r="AT568">
        <f t="shared" si="7"/>
        <v>1.2532531375609868</v>
      </c>
    </row>
    <row r="569" spans="1:46" x14ac:dyDescent="0.4">
      <c r="A569" s="3" t="s">
        <v>700</v>
      </c>
      <c r="B569">
        <v>2963508</v>
      </c>
      <c r="C569">
        <v>882524.9</v>
      </c>
      <c r="D569">
        <v>717646.6</v>
      </c>
      <c r="E569" t="s">
        <v>139</v>
      </c>
      <c r="F569" t="s">
        <v>139</v>
      </c>
      <c r="G569">
        <v>164878.39999999999</v>
      </c>
      <c r="H569" t="s">
        <v>139</v>
      </c>
      <c r="I569" t="s">
        <v>139</v>
      </c>
      <c r="J569">
        <v>2080983.1</v>
      </c>
      <c r="K569">
        <v>583906.9</v>
      </c>
      <c r="L569">
        <v>914850.1</v>
      </c>
      <c r="M569" t="s">
        <v>139</v>
      </c>
      <c r="N569">
        <v>74787.399999999994</v>
      </c>
      <c r="O569" t="s">
        <v>139</v>
      </c>
      <c r="P569" t="s">
        <v>139</v>
      </c>
      <c r="Q569" t="s">
        <v>139</v>
      </c>
      <c r="R569" t="s">
        <v>139</v>
      </c>
      <c r="S569" t="s">
        <v>139</v>
      </c>
      <c r="T569" t="s">
        <v>139</v>
      </c>
      <c r="U569">
        <v>376937.7</v>
      </c>
      <c r="V569" s="6" t="s">
        <v>139</v>
      </c>
      <c r="W569" t="s">
        <v>139</v>
      </c>
      <c r="X569" t="s">
        <v>139</v>
      </c>
      <c r="Y569" t="s">
        <v>139</v>
      </c>
      <c r="Z569">
        <v>205288.4</v>
      </c>
      <c r="AA569" t="s">
        <v>139</v>
      </c>
      <c r="AB569" t="s">
        <v>139</v>
      </c>
      <c r="AC569" t="s">
        <v>139</v>
      </c>
      <c r="AD569">
        <v>232664.2</v>
      </c>
      <c r="AE569" t="s">
        <v>139</v>
      </c>
      <c r="AF569">
        <v>26935.4</v>
      </c>
      <c r="AG569">
        <v>224824.4</v>
      </c>
      <c r="AH569" s="9">
        <v>3589451.2</v>
      </c>
      <c r="AI569">
        <v>2518439.5</v>
      </c>
      <c r="AJ569">
        <v>344054.6</v>
      </c>
      <c r="AK569" t="s">
        <v>139</v>
      </c>
      <c r="AL569">
        <v>487623.9</v>
      </c>
      <c r="AM569" t="s">
        <v>139</v>
      </c>
      <c r="AN569">
        <v>170655.6</v>
      </c>
      <c r="AO569" s="9">
        <v>3295322</v>
      </c>
      <c r="AP569">
        <v>294129.09999999998</v>
      </c>
      <c r="AQ569" t="s">
        <v>139</v>
      </c>
      <c r="AR569" t="s">
        <v>139</v>
      </c>
      <c r="AS569">
        <f t="shared" si="8"/>
        <v>2862494.1</v>
      </c>
      <c r="AT569">
        <f t="shared" si="7"/>
        <v>1.2539593356716439</v>
      </c>
    </row>
    <row r="570" spans="1:46" x14ac:dyDescent="0.4">
      <c r="A570" s="3" t="s">
        <v>701</v>
      </c>
      <c r="B570">
        <v>2975209.2</v>
      </c>
      <c r="C570">
        <v>885358.2</v>
      </c>
      <c r="D570">
        <v>721176.3</v>
      </c>
      <c r="E570" t="s">
        <v>139</v>
      </c>
      <c r="F570" t="s">
        <v>139</v>
      </c>
      <c r="G570">
        <v>164181.9</v>
      </c>
      <c r="H570" t="s">
        <v>139</v>
      </c>
      <c r="I570" t="s">
        <v>139</v>
      </c>
      <c r="J570">
        <v>2089851.1</v>
      </c>
      <c r="K570">
        <v>584016.5</v>
      </c>
      <c r="L570">
        <v>919229.4</v>
      </c>
      <c r="M570" t="s">
        <v>139</v>
      </c>
      <c r="N570">
        <v>74349.3</v>
      </c>
      <c r="O570" t="s">
        <v>139</v>
      </c>
      <c r="P570" t="s">
        <v>139</v>
      </c>
      <c r="Q570" t="s">
        <v>139</v>
      </c>
      <c r="R570" t="s">
        <v>139</v>
      </c>
      <c r="S570" t="s">
        <v>139</v>
      </c>
      <c r="T570" t="s">
        <v>139</v>
      </c>
      <c r="U570">
        <v>380674.2</v>
      </c>
      <c r="V570" s="6" t="s">
        <v>139</v>
      </c>
      <c r="W570" t="s">
        <v>139</v>
      </c>
      <c r="X570" t="s">
        <v>139</v>
      </c>
      <c r="Y570" t="s">
        <v>139</v>
      </c>
      <c r="Z570">
        <v>205931</v>
      </c>
      <c r="AA570" t="s">
        <v>139</v>
      </c>
      <c r="AB570" t="s">
        <v>139</v>
      </c>
      <c r="AC570" t="s">
        <v>139</v>
      </c>
      <c r="AD570">
        <v>232156</v>
      </c>
      <c r="AE570" t="s">
        <v>139</v>
      </c>
      <c r="AF570">
        <v>26702.5</v>
      </c>
      <c r="AG570">
        <v>223245.6</v>
      </c>
      <c r="AH570" s="9">
        <v>3601079.4</v>
      </c>
      <c r="AI570">
        <v>2526563.1</v>
      </c>
      <c r="AJ570">
        <v>345072.6</v>
      </c>
      <c r="AK570" t="s">
        <v>139</v>
      </c>
      <c r="AL570">
        <v>488897.7</v>
      </c>
      <c r="AM570" t="s">
        <v>139</v>
      </c>
      <c r="AN570">
        <v>170333.3</v>
      </c>
      <c r="AO570" s="9">
        <v>3300649.2</v>
      </c>
      <c r="AP570">
        <v>300430.2</v>
      </c>
      <c r="AQ570" t="s">
        <v>139</v>
      </c>
      <c r="AR570" t="s">
        <v>139</v>
      </c>
      <c r="AS570">
        <f t="shared" si="8"/>
        <v>2871635.7</v>
      </c>
      <c r="AT570">
        <f t="shared" si="7"/>
        <v>1.2540167960720086</v>
      </c>
    </row>
    <row r="571" spans="1:46" x14ac:dyDescent="0.4">
      <c r="A571" s="3" t="s">
        <v>702</v>
      </c>
      <c r="B571">
        <v>2993458</v>
      </c>
      <c r="C571">
        <v>892719.9</v>
      </c>
      <c r="D571">
        <v>729619.6</v>
      </c>
      <c r="E571" t="s">
        <v>139</v>
      </c>
      <c r="F571" t="s">
        <v>139</v>
      </c>
      <c r="G571">
        <v>163100.29999999999</v>
      </c>
      <c r="H571" t="s">
        <v>139</v>
      </c>
      <c r="I571" t="s">
        <v>139</v>
      </c>
      <c r="J571">
        <v>2100738.1</v>
      </c>
      <c r="K571">
        <v>583713.9</v>
      </c>
      <c r="L571">
        <v>928685.7</v>
      </c>
      <c r="M571" t="s">
        <v>139</v>
      </c>
      <c r="N571">
        <v>74020</v>
      </c>
      <c r="O571" t="s">
        <v>139</v>
      </c>
      <c r="P571" t="s">
        <v>139</v>
      </c>
      <c r="Q571" t="s">
        <v>139</v>
      </c>
      <c r="R571" t="s">
        <v>139</v>
      </c>
      <c r="S571" t="s">
        <v>139</v>
      </c>
      <c r="T571" t="s">
        <v>139</v>
      </c>
      <c r="U571">
        <v>385199.3</v>
      </c>
      <c r="V571" s="6" t="s">
        <v>139</v>
      </c>
      <c r="W571" t="s">
        <v>139</v>
      </c>
      <c r="X571" t="s">
        <v>139</v>
      </c>
      <c r="Y571" t="s">
        <v>139</v>
      </c>
      <c r="Z571">
        <v>203139.3</v>
      </c>
      <c r="AA571" t="s">
        <v>139</v>
      </c>
      <c r="AB571" t="s">
        <v>139</v>
      </c>
      <c r="AC571" t="s">
        <v>139</v>
      </c>
      <c r="AD571">
        <v>231187.8</v>
      </c>
      <c r="AE571" t="s">
        <v>139</v>
      </c>
      <c r="AF571">
        <v>27804.1</v>
      </c>
      <c r="AG571">
        <v>223139.4</v>
      </c>
      <c r="AH571" s="9">
        <v>3617122.6</v>
      </c>
      <c r="AI571">
        <v>2533292.6</v>
      </c>
      <c r="AJ571">
        <v>348147</v>
      </c>
      <c r="AK571" t="s">
        <v>139</v>
      </c>
      <c r="AL571">
        <v>498611.20000000001</v>
      </c>
      <c r="AM571" t="s">
        <v>139</v>
      </c>
      <c r="AN571">
        <v>172925.3</v>
      </c>
      <c r="AO571" s="9">
        <v>3315681.4</v>
      </c>
      <c r="AP571">
        <v>301441.09999999998</v>
      </c>
      <c r="AQ571" t="s">
        <v>139</v>
      </c>
      <c r="AR571" t="s">
        <v>139</v>
      </c>
      <c r="AS571">
        <f t="shared" si="8"/>
        <v>2881439.6</v>
      </c>
      <c r="AT571">
        <f t="shared" si="7"/>
        <v>1.255317862640605</v>
      </c>
    </row>
    <row r="572" spans="1:46" x14ac:dyDescent="0.4">
      <c r="A572" s="3" t="s">
        <v>703</v>
      </c>
      <c r="B572">
        <v>3006156.7</v>
      </c>
      <c r="C572">
        <v>899177.5</v>
      </c>
      <c r="D572">
        <v>736124.6</v>
      </c>
      <c r="E572" t="s">
        <v>139</v>
      </c>
      <c r="F572" t="s">
        <v>139</v>
      </c>
      <c r="G572">
        <v>163052.9</v>
      </c>
      <c r="H572" t="s">
        <v>139</v>
      </c>
      <c r="I572" t="s">
        <v>139</v>
      </c>
      <c r="J572">
        <v>2106979.2000000002</v>
      </c>
      <c r="K572">
        <v>587455.4</v>
      </c>
      <c r="L572">
        <v>929478.8</v>
      </c>
      <c r="M572" t="s">
        <v>139</v>
      </c>
      <c r="N572">
        <v>73813.399999999994</v>
      </c>
      <c r="O572" t="s">
        <v>139</v>
      </c>
      <c r="P572" t="s">
        <v>139</v>
      </c>
      <c r="Q572" t="s">
        <v>139</v>
      </c>
      <c r="R572" t="s">
        <v>139</v>
      </c>
      <c r="S572" t="s">
        <v>139</v>
      </c>
      <c r="T572" t="s">
        <v>139</v>
      </c>
      <c r="U572">
        <v>388227.3</v>
      </c>
      <c r="V572" s="6" t="s">
        <v>139</v>
      </c>
      <c r="W572" t="s">
        <v>139</v>
      </c>
      <c r="X572" t="s">
        <v>139</v>
      </c>
      <c r="Y572" t="s">
        <v>139</v>
      </c>
      <c r="Z572">
        <v>201817.7</v>
      </c>
      <c r="AA572" t="s">
        <v>139</v>
      </c>
      <c r="AB572" t="s">
        <v>139</v>
      </c>
      <c r="AC572" t="s">
        <v>139</v>
      </c>
      <c r="AD572">
        <v>229717.1</v>
      </c>
      <c r="AE572" t="s">
        <v>139</v>
      </c>
      <c r="AF572">
        <v>29095.4</v>
      </c>
      <c r="AG572">
        <v>251202.1</v>
      </c>
      <c r="AH572" s="9">
        <v>3653839.2</v>
      </c>
      <c r="AI572">
        <v>2534046.2000000002</v>
      </c>
      <c r="AJ572">
        <v>348764</v>
      </c>
      <c r="AK572" t="s">
        <v>139</v>
      </c>
      <c r="AL572">
        <v>502415.3</v>
      </c>
      <c r="AM572" t="s">
        <v>139</v>
      </c>
      <c r="AN572">
        <v>203687.6</v>
      </c>
      <c r="AO572" s="9">
        <v>3351577.5</v>
      </c>
      <c r="AP572">
        <v>302261.7</v>
      </c>
      <c r="AQ572" t="s">
        <v>139</v>
      </c>
      <c r="AR572" t="s">
        <v>139</v>
      </c>
      <c r="AS572">
        <f t="shared" si="8"/>
        <v>2882810.2</v>
      </c>
      <c r="AT572">
        <f t="shared" si="7"/>
        <v>1.2674574274782293</v>
      </c>
    </row>
    <row r="573" spans="1:46" x14ac:dyDescent="0.4">
      <c r="A573" s="3" t="s">
        <v>704</v>
      </c>
      <c r="B573">
        <v>3008453.7</v>
      </c>
      <c r="C573">
        <v>894679.5</v>
      </c>
      <c r="D573">
        <v>731445.2</v>
      </c>
      <c r="E573" t="s">
        <v>139</v>
      </c>
      <c r="F573" t="s">
        <v>139</v>
      </c>
      <c r="G573">
        <v>163234.29999999999</v>
      </c>
      <c r="H573" t="s">
        <v>139</v>
      </c>
      <c r="I573" t="s">
        <v>139</v>
      </c>
      <c r="J573">
        <v>2113774.2000000002</v>
      </c>
      <c r="K573">
        <v>588076.19999999995</v>
      </c>
      <c r="L573">
        <v>929583.5</v>
      </c>
      <c r="M573" t="s">
        <v>139</v>
      </c>
      <c r="N573">
        <v>73862</v>
      </c>
      <c r="O573" t="s">
        <v>139</v>
      </c>
      <c r="P573" t="s">
        <v>139</v>
      </c>
      <c r="Q573" t="s">
        <v>139</v>
      </c>
      <c r="R573" t="s">
        <v>139</v>
      </c>
      <c r="S573" t="s">
        <v>139</v>
      </c>
      <c r="T573" t="s">
        <v>139</v>
      </c>
      <c r="U573">
        <v>390944.6</v>
      </c>
      <c r="V573" s="6" t="s">
        <v>139</v>
      </c>
      <c r="W573" t="s">
        <v>139</v>
      </c>
      <c r="X573" t="s">
        <v>139</v>
      </c>
      <c r="Y573" t="s">
        <v>139</v>
      </c>
      <c r="Z573">
        <v>205169.8</v>
      </c>
      <c r="AA573" t="s">
        <v>139</v>
      </c>
      <c r="AB573" t="s">
        <v>139</v>
      </c>
      <c r="AC573" t="s">
        <v>139</v>
      </c>
      <c r="AD573">
        <v>235500.7</v>
      </c>
      <c r="AE573" t="s">
        <v>139</v>
      </c>
      <c r="AF573">
        <v>28196.7</v>
      </c>
      <c r="AG573">
        <v>257345.1</v>
      </c>
      <c r="AH573" s="9">
        <v>3670777.7</v>
      </c>
      <c r="AI573">
        <v>2527713.1</v>
      </c>
      <c r="AJ573">
        <v>342089.4</v>
      </c>
      <c r="AK573" t="s">
        <v>139</v>
      </c>
      <c r="AL573">
        <v>504707.4</v>
      </c>
      <c r="AM573" t="s">
        <v>139</v>
      </c>
      <c r="AN573">
        <v>201723.3</v>
      </c>
      <c r="AO573" s="9">
        <v>3367398.1</v>
      </c>
      <c r="AP573">
        <v>303379.59999999998</v>
      </c>
      <c r="AQ573" t="s">
        <v>139</v>
      </c>
      <c r="AR573" t="s">
        <v>139</v>
      </c>
      <c r="AS573">
        <f t="shared" si="8"/>
        <v>2869802.5</v>
      </c>
      <c r="AT573">
        <f t="shared" si="7"/>
        <v>1.2791046422184105</v>
      </c>
    </row>
    <row r="574" spans="1:46" x14ac:dyDescent="0.4">
      <c r="A574" s="3" t="s">
        <v>705</v>
      </c>
      <c r="B574">
        <v>3038525.4</v>
      </c>
      <c r="C574">
        <v>910101.6</v>
      </c>
      <c r="D574">
        <v>745439.3</v>
      </c>
      <c r="E574" t="s">
        <v>139</v>
      </c>
      <c r="F574" t="s">
        <v>139</v>
      </c>
      <c r="G574">
        <v>164662.29999999999</v>
      </c>
      <c r="H574" t="s">
        <v>139</v>
      </c>
      <c r="I574" t="s">
        <v>139</v>
      </c>
      <c r="J574">
        <v>2128423.7999999998</v>
      </c>
      <c r="K574">
        <v>594785.9</v>
      </c>
      <c r="L574">
        <v>931876.8</v>
      </c>
      <c r="M574" t="s">
        <v>139</v>
      </c>
      <c r="N574">
        <v>73929.3</v>
      </c>
      <c r="O574" t="s">
        <v>139</v>
      </c>
      <c r="P574" t="s">
        <v>139</v>
      </c>
      <c r="Q574" t="s">
        <v>139</v>
      </c>
      <c r="R574" t="s">
        <v>139</v>
      </c>
      <c r="S574" t="s">
        <v>139</v>
      </c>
      <c r="T574" t="s">
        <v>139</v>
      </c>
      <c r="U574">
        <v>393579</v>
      </c>
      <c r="V574" s="6" t="s">
        <v>139</v>
      </c>
      <c r="W574" t="s">
        <v>139</v>
      </c>
      <c r="X574" t="s">
        <v>139</v>
      </c>
      <c r="Y574" t="s">
        <v>139</v>
      </c>
      <c r="Z574">
        <v>208182.1</v>
      </c>
      <c r="AA574" t="s">
        <v>139</v>
      </c>
      <c r="AB574" t="s">
        <v>139</v>
      </c>
      <c r="AC574" t="s">
        <v>139</v>
      </c>
      <c r="AD574">
        <v>233702.1</v>
      </c>
      <c r="AE574" t="s">
        <v>139</v>
      </c>
      <c r="AF574">
        <v>28225.8</v>
      </c>
      <c r="AG574">
        <v>260896.1</v>
      </c>
      <c r="AH574" s="9">
        <v>3693037.4</v>
      </c>
      <c r="AI574">
        <v>2517405.1</v>
      </c>
      <c r="AJ574">
        <v>335320.09999999998</v>
      </c>
      <c r="AK574" t="s">
        <v>139</v>
      </c>
      <c r="AL574">
        <v>510489.8</v>
      </c>
      <c r="AM574" t="s">
        <v>139</v>
      </c>
      <c r="AN574">
        <v>203196.79999999999</v>
      </c>
      <c r="AO574" s="9">
        <v>3381614.7</v>
      </c>
      <c r="AP574">
        <v>311422.7</v>
      </c>
      <c r="AQ574" t="s">
        <v>139</v>
      </c>
      <c r="AR574" t="s">
        <v>139</v>
      </c>
      <c r="AS574">
        <f t="shared" si="8"/>
        <v>2852725.2</v>
      </c>
      <c r="AT574">
        <f t="shared" si="7"/>
        <v>1.2945647200788915</v>
      </c>
    </row>
    <row r="575" spans="1:46" x14ac:dyDescent="0.4">
      <c r="A575" s="3" t="s">
        <v>706</v>
      </c>
      <c r="B575">
        <v>3056915.7</v>
      </c>
      <c r="C575">
        <v>916788.7</v>
      </c>
      <c r="D575">
        <v>751952.7</v>
      </c>
      <c r="E575" t="s">
        <v>139</v>
      </c>
      <c r="F575" t="s">
        <v>139</v>
      </c>
      <c r="G575">
        <v>164836</v>
      </c>
      <c r="H575" t="s">
        <v>139</v>
      </c>
      <c r="I575" t="s">
        <v>139</v>
      </c>
      <c r="J575">
        <v>2140127</v>
      </c>
      <c r="K575">
        <v>600464.9</v>
      </c>
      <c r="L575">
        <v>935539.9</v>
      </c>
      <c r="M575" t="s">
        <v>139</v>
      </c>
      <c r="N575">
        <v>73900.399999999994</v>
      </c>
      <c r="O575" t="s">
        <v>139</v>
      </c>
      <c r="P575" t="s">
        <v>139</v>
      </c>
      <c r="Q575" t="s">
        <v>139</v>
      </c>
      <c r="R575" t="s">
        <v>139</v>
      </c>
      <c r="S575" t="s">
        <v>139</v>
      </c>
      <c r="T575" t="s">
        <v>139</v>
      </c>
      <c r="U575">
        <v>399199.8</v>
      </c>
      <c r="V575" s="6" t="s">
        <v>139</v>
      </c>
      <c r="W575" t="s">
        <v>139</v>
      </c>
      <c r="X575" t="s">
        <v>139</v>
      </c>
      <c r="Y575" t="s">
        <v>139</v>
      </c>
      <c r="Z575">
        <v>204922.4</v>
      </c>
      <c r="AA575" t="s">
        <v>139</v>
      </c>
      <c r="AB575" t="s">
        <v>139</v>
      </c>
      <c r="AC575" t="s">
        <v>139</v>
      </c>
      <c r="AD575">
        <v>226320.9</v>
      </c>
      <c r="AE575" t="s">
        <v>139</v>
      </c>
      <c r="AF575">
        <v>28613.4</v>
      </c>
      <c r="AG575">
        <v>255941.2</v>
      </c>
      <c r="AH575" s="9">
        <v>3700648.3</v>
      </c>
      <c r="AI575">
        <v>2507758.1</v>
      </c>
      <c r="AJ575">
        <v>337900.3</v>
      </c>
      <c r="AK575" t="s">
        <v>139</v>
      </c>
      <c r="AL575">
        <v>519433.8</v>
      </c>
      <c r="AM575" t="s">
        <v>139</v>
      </c>
      <c r="AN575">
        <v>208861.2</v>
      </c>
      <c r="AO575" s="9">
        <v>3395643.5</v>
      </c>
      <c r="AP575">
        <v>305004.79999999999</v>
      </c>
      <c r="AQ575" t="s">
        <v>139</v>
      </c>
      <c r="AR575" t="s">
        <v>139</v>
      </c>
      <c r="AS575">
        <f t="shared" si="8"/>
        <v>2845658.4</v>
      </c>
      <c r="AT575">
        <f t="shared" si="7"/>
        <v>1.3004541585174103</v>
      </c>
    </row>
    <row r="576" spans="1:46" x14ac:dyDescent="0.4">
      <c r="A576" s="3" t="s">
        <v>707</v>
      </c>
      <c r="B576">
        <v>3061950.2</v>
      </c>
      <c r="C576">
        <v>912483.8</v>
      </c>
      <c r="D576">
        <v>744252.6</v>
      </c>
      <c r="E576" t="s">
        <v>139</v>
      </c>
      <c r="F576" t="s">
        <v>139</v>
      </c>
      <c r="G576">
        <v>168231.2</v>
      </c>
      <c r="H576" t="s">
        <v>139</v>
      </c>
      <c r="I576" t="s">
        <v>139</v>
      </c>
      <c r="J576">
        <v>2149466.4</v>
      </c>
      <c r="K576">
        <v>604737.1</v>
      </c>
      <c r="L576">
        <v>939757.3</v>
      </c>
      <c r="M576" t="s">
        <v>139</v>
      </c>
      <c r="N576">
        <v>74091.899999999994</v>
      </c>
      <c r="O576" t="s">
        <v>139</v>
      </c>
      <c r="P576" t="s">
        <v>139</v>
      </c>
      <c r="Q576" t="s">
        <v>139</v>
      </c>
      <c r="R576" t="s">
        <v>139</v>
      </c>
      <c r="S576" t="s">
        <v>139</v>
      </c>
      <c r="T576" t="s">
        <v>139</v>
      </c>
      <c r="U576">
        <v>403778.9</v>
      </c>
      <c r="V576" s="6" t="s">
        <v>139</v>
      </c>
      <c r="W576" t="s">
        <v>139</v>
      </c>
      <c r="X576" t="s">
        <v>139</v>
      </c>
      <c r="Y576" t="s">
        <v>139</v>
      </c>
      <c r="Z576">
        <v>201193</v>
      </c>
      <c r="AA576" t="s">
        <v>139</v>
      </c>
      <c r="AB576" t="s">
        <v>139</v>
      </c>
      <c r="AC576" t="s">
        <v>139</v>
      </c>
      <c r="AD576">
        <v>230335.5</v>
      </c>
      <c r="AE576" t="s">
        <v>139</v>
      </c>
      <c r="AF576">
        <v>29583.1</v>
      </c>
      <c r="AG576">
        <v>260337.6</v>
      </c>
      <c r="AH576" s="9">
        <v>3719888.1</v>
      </c>
      <c r="AI576">
        <v>2520649</v>
      </c>
      <c r="AJ576">
        <v>340951.4</v>
      </c>
      <c r="AK576" t="s">
        <v>139</v>
      </c>
      <c r="AL576">
        <v>527833.80000000005</v>
      </c>
      <c r="AM576" t="s">
        <v>139</v>
      </c>
      <c r="AN576">
        <v>215242.2</v>
      </c>
      <c r="AO576" s="9">
        <v>3420794</v>
      </c>
      <c r="AP576">
        <v>299094.09999999998</v>
      </c>
      <c r="AQ576" t="s">
        <v>139</v>
      </c>
      <c r="AR576" t="s">
        <v>139</v>
      </c>
      <c r="AS576">
        <f t="shared" si="8"/>
        <v>2861600.4</v>
      </c>
      <c r="AT576">
        <f t="shared" si="7"/>
        <v>1.299932757907079</v>
      </c>
    </row>
    <row r="577" spans="1:46" x14ac:dyDescent="0.4">
      <c r="A577" s="3" t="s">
        <v>708</v>
      </c>
      <c r="B577">
        <v>3077208.7</v>
      </c>
      <c r="C577">
        <v>916530.8</v>
      </c>
      <c r="D577">
        <v>746633.2</v>
      </c>
      <c r="E577" t="s">
        <v>139</v>
      </c>
      <c r="F577" t="s">
        <v>139</v>
      </c>
      <c r="G577">
        <v>169897.5</v>
      </c>
      <c r="H577" t="s">
        <v>139</v>
      </c>
      <c r="I577" t="s">
        <v>139</v>
      </c>
      <c r="J577">
        <v>2160677.9</v>
      </c>
      <c r="K577">
        <v>609009.1</v>
      </c>
      <c r="L577">
        <v>944661.6</v>
      </c>
      <c r="M577" t="s">
        <v>139</v>
      </c>
      <c r="N577">
        <v>74447.3</v>
      </c>
      <c r="O577" t="s">
        <v>139</v>
      </c>
      <c r="P577" t="s">
        <v>139</v>
      </c>
      <c r="Q577" t="s">
        <v>139</v>
      </c>
      <c r="R577" t="s">
        <v>139</v>
      </c>
      <c r="S577" t="s">
        <v>139</v>
      </c>
      <c r="T577" t="s">
        <v>139</v>
      </c>
      <c r="U577">
        <v>406931.1</v>
      </c>
      <c r="V577" s="6" t="s">
        <v>139</v>
      </c>
      <c r="W577" t="s">
        <v>139</v>
      </c>
      <c r="X577" t="s">
        <v>139</v>
      </c>
      <c r="Y577" t="s">
        <v>139</v>
      </c>
      <c r="Z577">
        <v>200076.2</v>
      </c>
      <c r="AA577" t="s">
        <v>139</v>
      </c>
      <c r="AB577" t="s">
        <v>139</v>
      </c>
      <c r="AC577" t="s">
        <v>139</v>
      </c>
      <c r="AD577">
        <v>228887.1</v>
      </c>
      <c r="AE577" t="s">
        <v>139</v>
      </c>
      <c r="AF577">
        <v>31569.599999999999</v>
      </c>
      <c r="AG577">
        <v>259000.7</v>
      </c>
      <c r="AH577" s="9">
        <v>3726641.3</v>
      </c>
      <c r="AI577">
        <v>2514926.6</v>
      </c>
      <c r="AJ577">
        <v>337436.4</v>
      </c>
      <c r="AK577" t="s">
        <v>139</v>
      </c>
      <c r="AL577">
        <v>538220</v>
      </c>
      <c r="AM577" t="s">
        <v>139</v>
      </c>
      <c r="AN577">
        <v>212943.4</v>
      </c>
      <c r="AO577" s="9">
        <v>3427432.6</v>
      </c>
      <c r="AP577">
        <v>299208.7</v>
      </c>
      <c r="AQ577" t="s">
        <v>139</v>
      </c>
      <c r="AR577" t="s">
        <v>139</v>
      </c>
      <c r="AS577">
        <f t="shared" si="8"/>
        <v>2852363</v>
      </c>
      <c r="AT577">
        <f t="shared" ref="AT577:AT640" si="9">AH577/AS577</f>
        <v>1.3065101812076512</v>
      </c>
    </row>
    <row r="578" spans="1:46" x14ac:dyDescent="0.4">
      <c r="A578" s="3" t="s">
        <v>709</v>
      </c>
      <c r="B578">
        <v>3103693.9</v>
      </c>
      <c r="C578">
        <v>918697.2</v>
      </c>
      <c r="D578">
        <v>749907.1</v>
      </c>
      <c r="E578" t="s">
        <v>139</v>
      </c>
      <c r="F578" t="s">
        <v>139</v>
      </c>
      <c r="G578">
        <v>168790.1</v>
      </c>
      <c r="H578" t="s">
        <v>139</v>
      </c>
      <c r="I578" t="s">
        <v>139</v>
      </c>
      <c r="J578">
        <v>2184996.7000000002</v>
      </c>
      <c r="K578">
        <v>616510.80000000005</v>
      </c>
      <c r="L578">
        <v>951423.5</v>
      </c>
      <c r="M578" t="s">
        <v>139</v>
      </c>
      <c r="N578">
        <v>74636.3</v>
      </c>
      <c r="O578" t="s">
        <v>139</v>
      </c>
      <c r="P578" t="s">
        <v>139</v>
      </c>
      <c r="Q578" t="s">
        <v>139</v>
      </c>
      <c r="R578" t="s">
        <v>139</v>
      </c>
      <c r="S578" t="s">
        <v>139</v>
      </c>
      <c r="T578" t="s">
        <v>139</v>
      </c>
      <c r="U578">
        <v>414635.8</v>
      </c>
      <c r="V578" s="6" t="s">
        <v>139</v>
      </c>
      <c r="W578" t="s">
        <v>139</v>
      </c>
      <c r="X578" t="s">
        <v>139</v>
      </c>
      <c r="Y578" t="s">
        <v>139</v>
      </c>
      <c r="Z578">
        <v>202426.6</v>
      </c>
      <c r="AA578" t="s">
        <v>139</v>
      </c>
      <c r="AB578" t="s">
        <v>139</v>
      </c>
      <c r="AC578" t="s">
        <v>139</v>
      </c>
      <c r="AD578">
        <v>225414</v>
      </c>
      <c r="AE578" t="s">
        <v>139</v>
      </c>
      <c r="AF578">
        <v>33126.1</v>
      </c>
      <c r="AG578">
        <v>269983.8</v>
      </c>
      <c r="AH578" s="9">
        <v>3770247.5</v>
      </c>
      <c r="AI578">
        <v>2523356.9</v>
      </c>
      <c r="AJ578">
        <v>342945.8</v>
      </c>
      <c r="AK578" t="s">
        <v>139</v>
      </c>
      <c r="AL578">
        <v>550716.80000000005</v>
      </c>
      <c r="AM578" t="s">
        <v>139</v>
      </c>
      <c r="AN578">
        <v>223019.9</v>
      </c>
      <c r="AO578" s="9">
        <v>3462919.8</v>
      </c>
      <c r="AP578">
        <v>307327.8</v>
      </c>
      <c r="AQ578" t="s">
        <v>139</v>
      </c>
      <c r="AR578" t="s">
        <v>139</v>
      </c>
      <c r="AS578">
        <f t="shared" si="8"/>
        <v>2866302.6999999997</v>
      </c>
      <c r="AT578">
        <f t="shared" si="9"/>
        <v>1.3153696223361198</v>
      </c>
    </row>
    <row r="579" spans="1:46" x14ac:dyDescent="0.4">
      <c r="A579" s="3" t="s">
        <v>710</v>
      </c>
      <c r="B579">
        <v>3116174.1</v>
      </c>
      <c r="C579">
        <v>912051.4</v>
      </c>
      <c r="D579">
        <v>743231.6</v>
      </c>
      <c r="E579" t="s">
        <v>139</v>
      </c>
      <c r="F579" t="s">
        <v>139</v>
      </c>
      <c r="G579">
        <v>168819.7</v>
      </c>
      <c r="H579" t="s">
        <v>139</v>
      </c>
      <c r="I579" t="s">
        <v>139</v>
      </c>
      <c r="J579">
        <v>2204122.7000000002</v>
      </c>
      <c r="K579">
        <v>622124</v>
      </c>
      <c r="L579">
        <v>957499.7</v>
      </c>
      <c r="M579" t="s">
        <v>139</v>
      </c>
      <c r="N579">
        <v>74847.8</v>
      </c>
      <c r="O579" t="s">
        <v>139</v>
      </c>
      <c r="P579" t="s">
        <v>139</v>
      </c>
      <c r="Q579" t="s">
        <v>139</v>
      </c>
      <c r="R579" t="s">
        <v>139</v>
      </c>
      <c r="S579" t="s">
        <v>139</v>
      </c>
      <c r="T579" t="s">
        <v>139</v>
      </c>
      <c r="U579">
        <v>420517.1</v>
      </c>
      <c r="V579" s="6" t="s">
        <v>139</v>
      </c>
      <c r="W579" t="s">
        <v>139</v>
      </c>
      <c r="X579" t="s">
        <v>139</v>
      </c>
      <c r="Y579" t="s">
        <v>139</v>
      </c>
      <c r="Z579">
        <v>203981.9</v>
      </c>
      <c r="AA579" t="s">
        <v>139</v>
      </c>
      <c r="AB579" t="s">
        <v>139</v>
      </c>
      <c r="AC579" t="s">
        <v>139</v>
      </c>
      <c r="AD579">
        <v>220557.3</v>
      </c>
      <c r="AE579" t="s">
        <v>139</v>
      </c>
      <c r="AF579">
        <v>34158</v>
      </c>
      <c r="AG579">
        <v>268424.2</v>
      </c>
      <c r="AH579" s="9">
        <v>3781657.7</v>
      </c>
      <c r="AI579">
        <v>2521996.7999999998</v>
      </c>
      <c r="AJ579">
        <v>346794.3</v>
      </c>
      <c r="AK579" t="s">
        <v>139</v>
      </c>
      <c r="AL579">
        <v>556790.30000000005</v>
      </c>
      <c r="AM579" t="s">
        <v>139</v>
      </c>
      <c r="AN579">
        <v>219623.9</v>
      </c>
      <c r="AO579" s="9">
        <v>3469005.6</v>
      </c>
      <c r="AP579">
        <v>312652.09999999998</v>
      </c>
      <c r="AQ579" t="s">
        <v>139</v>
      </c>
      <c r="AR579" t="s">
        <v>139</v>
      </c>
      <c r="AS579">
        <f t="shared" si="8"/>
        <v>2868791.0999999996</v>
      </c>
      <c r="AT579">
        <f t="shared" si="9"/>
        <v>1.3182060206475128</v>
      </c>
    </row>
    <row r="580" spans="1:46" x14ac:dyDescent="0.4">
      <c r="A580" s="3" t="s">
        <v>711</v>
      </c>
      <c r="B580">
        <v>3128907.7</v>
      </c>
      <c r="C580">
        <v>909661.6</v>
      </c>
      <c r="D580">
        <v>740203.8</v>
      </c>
      <c r="E580" t="s">
        <v>139</v>
      </c>
      <c r="F580" t="s">
        <v>139</v>
      </c>
      <c r="G580">
        <v>169457.7</v>
      </c>
      <c r="H580" t="s">
        <v>139</v>
      </c>
      <c r="I580" t="s">
        <v>139</v>
      </c>
      <c r="J580">
        <v>2219246.1</v>
      </c>
      <c r="K580">
        <v>624969.30000000005</v>
      </c>
      <c r="L580">
        <v>965110.3</v>
      </c>
      <c r="M580" t="s">
        <v>139</v>
      </c>
      <c r="N580">
        <v>75045.600000000006</v>
      </c>
      <c r="O580" t="s">
        <v>139</v>
      </c>
      <c r="P580" t="s">
        <v>139</v>
      </c>
      <c r="Q580" t="s">
        <v>139</v>
      </c>
      <c r="R580" t="s">
        <v>139</v>
      </c>
      <c r="S580" t="s">
        <v>139</v>
      </c>
      <c r="T580" t="s">
        <v>139</v>
      </c>
      <c r="U580">
        <v>425674.6</v>
      </c>
      <c r="V580" s="6" t="s">
        <v>139</v>
      </c>
      <c r="W580" t="s">
        <v>139</v>
      </c>
      <c r="X580" t="s">
        <v>139</v>
      </c>
      <c r="Y580" t="s">
        <v>139</v>
      </c>
      <c r="Z580">
        <v>203491.9</v>
      </c>
      <c r="AA580" t="s">
        <v>139</v>
      </c>
      <c r="AB580" t="s">
        <v>139</v>
      </c>
      <c r="AC580" t="s">
        <v>139</v>
      </c>
      <c r="AD580">
        <v>219039.7</v>
      </c>
      <c r="AE580" t="s">
        <v>139</v>
      </c>
      <c r="AF580">
        <v>35975.699999999997</v>
      </c>
      <c r="AG580">
        <v>266374.5</v>
      </c>
      <c r="AH580" s="9">
        <v>3788067.3</v>
      </c>
      <c r="AI580">
        <v>2523107.2999999998</v>
      </c>
      <c r="AJ580">
        <v>351598.4</v>
      </c>
      <c r="AK580" t="s">
        <v>139</v>
      </c>
      <c r="AL580">
        <v>556417.30000000005</v>
      </c>
      <c r="AM580" t="s">
        <v>139</v>
      </c>
      <c r="AN580">
        <v>215860</v>
      </c>
      <c r="AO580" s="9">
        <v>3470846.2</v>
      </c>
      <c r="AP580">
        <v>317221.09999999998</v>
      </c>
      <c r="AQ580" t="s">
        <v>139</v>
      </c>
      <c r="AR580" t="s">
        <v>139</v>
      </c>
      <c r="AS580">
        <f t="shared" si="8"/>
        <v>2874705.6999999997</v>
      </c>
      <c r="AT580">
        <f t="shared" si="9"/>
        <v>1.3177235151410456</v>
      </c>
    </row>
    <row r="581" spans="1:46" x14ac:dyDescent="0.4">
      <c r="A581" s="3" t="s">
        <v>712</v>
      </c>
      <c r="B581">
        <v>3139895</v>
      </c>
      <c r="C581">
        <v>898236.7</v>
      </c>
      <c r="D581">
        <v>730209.7</v>
      </c>
      <c r="E581" t="s">
        <v>139</v>
      </c>
      <c r="F581" t="s">
        <v>139</v>
      </c>
      <c r="G581">
        <v>168027</v>
      </c>
      <c r="H581" t="s">
        <v>139</v>
      </c>
      <c r="I581" t="s">
        <v>139</v>
      </c>
      <c r="J581">
        <v>2241658.2999999998</v>
      </c>
      <c r="K581">
        <v>631592.1</v>
      </c>
      <c r="L581">
        <v>971238.8</v>
      </c>
      <c r="M581" t="s">
        <v>139</v>
      </c>
      <c r="N581">
        <v>75327.5</v>
      </c>
      <c r="O581" t="s">
        <v>139</v>
      </c>
      <c r="P581" t="s">
        <v>139</v>
      </c>
      <c r="Q581" t="s">
        <v>139</v>
      </c>
      <c r="R581" t="s">
        <v>139</v>
      </c>
      <c r="S581" t="s">
        <v>139</v>
      </c>
      <c r="T581" t="s">
        <v>139</v>
      </c>
      <c r="U581">
        <v>433041.2</v>
      </c>
      <c r="V581" s="6" t="s">
        <v>139</v>
      </c>
      <c r="W581" t="s">
        <v>139</v>
      </c>
      <c r="X581" t="s">
        <v>139</v>
      </c>
      <c r="Y581" t="s">
        <v>139</v>
      </c>
      <c r="Z581">
        <v>205786.3</v>
      </c>
      <c r="AA581" t="s">
        <v>139</v>
      </c>
      <c r="AB581" t="s">
        <v>139</v>
      </c>
      <c r="AC581" t="s">
        <v>139</v>
      </c>
      <c r="AD581">
        <v>221130</v>
      </c>
      <c r="AE581" t="s">
        <v>139</v>
      </c>
      <c r="AF581">
        <v>37049.199999999997</v>
      </c>
      <c r="AG581">
        <v>273072.59999999998</v>
      </c>
      <c r="AH581" s="9">
        <v>3807000.8</v>
      </c>
      <c r="AI581">
        <v>2528347.6</v>
      </c>
      <c r="AJ581">
        <v>355649.3</v>
      </c>
      <c r="AK581" t="s">
        <v>139</v>
      </c>
      <c r="AL581">
        <v>560219.1</v>
      </c>
      <c r="AM581" t="s">
        <v>139</v>
      </c>
      <c r="AN581">
        <v>216028.4</v>
      </c>
      <c r="AO581" s="9">
        <v>3492037.6</v>
      </c>
      <c r="AP581">
        <v>314963.20000000001</v>
      </c>
      <c r="AQ581" t="s">
        <v>139</v>
      </c>
      <c r="AR581" t="s">
        <v>139</v>
      </c>
      <c r="AS581">
        <f t="shared" si="8"/>
        <v>2883996.9</v>
      </c>
      <c r="AT581">
        <f t="shared" si="9"/>
        <v>1.32004330517831</v>
      </c>
    </row>
    <row r="582" spans="1:46" x14ac:dyDescent="0.4">
      <c r="A582" s="3" t="s">
        <v>713</v>
      </c>
      <c r="B582">
        <v>3150598.4</v>
      </c>
      <c r="C582">
        <v>890308.3</v>
      </c>
      <c r="D582">
        <v>721588.5</v>
      </c>
      <c r="E582" t="s">
        <v>139</v>
      </c>
      <c r="F582" t="s">
        <v>139</v>
      </c>
      <c r="G582">
        <v>168719.8</v>
      </c>
      <c r="H582" t="s">
        <v>139</v>
      </c>
      <c r="I582" t="s">
        <v>139</v>
      </c>
      <c r="J582">
        <v>2260290</v>
      </c>
      <c r="K582">
        <v>638385.1</v>
      </c>
      <c r="L582">
        <v>977771.3</v>
      </c>
      <c r="M582" t="s">
        <v>139</v>
      </c>
      <c r="N582">
        <v>75730.7</v>
      </c>
      <c r="O582" t="s">
        <v>139</v>
      </c>
      <c r="P582" t="s">
        <v>139</v>
      </c>
      <c r="Q582" t="s">
        <v>139</v>
      </c>
      <c r="R582" t="s">
        <v>139</v>
      </c>
      <c r="S582" t="s">
        <v>139</v>
      </c>
      <c r="T582" t="s">
        <v>139</v>
      </c>
      <c r="U582">
        <v>436075.2</v>
      </c>
      <c r="V582" s="6" t="s">
        <v>139</v>
      </c>
      <c r="W582" t="s">
        <v>139</v>
      </c>
      <c r="X582" t="s">
        <v>139</v>
      </c>
      <c r="Y582" t="s">
        <v>139</v>
      </c>
      <c r="Z582">
        <v>208058.4</v>
      </c>
      <c r="AA582" t="s">
        <v>139</v>
      </c>
      <c r="AB582" t="s">
        <v>139</v>
      </c>
      <c r="AC582" t="s">
        <v>139</v>
      </c>
      <c r="AD582">
        <v>219260.6</v>
      </c>
      <c r="AE582" t="s">
        <v>139</v>
      </c>
      <c r="AF582">
        <v>39391.1</v>
      </c>
      <c r="AG582">
        <v>271040.40000000002</v>
      </c>
      <c r="AH582" s="9">
        <v>3815470.1</v>
      </c>
      <c r="AI582">
        <v>2525574.4</v>
      </c>
      <c r="AJ582">
        <v>361109.5</v>
      </c>
      <c r="AK582" t="s">
        <v>139</v>
      </c>
      <c r="AL582">
        <v>572555.9</v>
      </c>
      <c r="AM582" t="s">
        <v>139</v>
      </c>
      <c r="AN582">
        <v>215223.4</v>
      </c>
      <c r="AO582" s="9">
        <v>3493326.4</v>
      </c>
      <c r="AP582">
        <v>322143.7</v>
      </c>
      <c r="AQ582" t="s">
        <v>139</v>
      </c>
      <c r="AR582" t="s">
        <v>139</v>
      </c>
      <c r="AS582">
        <f t="shared" si="8"/>
        <v>2886683.9</v>
      </c>
      <c r="AT582">
        <f t="shared" si="9"/>
        <v>1.3217484948733043</v>
      </c>
    </row>
    <row r="583" spans="1:46" x14ac:dyDescent="0.4">
      <c r="A583" s="3" t="s">
        <v>714</v>
      </c>
      <c r="B583">
        <v>3174337.7</v>
      </c>
      <c r="C583">
        <v>890699.9</v>
      </c>
      <c r="D583">
        <v>721012.4</v>
      </c>
      <c r="E583" t="s">
        <v>139</v>
      </c>
      <c r="F583" t="s">
        <v>139</v>
      </c>
      <c r="G583">
        <v>169687.5</v>
      </c>
      <c r="H583" t="s">
        <v>139</v>
      </c>
      <c r="I583" t="s">
        <v>139</v>
      </c>
      <c r="J583">
        <v>2283637.7999999998</v>
      </c>
      <c r="K583">
        <v>643834.69999999995</v>
      </c>
      <c r="L583">
        <v>987866</v>
      </c>
      <c r="M583" t="s">
        <v>139</v>
      </c>
      <c r="N583">
        <v>76074.8</v>
      </c>
      <c r="O583" t="s">
        <v>139</v>
      </c>
      <c r="P583" t="s">
        <v>139</v>
      </c>
      <c r="Q583" t="s">
        <v>139</v>
      </c>
      <c r="R583" t="s">
        <v>139</v>
      </c>
      <c r="S583" t="s">
        <v>139</v>
      </c>
      <c r="T583" t="s">
        <v>139</v>
      </c>
      <c r="U583">
        <v>443202.8</v>
      </c>
      <c r="V583" s="6" t="s">
        <v>139</v>
      </c>
      <c r="W583" t="s">
        <v>139</v>
      </c>
      <c r="X583" t="s">
        <v>139</v>
      </c>
      <c r="Y583" t="s">
        <v>139</v>
      </c>
      <c r="Z583">
        <v>208734.3</v>
      </c>
      <c r="AA583" t="s">
        <v>139</v>
      </c>
      <c r="AB583" t="s">
        <v>139</v>
      </c>
      <c r="AC583" t="s">
        <v>139</v>
      </c>
      <c r="AD583">
        <v>220668</v>
      </c>
      <c r="AE583" t="s">
        <v>139</v>
      </c>
      <c r="AF583">
        <v>42802.2</v>
      </c>
      <c r="AG583">
        <v>258056.2</v>
      </c>
      <c r="AH583" s="9">
        <v>3837937.7</v>
      </c>
      <c r="AI583">
        <v>2532582.7000000002</v>
      </c>
      <c r="AJ583">
        <v>364989.8</v>
      </c>
      <c r="AK583" t="s">
        <v>139</v>
      </c>
      <c r="AL583">
        <v>584700.80000000005</v>
      </c>
      <c r="AM583" t="s">
        <v>139</v>
      </c>
      <c r="AN583">
        <v>208066.8</v>
      </c>
      <c r="AO583" s="9">
        <v>3519355.6</v>
      </c>
      <c r="AP583">
        <v>318582.2</v>
      </c>
      <c r="AQ583" t="s">
        <v>139</v>
      </c>
      <c r="AR583" t="s">
        <v>139</v>
      </c>
      <c r="AS583">
        <f t="shared" si="8"/>
        <v>2897572.5</v>
      </c>
      <c r="AT583">
        <f t="shared" si="9"/>
        <v>1.3245355206815361</v>
      </c>
    </row>
    <row r="584" spans="1:46" x14ac:dyDescent="0.4">
      <c r="A584" s="3" t="s">
        <v>715</v>
      </c>
      <c r="B584">
        <v>3200441.2</v>
      </c>
      <c r="C584">
        <v>890629.5</v>
      </c>
      <c r="D584">
        <v>723065</v>
      </c>
      <c r="E584" t="s">
        <v>139</v>
      </c>
      <c r="F584" t="s">
        <v>139</v>
      </c>
      <c r="G584">
        <v>167564.5</v>
      </c>
      <c r="H584" t="s">
        <v>139</v>
      </c>
      <c r="I584" t="s">
        <v>139</v>
      </c>
      <c r="J584">
        <v>2309811.7000000002</v>
      </c>
      <c r="K584">
        <v>654355.80000000005</v>
      </c>
      <c r="L584">
        <v>996751.7</v>
      </c>
      <c r="M584" t="s">
        <v>139</v>
      </c>
      <c r="N584">
        <v>76384.800000000003</v>
      </c>
      <c r="O584" t="s">
        <v>139</v>
      </c>
      <c r="P584" t="s">
        <v>139</v>
      </c>
      <c r="Q584" t="s">
        <v>139</v>
      </c>
      <c r="R584" t="s">
        <v>139</v>
      </c>
      <c r="S584" t="s">
        <v>139</v>
      </c>
      <c r="T584" t="s">
        <v>139</v>
      </c>
      <c r="U584">
        <v>447885.8</v>
      </c>
      <c r="V584" s="6" t="s">
        <v>139</v>
      </c>
      <c r="W584" t="s">
        <v>139</v>
      </c>
      <c r="X584" t="s">
        <v>139</v>
      </c>
      <c r="Y584" t="s">
        <v>139</v>
      </c>
      <c r="Z584">
        <v>210818.5</v>
      </c>
      <c r="AA584" t="s">
        <v>139</v>
      </c>
      <c r="AB584" t="s">
        <v>139</v>
      </c>
      <c r="AC584" t="s">
        <v>139</v>
      </c>
      <c r="AD584">
        <v>227841.7</v>
      </c>
      <c r="AE584" t="s">
        <v>139</v>
      </c>
      <c r="AF584">
        <v>44695.5</v>
      </c>
      <c r="AG584">
        <v>262604.5</v>
      </c>
      <c r="AH584" s="9">
        <v>3876559.1</v>
      </c>
      <c r="AI584">
        <v>2544810.5</v>
      </c>
      <c r="AJ584">
        <v>368882.5</v>
      </c>
      <c r="AK584" t="s">
        <v>139</v>
      </c>
      <c r="AL584">
        <v>596012.9</v>
      </c>
      <c r="AM584" t="s">
        <v>139</v>
      </c>
      <c r="AN584">
        <v>212403.6</v>
      </c>
      <c r="AO584" s="9">
        <v>3558431.9</v>
      </c>
      <c r="AP584">
        <v>318127.2</v>
      </c>
      <c r="AQ584" t="s">
        <v>139</v>
      </c>
      <c r="AR584" t="s">
        <v>139</v>
      </c>
      <c r="AS584">
        <f t="shared" si="8"/>
        <v>2913693</v>
      </c>
      <c r="AT584">
        <f t="shared" si="9"/>
        <v>1.3304624406208891</v>
      </c>
    </row>
    <row r="585" spans="1:46" x14ac:dyDescent="0.4">
      <c r="A585" s="3" t="s">
        <v>716</v>
      </c>
      <c r="B585">
        <v>3206728.6</v>
      </c>
      <c r="C585">
        <v>875368.1</v>
      </c>
      <c r="D585">
        <v>714451.5</v>
      </c>
      <c r="E585" t="s">
        <v>139</v>
      </c>
      <c r="F585" t="s">
        <v>139</v>
      </c>
      <c r="G585">
        <v>160916.6</v>
      </c>
      <c r="H585" t="s">
        <v>139</v>
      </c>
      <c r="I585" t="s">
        <v>139</v>
      </c>
      <c r="J585">
        <v>2331360.5</v>
      </c>
      <c r="K585">
        <v>666607.6</v>
      </c>
      <c r="L585">
        <v>1006173.5</v>
      </c>
      <c r="M585" t="s">
        <v>139</v>
      </c>
      <c r="N585">
        <v>76561.100000000006</v>
      </c>
      <c r="O585" t="s">
        <v>139</v>
      </c>
      <c r="P585" t="s">
        <v>139</v>
      </c>
      <c r="Q585" t="s">
        <v>139</v>
      </c>
      <c r="R585" t="s">
        <v>139</v>
      </c>
      <c r="S585" t="s">
        <v>139</v>
      </c>
      <c r="T585" t="s">
        <v>139</v>
      </c>
      <c r="U585">
        <v>448518.40000000002</v>
      </c>
      <c r="V585" s="6" t="s">
        <v>139</v>
      </c>
      <c r="W585" t="s">
        <v>139</v>
      </c>
      <c r="X585" t="s">
        <v>139</v>
      </c>
      <c r="Y585" t="s">
        <v>139</v>
      </c>
      <c r="Z585">
        <v>210061</v>
      </c>
      <c r="AA585" t="s">
        <v>139</v>
      </c>
      <c r="AB585" t="s">
        <v>139</v>
      </c>
      <c r="AC585" t="s">
        <v>139</v>
      </c>
      <c r="AD585">
        <v>226031.5</v>
      </c>
      <c r="AE585" t="s">
        <v>139</v>
      </c>
      <c r="AF585">
        <v>45975.6</v>
      </c>
      <c r="AG585">
        <v>274665.7</v>
      </c>
      <c r="AH585" s="9">
        <v>3895900.9</v>
      </c>
      <c r="AI585">
        <v>2546843.4</v>
      </c>
      <c r="AJ585">
        <v>374814.1</v>
      </c>
      <c r="AK585" t="s">
        <v>139</v>
      </c>
      <c r="AL585">
        <v>603378.1</v>
      </c>
      <c r="AM585" t="s">
        <v>139</v>
      </c>
      <c r="AN585">
        <v>223454</v>
      </c>
      <c r="AO585" s="9">
        <v>3581758.5</v>
      </c>
      <c r="AP585">
        <v>314142.40000000002</v>
      </c>
      <c r="AQ585" t="s">
        <v>139</v>
      </c>
      <c r="AR585" t="s">
        <v>139</v>
      </c>
      <c r="AS585">
        <f t="shared" ref="AS585:AS648" si="10">SUM(AI585:AK585)</f>
        <v>2921657.5</v>
      </c>
      <c r="AT585">
        <f t="shared" si="9"/>
        <v>1.3334557182010554</v>
      </c>
    </row>
    <row r="586" spans="1:46" x14ac:dyDescent="0.4">
      <c r="A586" s="3" t="s">
        <v>717</v>
      </c>
      <c r="B586">
        <v>3217050.2</v>
      </c>
      <c r="C586">
        <v>866025.6</v>
      </c>
      <c r="D586">
        <v>707508.3</v>
      </c>
      <c r="E586" t="s">
        <v>139</v>
      </c>
      <c r="F586" t="s">
        <v>139</v>
      </c>
      <c r="G586">
        <v>158517.29999999999</v>
      </c>
      <c r="H586" t="s">
        <v>139</v>
      </c>
      <c r="I586" t="s">
        <v>139</v>
      </c>
      <c r="J586">
        <v>2351024.6</v>
      </c>
      <c r="K586">
        <v>673526.9</v>
      </c>
      <c r="L586">
        <v>1013579.4</v>
      </c>
      <c r="M586" t="s">
        <v>139</v>
      </c>
      <c r="N586">
        <v>76529.7</v>
      </c>
      <c r="O586" t="s">
        <v>139</v>
      </c>
      <c r="P586" t="s">
        <v>139</v>
      </c>
      <c r="Q586" t="s">
        <v>139</v>
      </c>
      <c r="R586" t="s">
        <v>139</v>
      </c>
      <c r="S586" t="s">
        <v>139</v>
      </c>
      <c r="T586" t="s">
        <v>139</v>
      </c>
      <c r="U586">
        <v>451396.4</v>
      </c>
      <c r="V586" s="6" t="s">
        <v>139</v>
      </c>
      <c r="W586" t="s">
        <v>139</v>
      </c>
      <c r="X586" t="s">
        <v>139</v>
      </c>
      <c r="Y586" t="s">
        <v>139</v>
      </c>
      <c r="Z586">
        <v>212521.9</v>
      </c>
      <c r="AA586" t="s">
        <v>139</v>
      </c>
      <c r="AB586" t="s">
        <v>139</v>
      </c>
      <c r="AC586" t="s">
        <v>139</v>
      </c>
      <c r="AD586">
        <v>224099.1</v>
      </c>
      <c r="AE586" t="s">
        <v>139</v>
      </c>
      <c r="AF586">
        <v>45900.1</v>
      </c>
      <c r="AG586">
        <v>301060.40000000002</v>
      </c>
      <c r="AH586" s="9">
        <v>3931774.8</v>
      </c>
      <c r="AI586">
        <v>2547886.7000000002</v>
      </c>
      <c r="AJ586">
        <v>382354.4</v>
      </c>
      <c r="AK586" t="s">
        <v>139</v>
      </c>
      <c r="AL586">
        <v>601216.30000000005</v>
      </c>
      <c r="AM586" t="s">
        <v>139</v>
      </c>
      <c r="AN586">
        <v>249971.4</v>
      </c>
      <c r="AO586" s="9">
        <v>3607784.9</v>
      </c>
      <c r="AP586">
        <v>323989.90000000002</v>
      </c>
      <c r="AQ586" t="s">
        <v>139</v>
      </c>
      <c r="AR586" t="s">
        <v>139</v>
      </c>
      <c r="AS586">
        <f t="shared" si="10"/>
        <v>2930241.1</v>
      </c>
      <c r="AT586">
        <f t="shared" si="9"/>
        <v>1.3417922504738602</v>
      </c>
    </row>
    <row r="587" spans="1:46" x14ac:dyDescent="0.4">
      <c r="A587" s="3" t="s">
        <v>718</v>
      </c>
      <c r="B587">
        <v>3270118.7</v>
      </c>
      <c r="C587">
        <v>900578.5</v>
      </c>
      <c r="D587">
        <v>704400.5</v>
      </c>
      <c r="E587" t="s">
        <v>139</v>
      </c>
      <c r="F587" t="s">
        <v>139</v>
      </c>
      <c r="G587">
        <v>196177.9</v>
      </c>
      <c r="H587" t="s">
        <v>139</v>
      </c>
      <c r="I587" t="s">
        <v>139</v>
      </c>
      <c r="J587">
        <v>2369540.2000000002</v>
      </c>
      <c r="K587">
        <v>677527.4</v>
      </c>
      <c r="L587">
        <v>1019845.6</v>
      </c>
      <c r="M587" t="s">
        <v>139</v>
      </c>
      <c r="N587">
        <v>76911.100000000006</v>
      </c>
      <c r="O587" t="s">
        <v>139</v>
      </c>
      <c r="P587" t="s">
        <v>139</v>
      </c>
      <c r="Q587" t="s">
        <v>139</v>
      </c>
      <c r="R587" t="s">
        <v>139</v>
      </c>
      <c r="S587" t="s">
        <v>139</v>
      </c>
      <c r="T587" t="s">
        <v>139</v>
      </c>
      <c r="U587">
        <v>457368.1</v>
      </c>
      <c r="V587" s="6" t="s">
        <v>139</v>
      </c>
      <c r="W587" t="s">
        <v>139</v>
      </c>
      <c r="X587" t="s">
        <v>139</v>
      </c>
      <c r="Y587" t="s">
        <v>139</v>
      </c>
      <c r="Z587">
        <v>214799.1</v>
      </c>
      <c r="AA587" t="s">
        <v>139</v>
      </c>
      <c r="AB587" t="s">
        <v>139</v>
      </c>
      <c r="AC587" t="s">
        <v>139</v>
      </c>
      <c r="AD587">
        <v>220830.8</v>
      </c>
      <c r="AE587" t="s">
        <v>139</v>
      </c>
      <c r="AF587">
        <v>48582.5</v>
      </c>
      <c r="AG587">
        <v>310235.59999999998</v>
      </c>
      <c r="AH587" s="9">
        <v>3990308</v>
      </c>
      <c r="AI587">
        <v>2554024.9</v>
      </c>
      <c r="AJ587">
        <v>388951.5</v>
      </c>
      <c r="AK587" t="s">
        <v>139</v>
      </c>
      <c r="AL587">
        <v>610446.4</v>
      </c>
      <c r="AM587" t="s">
        <v>139</v>
      </c>
      <c r="AN587">
        <v>285703.3</v>
      </c>
      <c r="AO587" s="9">
        <v>3661394.2</v>
      </c>
      <c r="AP587">
        <v>328913.8</v>
      </c>
      <c r="AQ587" t="s">
        <v>139</v>
      </c>
      <c r="AR587" t="s">
        <v>139</v>
      </c>
      <c r="AS587">
        <f t="shared" si="10"/>
        <v>2942976.4</v>
      </c>
      <c r="AT587">
        <f t="shared" si="9"/>
        <v>1.3558749570672739</v>
      </c>
    </row>
    <row r="588" spans="1:46" x14ac:dyDescent="0.4">
      <c r="A588" s="3" t="s">
        <v>719</v>
      </c>
      <c r="B588">
        <v>3288838.7</v>
      </c>
      <c r="C588">
        <v>895072.6</v>
      </c>
      <c r="D588">
        <v>704021.5</v>
      </c>
      <c r="E588" t="s">
        <v>139</v>
      </c>
      <c r="F588" t="s">
        <v>139</v>
      </c>
      <c r="G588">
        <v>191051.1</v>
      </c>
      <c r="H588" t="s">
        <v>139</v>
      </c>
      <c r="I588" t="s">
        <v>139</v>
      </c>
      <c r="J588">
        <v>2393766</v>
      </c>
      <c r="K588">
        <v>686155.5</v>
      </c>
      <c r="L588">
        <v>1027768</v>
      </c>
      <c r="M588" t="s">
        <v>139</v>
      </c>
      <c r="N588">
        <v>77537</v>
      </c>
      <c r="O588" t="s">
        <v>139</v>
      </c>
      <c r="P588" t="s">
        <v>139</v>
      </c>
      <c r="Q588" t="s">
        <v>139</v>
      </c>
      <c r="R588" t="s">
        <v>139</v>
      </c>
      <c r="S588" t="s">
        <v>139</v>
      </c>
      <c r="T588" t="s">
        <v>139</v>
      </c>
      <c r="U588">
        <v>459889.1</v>
      </c>
      <c r="V588" s="6" t="s">
        <v>139</v>
      </c>
      <c r="W588" t="s">
        <v>139</v>
      </c>
      <c r="X588" t="s">
        <v>139</v>
      </c>
      <c r="Y588" t="s">
        <v>139</v>
      </c>
      <c r="Z588">
        <v>219953.5</v>
      </c>
      <c r="AA588" t="s">
        <v>139</v>
      </c>
      <c r="AB588" t="s">
        <v>139</v>
      </c>
      <c r="AC588" t="s">
        <v>139</v>
      </c>
      <c r="AD588">
        <v>223585.3</v>
      </c>
      <c r="AE588" t="s">
        <v>139</v>
      </c>
      <c r="AF588">
        <v>45618.400000000001</v>
      </c>
      <c r="AG588">
        <v>304017.90000000002</v>
      </c>
      <c r="AH588" s="9">
        <v>4018296.2</v>
      </c>
      <c r="AI588">
        <v>2571946.2999999998</v>
      </c>
      <c r="AJ588">
        <v>393488.6</v>
      </c>
      <c r="AK588" t="s">
        <v>139</v>
      </c>
      <c r="AL588">
        <v>625334.6</v>
      </c>
      <c r="AM588" t="s">
        <v>139</v>
      </c>
      <c r="AN588">
        <v>285274.09999999998</v>
      </c>
      <c r="AO588" s="9">
        <v>3689677.2</v>
      </c>
      <c r="AP588">
        <v>328619</v>
      </c>
      <c r="AQ588" t="s">
        <v>139</v>
      </c>
      <c r="AR588" t="s">
        <v>139</v>
      </c>
      <c r="AS588">
        <f t="shared" si="10"/>
        <v>2965434.9</v>
      </c>
      <c r="AT588">
        <f t="shared" si="9"/>
        <v>1.3550444826827932</v>
      </c>
    </row>
    <row r="589" spans="1:46" x14ac:dyDescent="0.4">
      <c r="A589" s="3" t="s">
        <v>720</v>
      </c>
      <c r="B589">
        <v>3306475.5</v>
      </c>
      <c r="C589">
        <v>892634.3</v>
      </c>
      <c r="D589">
        <v>703226.8</v>
      </c>
      <c r="E589" t="s">
        <v>139</v>
      </c>
      <c r="F589" t="s">
        <v>139</v>
      </c>
      <c r="G589">
        <v>189407.4</v>
      </c>
      <c r="H589" t="s">
        <v>139</v>
      </c>
      <c r="I589" t="s">
        <v>139</v>
      </c>
      <c r="J589">
        <v>2413841.2999999998</v>
      </c>
      <c r="K589">
        <v>690609.4</v>
      </c>
      <c r="L589">
        <v>1035163</v>
      </c>
      <c r="M589" t="s">
        <v>139</v>
      </c>
      <c r="N589">
        <v>78012.100000000006</v>
      </c>
      <c r="O589" t="s">
        <v>139</v>
      </c>
      <c r="P589" t="s">
        <v>139</v>
      </c>
      <c r="Q589" t="s">
        <v>139</v>
      </c>
      <c r="R589" t="s">
        <v>139</v>
      </c>
      <c r="S589" t="s">
        <v>139</v>
      </c>
      <c r="T589" t="s">
        <v>139</v>
      </c>
      <c r="U589">
        <v>464162.7</v>
      </c>
      <c r="V589" s="6" t="s">
        <v>139</v>
      </c>
      <c r="W589" t="s">
        <v>139</v>
      </c>
      <c r="X589" t="s">
        <v>139</v>
      </c>
      <c r="Y589" t="s">
        <v>139</v>
      </c>
      <c r="Z589">
        <v>223906.1</v>
      </c>
      <c r="AA589" t="s">
        <v>139</v>
      </c>
      <c r="AB589" t="s">
        <v>139</v>
      </c>
      <c r="AC589" t="s">
        <v>139</v>
      </c>
      <c r="AD589">
        <v>225750.2</v>
      </c>
      <c r="AE589" t="s">
        <v>139</v>
      </c>
      <c r="AF589">
        <v>47299.199999999997</v>
      </c>
      <c r="AG589">
        <v>302575</v>
      </c>
      <c r="AH589" s="9">
        <v>4036731</v>
      </c>
      <c r="AI589">
        <v>2590042.2999999998</v>
      </c>
      <c r="AJ589">
        <v>400554.7</v>
      </c>
      <c r="AK589" t="s">
        <v>139</v>
      </c>
      <c r="AL589">
        <v>631863.9</v>
      </c>
      <c r="AM589" t="s">
        <v>139</v>
      </c>
      <c r="AN589">
        <v>283063.40000000002</v>
      </c>
      <c r="AO589" s="9">
        <v>3708210.5</v>
      </c>
      <c r="AP589">
        <v>328520.5</v>
      </c>
      <c r="AQ589" t="s">
        <v>139</v>
      </c>
      <c r="AR589" t="s">
        <v>139</v>
      </c>
      <c r="AS589">
        <f t="shared" si="10"/>
        <v>2990597</v>
      </c>
      <c r="AT589">
        <f t="shared" si="9"/>
        <v>1.3498077474163186</v>
      </c>
    </row>
    <row r="590" spans="1:46" x14ac:dyDescent="0.4">
      <c r="A590" s="3" t="s">
        <v>721</v>
      </c>
      <c r="B590">
        <v>3333093.6</v>
      </c>
      <c r="C590">
        <v>892290.1</v>
      </c>
      <c r="D590">
        <v>702259.8</v>
      </c>
      <c r="E590" t="s">
        <v>139</v>
      </c>
      <c r="F590" t="s">
        <v>139</v>
      </c>
      <c r="G590">
        <v>190030.2</v>
      </c>
      <c r="H590" t="s">
        <v>139</v>
      </c>
      <c r="I590" t="s">
        <v>139</v>
      </c>
      <c r="J590">
        <v>2440803.6</v>
      </c>
      <c r="K590">
        <v>698557.3</v>
      </c>
      <c r="L590">
        <v>1044550.8</v>
      </c>
      <c r="M590" t="s">
        <v>139</v>
      </c>
      <c r="N590">
        <v>78592.800000000003</v>
      </c>
      <c r="O590" t="s">
        <v>139</v>
      </c>
      <c r="P590" t="s">
        <v>139</v>
      </c>
      <c r="Q590" t="s">
        <v>139</v>
      </c>
      <c r="R590" t="s">
        <v>139</v>
      </c>
      <c r="S590" t="s">
        <v>139</v>
      </c>
      <c r="T590" t="s">
        <v>139</v>
      </c>
      <c r="U590">
        <v>468549.5</v>
      </c>
      <c r="V590" s="6" t="s">
        <v>139</v>
      </c>
      <c r="W590" t="s">
        <v>139</v>
      </c>
      <c r="X590" t="s">
        <v>139</v>
      </c>
      <c r="Y590" t="s">
        <v>139</v>
      </c>
      <c r="Z590">
        <v>229145.9</v>
      </c>
      <c r="AA590" t="s">
        <v>139</v>
      </c>
      <c r="AB590" t="s">
        <v>139</v>
      </c>
      <c r="AC590" t="s">
        <v>139</v>
      </c>
      <c r="AD590">
        <v>230279.4</v>
      </c>
      <c r="AE590" t="s">
        <v>139</v>
      </c>
      <c r="AF590">
        <v>50810.8</v>
      </c>
      <c r="AG590">
        <v>303322.3</v>
      </c>
      <c r="AH590" s="9">
        <v>4078506.8</v>
      </c>
      <c r="AI590">
        <v>2616457.7000000002</v>
      </c>
      <c r="AJ590">
        <v>403895.1</v>
      </c>
      <c r="AK590" t="s">
        <v>139</v>
      </c>
      <c r="AL590">
        <v>650212.19999999995</v>
      </c>
      <c r="AM590" t="s">
        <v>139</v>
      </c>
      <c r="AN590">
        <v>276326.09999999998</v>
      </c>
      <c r="AO590" s="9">
        <v>3743251.6</v>
      </c>
      <c r="AP590">
        <v>335255.2</v>
      </c>
      <c r="AQ590" t="s">
        <v>139</v>
      </c>
      <c r="AR590" t="s">
        <v>139</v>
      </c>
      <c r="AS590">
        <f t="shared" si="10"/>
        <v>3020352.8000000003</v>
      </c>
      <c r="AT590">
        <f t="shared" si="9"/>
        <v>1.3503411919296313</v>
      </c>
    </row>
    <row r="591" spans="1:46" x14ac:dyDescent="0.4">
      <c r="A591" s="3" t="s">
        <v>722</v>
      </c>
      <c r="B591">
        <v>3354228.4</v>
      </c>
      <c r="C591">
        <v>898280</v>
      </c>
      <c r="D591">
        <v>707107.9</v>
      </c>
      <c r="E591" t="s">
        <v>139</v>
      </c>
      <c r="F591" t="s">
        <v>139</v>
      </c>
      <c r="G591">
        <v>191172.1</v>
      </c>
      <c r="H591" t="s">
        <v>139</v>
      </c>
      <c r="I591" t="s">
        <v>139</v>
      </c>
      <c r="J591">
        <v>2455948.4</v>
      </c>
      <c r="K591">
        <v>702838</v>
      </c>
      <c r="L591">
        <v>1049319.6000000001</v>
      </c>
      <c r="M591" t="s">
        <v>139</v>
      </c>
      <c r="N591">
        <v>78874</v>
      </c>
      <c r="O591" t="s">
        <v>139</v>
      </c>
      <c r="P591" t="s">
        <v>139</v>
      </c>
      <c r="Q591" t="s">
        <v>139</v>
      </c>
      <c r="R591" t="s">
        <v>139</v>
      </c>
      <c r="S591" t="s">
        <v>139</v>
      </c>
      <c r="T591" t="s">
        <v>139</v>
      </c>
      <c r="U591">
        <v>473388.5</v>
      </c>
      <c r="V591" s="6" t="s">
        <v>139</v>
      </c>
      <c r="W591" t="s">
        <v>139</v>
      </c>
      <c r="X591" t="s">
        <v>139</v>
      </c>
      <c r="Y591" t="s">
        <v>139</v>
      </c>
      <c r="Z591">
        <v>230402.3</v>
      </c>
      <c r="AA591" t="s">
        <v>139</v>
      </c>
      <c r="AB591" t="s">
        <v>139</v>
      </c>
      <c r="AC591" t="s">
        <v>139</v>
      </c>
      <c r="AD591">
        <v>225411.1</v>
      </c>
      <c r="AE591" t="s">
        <v>139</v>
      </c>
      <c r="AF591">
        <v>50830.9</v>
      </c>
      <c r="AG591">
        <v>300564.7</v>
      </c>
      <c r="AH591" s="9">
        <v>4090712.6</v>
      </c>
      <c r="AI591">
        <v>2621847.1</v>
      </c>
      <c r="AJ591">
        <v>411739.7</v>
      </c>
      <c r="AK591" t="s">
        <v>139</v>
      </c>
      <c r="AL591">
        <v>645080.6</v>
      </c>
      <c r="AM591" t="s">
        <v>139</v>
      </c>
      <c r="AN591">
        <v>282477.2</v>
      </c>
      <c r="AO591" s="9">
        <v>3750039.4</v>
      </c>
      <c r="AP591">
        <v>340673.2</v>
      </c>
      <c r="AQ591" t="s">
        <v>139</v>
      </c>
      <c r="AR591" t="s">
        <v>139</v>
      </c>
      <c r="AS591">
        <f t="shared" si="10"/>
        <v>3033586.8000000003</v>
      </c>
      <c r="AT591">
        <f t="shared" si="9"/>
        <v>1.3484738923573902</v>
      </c>
    </row>
    <row r="592" spans="1:46" x14ac:dyDescent="0.4">
      <c r="A592" s="3" t="s">
        <v>723</v>
      </c>
      <c r="B592">
        <v>3372247.6</v>
      </c>
      <c r="C592">
        <v>900820.9</v>
      </c>
      <c r="D592">
        <v>707732.7</v>
      </c>
      <c r="E592" t="s">
        <v>139</v>
      </c>
      <c r="F592" t="s">
        <v>139</v>
      </c>
      <c r="G592">
        <v>193088.2</v>
      </c>
      <c r="H592" t="s">
        <v>139</v>
      </c>
      <c r="I592" t="s">
        <v>139</v>
      </c>
      <c r="J592">
        <v>2471426.7000000002</v>
      </c>
      <c r="K592">
        <v>706053.3</v>
      </c>
      <c r="L592">
        <v>1054758.7</v>
      </c>
      <c r="M592" t="s">
        <v>139</v>
      </c>
      <c r="N592">
        <v>79273.600000000006</v>
      </c>
      <c r="O592" t="s">
        <v>139</v>
      </c>
      <c r="P592" t="s">
        <v>139</v>
      </c>
      <c r="Q592" t="s">
        <v>139</v>
      </c>
      <c r="R592" t="s">
        <v>139</v>
      </c>
      <c r="S592" t="s">
        <v>139</v>
      </c>
      <c r="T592" t="s">
        <v>139</v>
      </c>
      <c r="U592">
        <v>475396.9</v>
      </c>
      <c r="V592" s="6" t="s">
        <v>139</v>
      </c>
      <c r="W592" t="s">
        <v>139</v>
      </c>
      <c r="X592" t="s">
        <v>139</v>
      </c>
      <c r="Y592" t="s">
        <v>139</v>
      </c>
      <c r="Z592">
        <v>235217.8</v>
      </c>
      <c r="AA592" t="s">
        <v>139</v>
      </c>
      <c r="AB592" t="s">
        <v>139</v>
      </c>
      <c r="AC592" t="s">
        <v>139</v>
      </c>
      <c r="AD592">
        <v>229969.3</v>
      </c>
      <c r="AE592" t="s">
        <v>139</v>
      </c>
      <c r="AF592">
        <v>51106.7</v>
      </c>
      <c r="AG592">
        <v>305655</v>
      </c>
      <c r="AH592" s="9">
        <v>4120722.2</v>
      </c>
      <c r="AI592">
        <v>2632534.4</v>
      </c>
      <c r="AJ592">
        <v>414312.9</v>
      </c>
      <c r="AK592" t="s">
        <v>139</v>
      </c>
      <c r="AL592">
        <v>643808.9</v>
      </c>
      <c r="AM592" t="s">
        <v>139</v>
      </c>
      <c r="AN592">
        <v>289166.2</v>
      </c>
      <c r="AO592" s="9">
        <v>3774989.2</v>
      </c>
      <c r="AP592">
        <v>345733</v>
      </c>
      <c r="AQ592" t="s">
        <v>139</v>
      </c>
      <c r="AR592" t="s">
        <v>139</v>
      </c>
      <c r="AS592">
        <f t="shared" si="10"/>
        <v>3046847.3</v>
      </c>
      <c r="AT592">
        <f t="shared" si="9"/>
        <v>1.3524544534936163</v>
      </c>
    </row>
    <row r="593" spans="1:46" x14ac:dyDescent="0.4">
      <c r="A593" s="3" t="s">
        <v>724</v>
      </c>
      <c r="B593">
        <v>3375492.8</v>
      </c>
      <c r="C593">
        <v>899175</v>
      </c>
      <c r="D593">
        <v>707938</v>
      </c>
      <c r="E593" t="s">
        <v>139</v>
      </c>
      <c r="F593" t="s">
        <v>139</v>
      </c>
      <c r="G593">
        <v>191237</v>
      </c>
      <c r="H593" t="s">
        <v>139</v>
      </c>
      <c r="I593" t="s">
        <v>139</v>
      </c>
      <c r="J593">
        <v>2476317.7999999998</v>
      </c>
      <c r="K593">
        <v>706312.8</v>
      </c>
      <c r="L593">
        <v>1057218.5</v>
      </c>
      <c r="M593" t="s">
        <v>139</v>
      </c>
      <c r="N593">
        <v>79242.3</v>
      </c>
      <c r="O593" t="s">
        <v>139</v>
      </c>
      <c r="P593" t="s">
        <v>139</v>
      </c>
      <c r="Q593" t="s">
        <v>139</v>
      </c>
      <c r="R593" t="s">
        <v>139</v>
      </c>
      <c r="S593" t="s">
        <v>139</v>
      </c>
      <c r="T593" t="s">
        <v>139</v>
      </c>
      <c r="U593">
        <v>475125.7</v>
      </c>
      <c r="V593" s="6" t="s">
        <v>139</v>
      </c>
      <c r="W593" t="s">
        <v>139</v>
      </c>
      <c r="X593" t="s">
        <v>139</v>
      </c>
      <c r="Y593" t="s">
        <v>139</v>
      </c>
      <c r="Z593">
        <v>237660.79999999999</v>
      </c>
      <c r="AA593" t="s">
        <v>139</v>
      </c>
      <c r="AB593" t="s">
        <v>139</v>
      </c>
      <c r="AC593" t="s">
        <v>139</v>
      </c>
      <c r="AD593">
        <v>234871.8</v>
      </c>
      <c r="AE593" t="s">
        <v>139</v>
      </c>
      <c r="AF593">
        <v>49948.800000000003</v>
      </c>
      <c r="AG593">
        <v>305363.5</v>
      </c>
      <c r="AH593" s="9">
        <v>4133030.6</v>
      </c>
      <c r="AI593">
        <v>2644295.6</v>
      </c>
      <c r="AJ593">
        <v>417469.2</v>
      </c>
      <c r="AK593" t="s">
        <v>139</v>
      </c>
      <c r="AL593">
        <v>640971.9</v>
      </c>
      <c r="AM593" t="s">
        <v>139</v>
      </c>
      <c r="AN593">
        <v>281918.2</v>
      </c>
      <c r="AO593" s="9">
        <v>3788804.4</v>
      </c>
      <c r="AP593">
        <v>344226.3</v>
      </c>
      <c r="AQ593" t="s">
        <v>139</v>
      </c>
      <c r="AR593" t="s">
        <v>139</v>
      </c>
      <c r="AS593">
        <f t="shared" si="10"/>
        <v>3061764.8000000003</v>
      </c>
      <c r="AT593">
        <f t="shared" si="9"/>
        <v>1.349885072818134</v>
      </c>
    </row>
    <row r="594" spans="1:46" x14ac:dyDescent="0.4">
      <c r="A594" s="3" t="s">
        <v>725</v>
      </c>
      <c r="B594">
        <v>3386959.2</v>
      </c>
      <c r="C594">
        <v>894721.7</v>
      </c>
      <c r="D594">
        <v>707003.5</v>
      </c>
      <c r="E594" t="s">
        <v>139</v>
      </c>
      <c r="F594" t="s">
        <v>139</v>
      </c>
      <c r="G594">
        <v>187718.2</v>
      </c>
      <c r="H594" t="s">
        <v>139</v>
      </c>
      <c r="I594" t="s">
        <v>139</v>
      </c>
      <c r="J594">
        <v>2492237.5</v>
      </c>
      <c r="K594">
        <v>712617.5</v>
      </c>
      <c r="L594">
        <v>1060698</v>
      </c>
      <c r="M594" t="s">
        <v>139</v>
      </c>
      <c r="N594">
        <v>79532.800000000003</v>
      </c>
      <c r="O594" t="s">
        <v>139</v>
      </c>
      <c r="P594" t="s">
        <v>139</v>
      </c>
      <c r="Q594" t="s">
        <v>139</v>
      </c>
      <c r="R594" t="s">
        <v>139</v>
      </c>
      <c r="S594" t="s">
        <v>139</v>
      </c>
      <c r="T594" t="s">
        <v>139</v>
      </c>
      <c r="U594">
        <v>478078.9</v>
      </c>
      <c r="V594" s="6" t="s">
        <v>139</v>
      </c>
      <c r="W594" t="s">
        <v>139</v>
      </c>
      <c r="X594" t="s">
        <v>139</v>
      </c>
      <c r="Y594" t="s">
        <v>139</v>
      </c>
      <c r="Z594">
        <v>240843.1</v>
      </c>
      <c r="AA594" t="s">
        <v>139</v>
      </c>
      <c r="AB594" t="s">
        <v>139</v>
      </c>
      <c r="AC594" t="s">
        <v>139</v>
      </c>
      <c r="AD594">
        <v>227794.2</v>
      </c>
      <c r="AE594" t="s">
        <v>139</v>
      </c>
      <c r="AF594">
        <v>50482.400000000001</v>
      </c>
      <c r="AG594">
        <v>306542.90000000002</v>
      </c>
      <c r="AH594" s="9">
        <v>4134935.5</v>
      </c>
      <c r="AI594">
        <v>2634460.5</v>
      </c>
      <c r="AJ594">
        <v>416249.2</v>
      </c>
      <c r="AK594" t="s">
        <v>139</v>
      </c>
      <c r="AL594">
        <v>634833.19999999995</v>
      </c>
      <c r="AM594" t="s">
        <v>139</v>
      </c>
      <c r="AN594">
        <v>277245.90000000002</v>
      </c>
      <c r="AO594" s="9">
        <v>3779827.5</v>
      </c>
      <c r="AP594">
        <v>355108</v>
      </c>
      <c r="AQ594" t="s">
        <v>139</v>
      </c>
      <c r="AR594" t="s">
        <v>139</v>
      </c>
      <c r="AS594">
        <f t="shared" si="10"/>
        <v>3050709.7</v>
      </c>
      <c r="AT594">
        <f t="shared" si="9"/>
        <v>1.3554011710783231</v>
      </c>
    </row>
    <row r="595" spans="1:46" x14ac:dyDescent="0.4">
      <c r="A595" s="3" t="s">
        <v>726</v>
      </c>
      <c r="B595">
        <v>3401260.4</v>
      </c>
      <c r="C595">
        <v>893371.4</v>
      </c>
      <c r="D595">
        <v>705343.9</v>
      </c>
      <c r="E595" t="s">
        <v>139</v>
      </c>
      <c r="F595" t="s">
        <v>139</v>
      </c>
      <c r="G595">
        <v>188027.5</v>
      </c>
      <c r="H595" t="s">
        <v>139</v>
      </c>
      <c r="I595" t="s">
        <v>139</v>
      </c>
      <c r="J595">
        <v>2507889</v>
      </c>
      <c r="K595">
        <v>715118</v>
      </c>
      <c r="L595">
        <v>1062100.6000000001</v>
      </c>
      <c r="M595" t="s">
        <v>139</v>
      </c>
      <c r="N595">
        <v>79847.600000000006</v>
      </c>
      <c r="O595" t="s">
        <v>139</v>
      </c>
      <c r="P595" t="s">
        <v>139</v>
      </c>
      <c r="Q595" t="s">
        <v>139</v>
      </c>
      <c r="R595" t="s">
        <v>139</v>
      </c>
      <c r="S595" t="s">
        <v>139</v>
      </c>
      <c r="T595" t="s">
        <v>139</v>
      </c>
      <c r="U595">
        <v>482894.1</v>
      </c>
      <c r="V595" s="6" t="s">
        <v>139</v>
      </c>
      <c r="W595" t="s">
        <v>139</v>
      </c>
      <c r="X595" t="s">
        <v>139</v>
      </c>
      <c r="Y595" t="s">
        <v>139</v>
      </c>
      <c r="Z595">
        <v>247776.4</v>
      </c>
      <c r="AA595" t="s">
        <v>139</v>
      </c>
      <c r="AB595" t="s">
        <v>139</v>
      </c>
      <c r="AC595" t="s">
        <v>139</v>
      </c>
      <c r="AD595">
        <v>235149.2</v>
      </c>
      <c r="AE595" t="s">
        <v>139</v>
      </c>
      <c r="AF595">
        <v>49463.4</v>
      </c>
      <c r="AG595">
        <v>315567.40000000002</v>
      </c>
      <c r="AH595" s="9">
        <v>4165493.3</v>
      </c>
      <c r="AI595">
        <v>2651664.7000000002</v>
      </c>
      <c r="AJ595">
        <v>415529.2</v>
      </c>
      <c r="AK595" t="s">
        <v>139</v>
      </c>
      <c r="AL595">
        <v>646223.1</v>
      </c>
      <c r="AM595" t="s">
        <v>139</v>
      </c>
      <c r="AN595">
        <v>280802.40000000002</v>
      </c>
      <c r="AO595" s="9">
        <v>3813462.1</v>
      </c>
      <c r="AP595">
        <v>352031.2</v>
      </c>
      <c r="AQ595" t="s">
        <v>139</v>
      </c>
      <c r="AR595" t="s">
        <v>139</v>
      </c>
      <c r="AS595">
        <f t="shared" si="10"/>
        <v>3067193.9000000004</v>
      </c>
      <c r="AT595">
        <f t="shared" si="9"/>
        <v>1.3580795462588784</v>
      </c>
    </row>
    <row r="596" spans="1:46" x14ac:dyDescent="0.4">
      <c r="A596" s="3" t="s">
        <v>727</v>
      </c>
      <c r="B596">
        <v>3418410.6</v>
      </c>
      <c r="C596">
        <v>891820.4</v>
      </c>
      <c r="D596">
        <v>701052.9</v>
      </c>
      <c r="E596" t="s">
        <v>139</v>
      </c>
      <c r="F596" t="s">
        <v>139</v>
      </c>
      <c r="G596">
        <v>190767.4</v>
      </c>
      <c r="H596" t="s">
        <v>139</v>
      </c>
      <c r="I596" t="s">
        <v>139</v>
      </c>
      <c r="J596">
        <v>2526590.2000000002</v>
      </c>
      <c r="K596">
        <v>721816.3</v>
      </c>
      <c r="L596">
        <v>1068227.7</v>
      </c>
      <c r="M596" t="s">
        <v>139</v>
      </c>
      <c r="N596">
        <v>80255</v>
      </c>
      <c r="O596" t="s">
        <v>139</v>
      </c>
      <c r="P596" t="s">
        <v>139</v>
      </c>
      <c r="Q596" t="s">
        <v>139</v>
      </c>
      <c r="R596" t="s">
        <v>139</v>
      </c>
      <c r="S596" t="s">
        <v>139</v>
      </c>
      <c r="T596" t="s">
        <v>139</v>
      </c>
      <c r="U596">
        <v>485499.7</v>
      </c>
      <c r="V596" s="6" t="s">
        <v>139</v>
      </c>
      <c r="W596" t="s">
        <v>139</v>
      </c>
      <c r="X596" t="s">
        <v>139</v>
      </c>
      <c r="Y596" t="s">
        <v>139</v>
      </c>
      <c r="Z596">
        <v>251046.5</v>
      </c>
      <c r="AA596" t="s">
        <v>139</v>
      </c>
      <c r="AB596" t="s">
        <v>139</v>
      </c>
      <c r="AC596" t="s">
        <v>139</v>
      </c>
      <c r="AD596">
        <v>241441.5</v>
      </c>
      <c r="AE596" t="s">
        <v>139</v>
      </c>
      <c r="AF596">
        <v>51028.3</v>
      </c>
      <c r="AG596">
        <v>318203.3</v>
      </c>
      <c r="AH596" s="9">
        <v>4201700.5</v>
      </c>
      <c r="AI596">
        <v>2681227.6</v>
      </c>
      <c r="AJ596">
        <v>418709.3</v>
      </c>
      <c r="AK596" t="s">
        <v>139</v>
      </c>
      <c r="AL596">
        <v>664805.1</v>
      </c>
      <c r="AM596" t="s">
        <v>139</v>
      </c>
      <c r="AN596">
        <v>285285</v>
      </c>
      <c r="AO596" s="9">
        <v>3870877.6</v>
      </c>
      <c r="AP596">
        <v>330822.90000000002</v>
      </c>
      <c r="AQ596" t="s">
        <v>139</v>
      </c>
      <c r="AR596" t="s">
        <v>139</v>
      </c>
      <c r="AS596">
        <f t="shared" si="10"/>
        <v>3099936.9</v>
      </c>
      <c r="AT596">
        <f t="shared" si="9"/>
        <v>1.355414847315118</v>
      </c>
    </row>
    <row r="597" spans="1:46" x14ac:dyDescent="0.4">
      <c r="A597" s="3" t="s">
        <v>728</v>
      </c>
      <c r="B597">
        <v>3432826.8</v>
      </c>
      <c r="C597">
        <v>899333.3</v>
      </c>
      <c r="D597">
        <v>705948.8</v>
      </c>
      <c r="E597" t="s">
        <v>139</v>
      </c>
      <c r="F597" t="s">
        <v>139</v>
      </c>
      <c r="G597">
        <v>193384.5</v>
      </c>
      <c r="H597" t="s">
        <v>139</v>
      </c>
      <c r="I597" t="s">
        <v>139</v>
      </c>
      <c r="J597">
        <v>2533493.5</v>
      </c>
      <c r="K597">
        <v>724188.1</v>
      </c>
      <c r="L597">
        <v>1071522.1000000001</v>
      </c>
      <c r="M597" t="s">
        <v>139</v>
      </c>
      <c r="N597">
        <v>80595.5</v>
      </c>
      <c r="O597" t="s">
        <v>139</v>
      </c>
      <c r="P597" t="s">
        <v>139</v>
      </c>
      <c r="Q597" t="s">
        <v>139</v>
      </c>
      <c r="R597" t="s">
        <v>139</v>
      </c>
      <c r="S597" t="s">
        <v>139</v>
      </c>
      <c r="T597" t="s">
        <v>139</v>
      </c>
      <c r="U597">
        <v>484632</v>
      </c>
      <c r="V597" s="6" t="s">
        <v>139</v>
      </c>
      <c r="W597" t="s">
        <v>139</v>
      </c>
      <c r="X597" t="s">
        <v>139</v>
      </c>
      <c r="Y597" t="s">
        <v>139</v>
      </c>
      <c r="Z597">
        <v>253151.3</v>
      </c>
      <c r="AA597" t="s">
        <v>139</v>
      </c>
      <c r="AB597" t="s">
        <v>139</v>
      </c>
      <c r="AC597" t="s">
        <v>139</v>
      </c>
      <c r="AD597">
        <v>231863.6</v>
      </c>
      <c r="AE597" t="s">
        <v>139</v>
      </c>
      <c r="AF597">
        <v>49540.3</v>
      </c>
      <c r="AG597">
        <v>319611.40000000002</v>
      </c>
      <c r="AH597" s="9">
        <v>4197201.5</v>
      </c>
      <c r="AI597">
        <v>2676497.9</v>
      </c>
      <c r="AJ597">
        <v>421679.2</v>
      </c>
      <c r="AK597" t="s">
        <v>139</v>
      </c>
      <c r="AL597">
        <v>705895.4</v>
      </c>
      <c r="AM597" t="s">
        <v>139</v>
      </c>
      <c r="AN597">
        <v>288948.8</v>
      </c>
      <c r="AO597" s="9">
        <v>3915106.4</v>
      </c>
      <c r="AP597">
        <v>282095.09999999998</v>
      </c>
      <c r="AQ597" t="s">
        <v>139</v>
      </c>
      <c r="AR597" t="s">
        <v>139</v>
      </c>
      <c r="AS597">
        <f t="shared" si="10"/>
        <v>3098177.1</v>
      </c>
      <c r="AT597">
        <f t="shared" si="9"/>
        <v>1.3547325942083814</v>
      </c>
    </row>
    <row r="598" spans="1:46" x14ac:dyDescent="0.4">
      <c r="A598" s="3" t="s">
        <v>729</v>
      </c>
      <c r="B598">
        <v>3441232.2</v>
      </c>
      <c r="C598">
        <v>895633.6</v>
      </c>
      <c r="D598">
        <v>700525.4</v>
      </c>
      <c r="E598" t="s">
        <v>139</v>
      </c>
      <c r="F598" t="s">
        <v>139</v>
      </c>
      <c r="G598">
        <v>195108.2</v>
      </c>
      <c r="H598" t="s">
        <v>139</v>
      </c>
      <c r="I598" t="s">
        <v>139</v>
      </c>
      <c r="J598">
        <v>2545598.6</v>
      </c>
      <c r="K598">
        <v>727332</v>
      </c>
      <c r="L598">
        <v>1077441</v>
      </c>
      <c r="M598" t="s">
        <v>139</v>
      </c>
      <c r="N598">
        <v>80913.100000000006</v>
      </c>
      <c r="O598" t="s">
        <v>139</v>
      </c>
      <c r="P598" t="s">
        <v>139</v>
      </c>
      <c r="Q598" t="s">
        <v>139</v>
      </c>
      <c r="R598" t="s">
        <v>139</v>
      </c>
      <c r="S598" t="s">
        <v>139</v>
      </c>
      <c r="T598" t="s">
        <v>139</v>
      </c>
      <c r="U598">
        <v>486748.7</v>
      </c>
      <c r="V598" s="6" t="s">
        <v>139</v>
      </c>
      <c r="W598" t="s">
        <v>139</v>
      </c>
      <c r="X598" t="s">
        <v>139</v>
      </c>
      <c r="Y598" t="s">
        <v>139</v>
      </c>
      <c r="Z598">
        <v>254076.9</v>
      </c>
      <c r="AA598" t="s">
        <v>139</v>
      </c>
      <c r="AB598" t="s">
        <v>139</v>
      </c>
      <c r="AC598" t="s">
        <v>139</v>
      </c>
      <c r="AD598">
        <v>228026</v>
      </c>
      <c r="AE598" t="s">
        <v>139</v>
      </c>
      <c r="AF598">
        <v>51770.6</v>
      </c>
      <c r="AG598">
        <v>315740.59999999998</v>
      </c>
      <c r="AH598" s="9">
        <v>4201211.3</v>
      </c>
      <c r="AI598">
        <v>2693843.6</v>
      </c>
      <c r="AJ598">
        <v>429512.8</v>
      </c>
      <c r="AK598" t="s">
        <v>139</v>
      </c>
      <c r="AL598">
        <v>750458.5</v>
      </c>
      <c r="AM598" t="s">
        <v>139</v>
      </c>
      <c r="AN598">
        <v>286531.7</v>
      </c>
      <c r="AO598" s="9">
        <v>3955892.2</v>
      </c>
      <c r="AP598">
        <v>245319.1</v>
      </c>
      <c r="AQ598" t="s">
        <v>139</v>
      </c>
      <c r="AR598" t="s">
        <v>139</v>
      </c>
      <c r="AS598">
        <f t="shared" si="10"/>
        <v>3123356.4</v>
      </c>
      <c r="AT598">
        <f t="shared" si="9"/>
        <v>1.3450950714430157</v>
      </c>
    </row>
    <row r="599" spans="1:46" x14ac:dyDescent="0.4">
      <c r="A599" s="3" t="s">
        <v>730</v>
      </c>
      <c r="B599">
        <v>3460772.8</v>
      </c>
      <c r="C599">
        <v>896677.7</v>
      </c>
      <c r="D599">
        <v>698498.7</v>
      </c>
      <c r="E599" t="s">
        <v>139</v>
      </c>
      <c r="F599" t="s">
        <v>139</v>
      </c>
      <c r="G599">
        <v>198178.9</v>
      </c>
      <c r="H599" t="s">
        <v>139</v>
      </c>
      <c r="I599" t="s">
        <v>139</v>
      </c>
      <c r="J599">
        <v>2564095.1</v>
      </c>
      <c r="K599">
        <v>732065.5</v>
      </c>
      <c r="L599">
        <v>1079289.6000000001</v>
      </c>
      <c r="M599" t="s">
        <v>139</v>
      </c>
      <c r="N599">
        <v>80969.7</v>
      </c>
      <c r="O599" t="s">
        <v>139</v>
      </c>
      <c r="P599" t="s">
        <v>139</v>
      </c>
      <c r="Q599" t="s">
        <v>139</v>
      </c>
      <c r="R599" t="s">
        <v>139</v>
      </c>
      <c r="S599" t="s">
        <v>139</v>
      </c>
      <c r="T599" t="s">
        <v>139</v>
      </c>
      <c r="U599">
        <v>490740.5</v>
      </c>
      <c r="V599" s="6" t="s">
        <v>139</v>
      </c>
      <c r="W599" t="s">
        <v>139</v>
      </c>
      <c r="X599" t="s">
        <v>139</v>
      </c>
      <c r="Y599" t="s">
        <v>139</v>
      </c>
      <c r="Z599">
        <v>261999.5</v>
      </c>
      <c r="AA599" t="s">
        <v>139</v>
      </c>
      <c r="AB599" t="s">
        <v>139</v>
      </c>
      <c r="AC599" t="s">
        <v>139</v>
      </c>
      <c r="AD599">
        <v>231361.7</v>
      </c>
      <c r="AE599" t="s">
        <v>139</v>
      </c>
      <c r="AF599">
        <v>51263</v>
      </c>
      <c r="AG599">
        <v>315373.2</v>
      </c>
      <c r="AH599" s="9">
        <v>4230124.8</v>
      </c>
      <c r="AI599">
        <v>2705492.2</v>
      </c>
      <c r="AJ599">
        <v>433830.6</v>
      </c>
      <c r="AK599" t="s">
        <v>139</v>
      </c>
      <c r="AL599">
        <v>775986.2</v>
      </c>
      <c r="AM599" t="s">
        <v>139</v>
      </c>
      <c r="AN599">
        <v>292725.2</v>
      </c>
      <c r="AO599" s="9">
        <v>3997655.9</v>
      </c>
      <c r="AP599">
        <v>232468.9</v>
      </c>
      <c r="AQ599" t="s">
        <v>139</v>
      </c>
      <c r="AR599" t="s">
        <v>139</v>
      </c>
      <c r="AS599">
        <f t="shared" si="10"/>
        <v>3139322.8000000003</v>
      </c>
      <c r="AT599">
        <f t="shared" si="9"/>
        <v>1.3474641091384421</v>
      </c>
    </row>
    <row r="600" spans="1:46" x14ac:dyDescent="0.4">
      <c r="A600" s="3" t="s">
        <v>731</v>
      </c>
      <c r="B600">
        <v>3468484.8</v>
      </c>
      <c r="C600">
        <v>900426.1</v>
      </c>
      <c r="D600">
        <v>701248.3</v>
      </c>
      <c r="E600" t="s">
        <v>139</v>
      </c>
      <c r="F600" t="s">
        <v>139</v>
      </c>
      <c r="G600">
        <v>199177.8</v>
      </c>
      <c r="H600" t="s">
        <v>139</v>
      </c>
      <c r="I600" t="s">
        <v>139</v>
      </c>
      <c r="J600">
        <v>2568058.7000000002</v>
      </c>
      <c r="K600">
        <v>736427.3</v>
      </c>
      <c r="L600">
        <v>1081661.8</v>
      </c>
      <c r="M600" t="s">
        <v>139</v>
      </c>
      <c r="N600">
        <v>80858</v>
      </c>
      <c r="O600" t="s">
        <v>139</v>
      </c>
      <c r="P600" t="s">
        <v>139</v>
      </c>
      <c r="Q600" t="s">
        <v>139</v>
      </c>
      <c r="R600" t="s">
        <v>139</v>
      </c>
      <c r="S600" t="s">
        <v>139</v>
      </c>
      <c r="T600" t="s">
        <v>139</v>
      </c>
      <c r="U600">
        <v>488772.7</v>
      </c>
      <c r="V600" s="6" t="s">
        <v>139</v>
      </c>
      <c r="W600" t="s">
        <v>139</v>
      </c>
      <c r="X600" t="s">
        <v>139</v>
      </c>
      <c r="Y600" t="s">
        <v>139</v>
      </c>
      <c r="Z600">
        <v>261197</v>
      </c>
      <c r="AA600" t="s">
        <v>139</v>
      </c>
      <c r="AB600" t="s">
        <v>139</v>
      </c>
      <c r="AC600" t="s">
        <v>139</v>
      </c>
      <c r="AD600">
        <v>231689.3</v>
      </c>
      <c r="AE600" t="s">
        <v>139</v>
      </c>
      <c r="AF600">
        <v>52962</v>
      </c>
      <c r="AG600">
        <v>318835.40000000002</v>
      </c>
      <c r="AH600" s="9">
        <v>4238698</v>
      </c>
      <c r="AI600">
        <v>2719466.5</v>
      </c>
      <c r="AJ600">
        <v>443206.40000000002</v>
      </c>
      <c r="AK600" t="s">
        <v>139</v>
      </c>
      <c r="AL600">
        <v>784345.5</v>
      </c>
      <c r="AM600" t="s">
        <v>139</v>
      </c>
      <c r="AN600">
        <v>292703.3</v>
      </c>
      <c r="AO600" s="9">
        <v>4010415.7</v>
      </c>
      <c r="AP600">
        <v>228282.2</v>
      </c>
      <c r="AQ600" t="s">
        <v>139</v>
      </c>
      <c r="AR600" t="s">
        <v>139</v>
      </c>
      <c r="AS600">
        <f t="shared" si="10"/>
        <v>3162672.9</v>
      </c>
      <c r="AT600">
        <f t="shared" si="9"/>
        <v>1.3402264900679421</v>
      </c>
    </row>
    <row r="601" spans="1:46" x14ac:dyDescent="0.4">
      <c r="A601" s="3" t="s">
        <v>732</v>
      </c>
      <c r="B601">
        <v>3482873.6</v>
      </c>
      <c r="C601">
        <v>899494.6</v>
      </c>
      <c r="D601">
        <v>700125.8</v>
      </c>
      <c r="E601" t="s">
        <v>139</v>
      </c>
      <c r="F601" t="s">
        <v>139</v>
      </c>
      <c r="G601">
        <v>199368.8</v>
      </c>
      <c r="H601" t="s">
        <v>139</v>
      </c>
      <c r="I601" t="s">
        <v>139</v>
      </c>
      <c r="J601">
        <v>2583379</v>
      </c>
      <c r="K601">
        <v>741408.4</v>
      </c>
      <c r="L601">
        <v>1084896.7</v>
      </c>
      <c r="M601" t="s">
        <v>139</v>
      </c>
      <c r="N601">
        <v>80903.8</v>
      </c>
      <c r="O601" t="s">
        <v>139</v>
      </c>
      <c r="P601" t="s">
        <v>139</v>
      </c>
      <c r="Q601" t="s">
        <v>139</v>
      </c>
      <c r="R601" t="s">
        <v>139</v>
      </c>
      <c r="S601" t="s">
        <v>139</v>
      </c>
      <c r="T601" t="s">
        <v>139</v>
      </c>
      <c r="U601">
        <v>492670.8</v>
      </c>
      <c r="V601" s="6" t="s">
        <v>139</v>
      </c>
      <c r="W601" t="s">
        <v>139</v>
      </c>
      <c r="X601" t="s">
        <v>139</v>
      </c>
      <c r="Y601" t="s">
        <v>139</v>
      </c>
      <c r="Z601">
        <v>264403.20000000001</v>
      </c>
      <c r="AA601" t="s">
        <v>139</v>
      </c>
      <c r="AB601" t="s">
        <v>139</v>
      </c>
      <c r="AC601" t="s">
        <v>139</v>
      </c>
      <c r="AD601">
        <v>231511.2</v>
      </c>
      <c r="AE601" t="s">
        <v>139</v>
      </c>
      <c r="AF601">
        <v>54225</v>
      </c>
      <c r="AG601">
        <v>321640.7</v>
      </c>
      <c r="AH601" s="9">
        <v>4253639.3</v>
      </c>
      <c r="AI601">
        <v>2723769.2</v>
      </c>
      <c r="AJ601">
        <v>446956.4</v>
      </c>
      <c r="AK601" t="s">
        <v>139</v>
      </c>
      <c r="AL601">
        <v>790635.3</v>
      </c>
      <c r="AM601" t="s">
        <v>139</v>
      </c>
      <c r="AN601">
        <v>288039.5</v>
      </c>
      <c r="AO601" s="9">
        <v>4026901.3</v>
      </c>
      <c r="AP601">
        <v>226738</v>
      </c>
      <c r="AQ601" t="s">
        <v>139</v>
      </c>
      <c r="AR601" t="s">
        <v>139</v>
      </c>
      <c r="AS601">
        <f t="shared" si="10"/>
        <v>3170725.6</v>
      </c>
      <c r="AT601">
        <f t="shared" si="9"/>
        <v>1.3415349786181434</v>
      </c>
    </row>
    <row r="602" spans="1:46" x14ac:dyDescent="0.4">
      <c r="A602" s="3" t="s">
        <v>733</v>
      </c>
      <c r="B602">
        <v>3487942.6</v>
      </c>
      <c r="C602">
        <v>899546.6</v>
      </c>
      <c r="D602">
        <v>700900.2</v>
      </c>
      <c r="E602" t="s">
        <v>139</v>
      </c>
      <c r="F602" t="s">
        <v>139</v>
      </c>
      <c r="G602">
        <v>198646.5</v>
      </c>
      <c r="H602" t="s">
        <v>139</v>
      </c>
      <c r="I602" t="s">
        <v>139</v>
      </c>
      <c r="J602">
        <v>2588396</v>
      </c>
      <c r="K602">
        <v>745044.2</v>
      </c>
      <c r="L602">
        <v>1080787.2</v>
      </c>
      <c r="M602" t="s">
        <v>139</v>
      </c>
      <c r="N602">
        <v>80961.5</v>
      </c>
      <c r="O602" t="s">
        <v>139</v>
      </c>
      <c r="P602" t="s">
        <v>139</v>
      </c>
      <c r="Q602" t="s">
        <v>139</v>
      </c>
      <c r="R602" t="s">
        <v>139</v>
      </c>
      <c r="S602" t="s">
        <v>139</v>
      </c>
      <c r="T602" t="s">
        <v>139</v>
      </c>
      <c r="U602">
        <v>492446.1</v>
      </c>
      <c r="V602" s="6" t="s">
        <v>139</v>
      </c>
      <c r="W602" t="s">
        <v>139</v>
      </c>
      <c r="X602" t="s">
        <v>139</v>
      </c>
      <c r="Y602" t="s">
        <v>139</v>
      </c>
      <c r="Z602">
        <v>270118.5</v>
      </c>
      <c r="AA602" t="s">
        <v>139</v>
      </c>
      <c r="AB602" t="s">
        <v>139</v>
      </c>
      <c r="AC602" t="s">
        <v>139</v>
      </c>
      <c r="AD602">
        <v>233196.6</v>
      </c>
      <c r="AE602" t="s">
        <v>139</v>
      </c>
      <c r="AF602">
        <v>71165.5</v>
      </c>
      <c r="AG602">
        <v>317934.5</v>
      </c>
      <c r="AH602" s="9">
        <v>4267632.2</v>
      </c>
      <c r="AI602">
        <v>2736969.6</v>
      </c>
      <c r="AJ602">
        <v>452550.2</v>
      </c>
      <c r="AK602" t="s">
        <v>139</v>
      </c>
      <c r="AL602">
        <v>795474.3</v>
      </c>
      <c r="AM602" t="s">
        <v>139</v>
      </c>
      <c r="AN602">
        <v>281199.40000000002</v>
      </c>
      <c r="AO602" s="9">
        <v>4044791</v>
      </c>
      <c r="AP602">
        <v>222841.2</v>
      </c>
      <c r="AQ602" t="s">
        <v>139</v>
      </c>
      <c r="AR602" t="s">
        <v>139</v>
      </c>
      <c r="AS602">
        <f t="shared" si="10"/>
        <v>3189519.8000000003</v>
      </c>
      <c r="AT602">
        <f t="shared" si="9"/>
        <v>1.3380171522998541</v>
      </c>
    </row>
    <row r="603" spans="1:46" x14ac:dyDescent="0.4">
      <c r="A603" s="3" t="s">
        <v>734</v>
      </c>
      <c r="B603">
        <v>3497563.6</v>
      </c>
      <c r="C603">
        <v>895462.9</v>
      </c>
      <c r="D603">
        <v>698855.1</v>
      </c>
      <c r="E603" t="s">
        <v>139</v>
      </c>
      <c r="F603" t="s">
        <v>139</v>
      </c>
      <c r="G603">
        <v>196607.7</v>
      </c>
      <c r="H603" t="s">
        <v>139</v>
      </c>
      <c r="I603" t="s">
        <v>139</v>
      </c>
      <c r="J603">
        <v>2602100.7000000002</v>
      </c>
      <c r="K603">
        <v>747833.1</v>
      </c>
      <c r="L603">
        <v>1089305.7</v>
      </c>
      <c r="M603" t="s">
        <v>139</v>
      </c>
      <c r="N603">
        <v>81652.800000000003</v>
      </c>
      <c r="O603" t="s">
        <v>139</v>
      </c>
      <c r="P603" t="s">
        <v>139</v>
      </c>
      <c r="Q603" t="s">
        <v>139</v>
      </c>
      <c r="R603" t="s">
        <v>139</v>
      </c>
      <c r="S603" t="s">
        <v>139</v>
      </c>
      <c r="T603" t="s">
        <v>139</v>
      </c>
      <c r="U603">
        <v>495737.5</v>
      </c>
      <c r="V603" s="6" t="s">
        <v>139</v>
      </c>
      <c r="W603" t="s">
        <v>139</v>
      </c>
      <c r="X603" t="s">
        <v>139</v>
      </c>
      <c r="Y603" t="s">
        <v>139</v>
      </c>
      <c r="Z603">
        <v>269224.40000000002</v>
      </c>
      <c r="AA603" t="s">
        <v>139</v>
      </c>
      <c r="AB603" t="s">
        <v>139</v>
      </c>
      <c r="AC603" t="s">
        <v>139</v>
      </c>
      <c r="AD603">
        <v>233583.4</v>
      </c>
      <c r="AE603" t="s">
        <v>139</v>
      </c>
      <c r="AF603">
        <v>56392</v>
      </c>
      <c r="AG603">
        <v>322204.5</v>
      </c>
      <c r="AH603" s="9">
        <v>4268367</v>
      </c>
      <c r="AI603">
        <v>2745690.6</v>
      </c>
      <c r="AJ603">
        <v>460077.8</v>
      </c>
      <c r="AK603" t="s">
        <v>139</v>
      </c>
      <c r="AL603">
        <v>804513.9</v>
      </c>
      <c r="AM603" t="s">
        <v>139</v>
      </c>
      <c r="AN603">
        <v>275064.90000000002</v>
      </c>
      <c r="AO603" s="9">
        <v>4045242.8</v>
      </c>
      <c r="AP603">
        <v>223124.1</v>
      </c>
      <c r="AQ603" t="s">
        <v>139</v>
      </c>
      <c r="AR603" t="s">
        <v>139</v>
      </c>
      <c r="AS603">
        <f t="shared" si="10"/>
        <v>3205768.4</v>
      </c>
      <c r="AT603">
        <f t="shared" si="9"/>
        <v>1.3314645562043721</v>
      </c>
    </row>
    <row r="604" spans="1:46" x14ac:dyDescent="0.4">
      <c r="A604" s="3" t="s">
        <v>735</v>
      </c>
      <c r="B604">
        <v>3520024.8</v>
      </c>
      <c r="C604">
        <v>894600.1</v>
      </c>
      <c r="D604">
        <v>699780.9</v>
      </c>
      <c r="E604" t="s">
        <v>139</v>
      </c>
      <c r="F604" t="s">
        <v>139</v>
      </c>
      <c r="G604">
        <v>194819.20000000001</v>
      </c>
      <c r="H604" t="s">
        <v>139</v>
      </c>
      <c r="I604" t="s">
        <v>139</v>
      </c>
      <c r="J604">
        <v>2625424.7000000002</v>
      </c>
      <c r="K604">
        <v>758558.5</v>
      </c>
      <c r="L604">
        <v>1096153.8</v>
      </c>
      <c r="M604" t="s">
        <v>139</v>
      </c>
      <c r="N604">
        <v>82317.3</v>
      </c>
      <c r="O604" t="s">
        <v>139</v>
      </c>
      <c r="P604" t="s">
        <v>139</v>
      </c>
      <c r="Q604" t="s">
        <v>139</v>
      </c>
      <c r="R604" t="s">
        <v>139</v>
      </c>
      <c r="S604" t="s">
        <v>139</v>
      </c>
      <c r="T604" t="s">
        <v>139</v>
      </c>
      <c r="U604">
        <v>499771.5</v>
      </c>
      <c r="V604" s="6" t="s">
        <v>139</v>
      </c>
      <c r="W604" t="s">
        <v>139</v>
      </c>
      <c r="X604" t="s">
        <v>139</v>
      </c>
      <c r="Y604" t="s">
        <v>139</v>
      </c>
      <c r="Z604">
        <v>270940.90000000002</v>
      </c>
      <c r="AA604" t="s">
        <v>139</v>
      </c>
      <c r="AB604" t="s">
        <v>139</v>
      </c>
      <c r="AC604" t="s">
        <v>139</v>
      </c>
      <c r="AD604">
        <v>236849.9</v>
      </c>
      <c r="AE604" t="s">
        <v>139</v>
      </c>
      <c r="AF604">
        <v>61684.7</v>
      </c>
      <c r="AG604">
        <v>320053</v>
      </c>
      <c r="AH604" s="9">
        <v>4295526</v>
      </c>
      <c r="AI604">
        <v>2765835.4</v>
      </c>
      <c r="AJ604">
        <v>471616.2</v>
      </c>
      <c r="AK604" t="s">
        <v>139</v>
      </c>
      <c r="AL604">
        <v>814172.6</v>
      </c>
      <c r="AM604" t="s">
        <v>139</v>
      </c>
      <c r="AN604">
        <v>276622.59999999998</v>
      </c>
      <c r="AO604" s="9">
        <v>4071437.5</v>
      </c>
      <c r="AP604">
        <v>224088.5</v>
      </c>
      <c r="AQ604" t="s">
        <v>139</v>
      </c>
      <c r="AR604" t="s">
        <v>139</v>
      </c>
      <c r="AS604">
        <f t="shared" si="10"/>
        <v>3237451.6</v>
      </c>
      <c r="AT604">
        <f t="shared" si="9"/>
        <v>1.326823233434594</v>
      </c>
    </row>
    <row r="605" spans="1:46" x14ac:dyDescent="0.4">
      <c r="A605" s="3" t="s">
        <v>736</v>
      </c>
      <c r="B605">
        <v>3549520.1</v>
      </c>
      <c r="C605">
        <v>895071.6</v>
      </c>
      <c r="D605">
        <v>698295.5</v>
      </c>
      <c r="E605" t="s">
        <v>139</v>
      </c>
      <c r="F605" t="s">
        <v>139</v>
      </c>
      <c r="G605">
        <v>196776.1</v>
      </c>
      <c r="H605" t="s">
        <v>139</v>
      </c>
      <c r="I605" t="s">
        <v>139</v>
      </c>
      <c r="J605">
        <v>2654448.6</v>
      </c>
      <c r="K605">
        <v>765988</v>
      </c>
      <c r="L605">
        <v>1104912.6000000001</v>
      </c>
      <c r="M605" t="s">
        <v>139</v>
      </c>
      <c r="N605">
        <v>83429.399999999994</v>
      </c>
      <c r="O605" t="s">
        <v>139</v>
      </c>
      <c r="P605" t="s">
        <v>139</v>
      </c>
      <c r="Q605" t="s">
        <v>139</v>
      </c>
      <c r="R605" t="s">
        <v>139</v>
      </c>
      <c r="S605" t="s">
        <v>139</v>
      </c>
      <c r="T605" t="s">
        <v>139</v>
      </c>
      <c r="U605">
        <v>504933.6</v>
      </c>
      <c r="V605" s="6" t="s">
        <v>139</v>
      </c>
      <c r="W605" t="s">
        <v>139</v>
      </c>
      <c r="X605" t="s">
        <v>139</v>
      </c>
      <c r="Y605" t="s">
        <v>139</v>
      </c>
      <c r="Z605">
        <v>278614.5</v>
      </c>
      <c r="AA605" t="s">
        <v>139</v>
      </c>
      <c r="AB605" t="s">
        <v>139</v>
      </c>
      <c r="AC605" t="s">
        <v>139</v>
      </c>
      <c r="AD605">
        <v>237730</v>
      </c>
      <c r="AE605" t="s">
        <v>139</v>
      </c>
      <c r="AF605">
        <v>60421.8</v>
      </c>
      <c r="AG605">
        <v>311705.40000000002</v>
      </c>
      <c r="AH605" s="9">
        <v>4310053.2</v>
      </c>
      <c r="AI605">
        <v>2793556.2</v>
      </c>
      <c r="AJ605">
        <v>493334.1</v>
      </c>
      <c r="AK605" t="s">
        <v>139</v>
      </c>
      <c r="AL605">
        <v>821183</v>
      </c>
      <c r="AM605" t="s">
        <v>139</v>
      </c>
      <c r="AN605">
        <v>273113.7</v>
      </c>
      <c r="AO605" s="9">
        <v>4087918.5</v>
      </c>
      <c r="AP605">
        <v>222134.7</v>
      </c>
      <c r="AQ605" t="s">
        <v>139</v>
      </c>
      <c r="AR605" t="s">
        <v>139</v>
      </c>
      <c r="AS605">
        <f t="shared" si="10"/>
        <v>3286890.3000000003</v>
      </c>
      <c r="AT605">
        <f t="shared" si="9"/>
        <v>1.3112859896784508</v>
      </c>
    </row>
    <row r="606" spans="1:46" x14ac:dyDescent="0.4">
      <c r="A606" s="3" t="s">
        <v>737</v>
      </c>
      <c r="B606">
        <v>3568027</v>
      </c>
      <c r="C606">
        <v>896654.2</v>
      </c>
      <c r="D606">
        <v>700039.7</v>
      </c>
      <c r="E606" t="s">
        <v>139</v>
      </c>
      <c r="F606" t="s">
        <v>139</v>
      </c>
      <c r="G606">
        <v>196614.6</v>
      </c>
      <c r="H606" t="s">
        <v>139</v>
      </c>
      <c r="I606" t="s">
        <v>139</v>
      </c>
      <c r="J606">
        <v>2671372.7000000002</v>
      </c>
      <c r="K606">
        <v>772070.1</v>
      </c>
      <c r="L606">
        <v>1111889.6000000001</v>
      </c>
      <c r="M606" t="s">
        <v>139</v>
      </c>
      <c r="N606">
        <v>84427.9</v>
      </c>
      <c r="O606" t="s">
        <v>139</v>
      </c>
      <c r="P606" t="s">
        <v>139</v>
      </c>
      <c r="Q606" t="s">
        <v>139</v>
      </c>
      <c r="R606" t="s">
        <v>139</v>
      </c>
      <c r="S606" t="s">
        <v>139</v>
      </c>
      <c r="T606" t="s">
        <v>139</v>
      </c>
      <c r="U606">
        <v>506473.4</v>
      </c>
      <c r="V606" s="6" t="s">
        <v>139</v>
      </c>
      <c r="W606" t="s">
        <v>139</v>
      </c>
      <c r="X606" t="s">
        <v>139</v>
      </c>
      <c r="Y606" t="s">
        <v>139</v>
      </c>
      <c r="Z606">
        <v>280939.59999999998</v>
      </c>
      <c r="AA606" t="s">
        <v>139</v>
      </c>
      <c r="AB606" t="s">
        <v>139</v>
      </c>
      <c r="AC606" t="s">
        <v>139</v>
      </c>
      <c r="AD606">
        <v>241706.6</v>
      </c>
      <c r="AE606" t="s">
        <v>139</v>
      </c>
      <c r="AF606">
        <v>60568.1</v>
      </c>
      <c r="AG606">
        <v>323227.40000000002</v>
      </c>
      <c r="AH606" s="9">
        <v>4352694.2</v>
      </c>
      <c r="AI606">
        <v>2809404.1</v>
      </c>
      <c r="AJ606">
        <v>497233.3</v>
      </c>
      <c r="AK606" t="s">
        <v>139</v>
      </c>
      <c r="AL606">
        <v>825785.1</v>
      </c>
      <c r="AM606" t="s">
        <v>139</v>
      </c>
      <c r="AN606">
        <v>281586.5</v>
      </c>
      <c r="AO606" s="9">
        <v>4109015</v>
      </c>
      <c r="AP606">
        <v>243679.2</v>
      </c>
      <c r="AQ606" t="s">
        <v>139</v>
      </c>
      <c r="AR606" t="s">
        <v>139</v>
      </c>
      <c r="AS606">
        <f t="shared" si="10"/>
        <v>3306637.4</v>
      </c>
      <c r="AT606">
        <f t="shared" si="9"/>
        <v>1.3163506225387762</v>
      </c>
    </row>
    <row r="607" spans="1:46" x14ac:dyDescent="0.4">
      <c r="A607" s="3" t="s">
        <v>738</v>
      </c>
      <c r="B607">
        <v>3588326.7</v>
      </c>
      <c r="C607">
        <v>893933</v>
      </c>
      <c r="D607">
        <v>699451</v>
      </c>
      <c r="E607" t="s">
        <v>139</v>
      </c>
      <c r="F607" t="s">
        <v>139</v>
      </c>
      <c r="G607">
        <v>194482.1</v>
      </c>
      <c r="H607" t="s">
        <v>139</v>
      </c>
      <c r="I607" t="s">
        <v>139</v>
      </c>
      <c r="J607">
        <v>2694393.7</v>
      </c>
      <c r="K607">
        <v>778650.3</v>
      </c>
      <c r="L607">
        <v>1123029.3</v>
      </c>
      <c r="M607" t="s">
        <v>139</v>
      </c>
      <c r="N607">
        <v>85835.3</v>
      </c>
      <c r="O607" t="s">
        <v>139</v>
      </c>
      <c r="P607" t="s">
        <v>139</v>
      </c>
      <c r="Q607" t="s">
        <v>139</v>
      </c>
      <c r="R607" t="s">
        <v>139</v>
      </c>
      <c r="S607" t="s">
        <v>139</v>
      </c>
      <c r="T607" t="s">
        <v>139</v>
      </c>
      <c r="U607">
        <v>508965.4</v>
      </c>
      <c r="V607" s="6" t="s">
        <v>139</v>
      </c>
      <c r="W607" t="s">
        <v>139</v>
      </c>
      <c r="X607" t="s">
        <v>139</v>
      </c>
      <c r="Y607" t="s">
        <v>139</v>
      </c>
      <c r="Z607">
        <v>283748.7</v>
      </c>
      <c r="AA607" t="s">
        <v>139</v>
      </c>
      <c r="AB607" t="s">
        <v>139</v>
      </c>
      <c r="AC607" t="s">
        <v>139</v>
      </c>
      <c r="AD607">
        <v>242294.1</v>
      </c>
      <c r="AE607" t="s">
        <v>139</v>
      </c>
      <c r="AF607">
        <v>58402.400000000001</v>
      </c>
      <c r="AG607">
        <v>333007.40000000002</v>
      </c>
      <c r="AH607" s="9">
        <v>4374419.3</v>
      </c>
      <c r="AI607">
        <v>2834257.8</v>
      </c>
      <c r="AJ607">
        <v>514345</v>
      </c>
      <c r="AK607" t="s">
        <v>139</v>
      </c>
      <c r="AL607">
        <v>836955.8</v>
      </c>
      <c r="AM607" t="s">
        <v>139</v>
      </c>
      <c r="AN607">
        <v>285221.59999999998</v>
      </c>
      <c r="AO607" s="9">
        <v>4140594.9</v>
      </c>
      <c r="AP607">
        <v>233824.4</v>
      </c>
      <c r="AQ607" t="s">
        <v>139</v>
      </c>
      <c r="AR607" t="s">
        <v>139</v>
      </c>
      <c r="AS607">
        <f t="shared" si="10"/>
        <v>3348602.8</v>
      </c>
      <c r="AT607">
        <f t="shared" si="9"/>
        <v>1.306341647925517</v>
      </c>
    </row>
    <row r="608" spans="1:46" x14ac:dyDescent="0.4">
      <c r="A608" s="3" t="s">
        <v>739</v>
      </c>
      <c r="B608">
        <v>3612524.5</v>
      </c>
      <c r="C608">
        <v>900583</v>
      </c>
      <c r="D608">
        <v>701480.1</v>
      </c>
      <c r="E608" t="s">
        <v>139</v>
      </c>
      <c r="F608" t="s">
        <v>139</v>
      </c>
      <c r="G608">
        <v>199102.9</v>
      </c>
      <c r="H608" t="s">
        <v>139</v>
      </c>
      <c r="I608" t="s">
        <v>139</v>
      </c>
      <c r="J608">
        <v>2711941.4</v>
      </c>
      <c r="K608">
        <v>782389.3</v>
      </c>
      <c r="L608">
        <v>1129921.8999999999</v>
      </c>
      <c r="M608" t="s">
        <v>139</v>
      </c>
      <c r="N608">
        <v>86368.2</v>
      </c>
      <c r="O608" t="s">
        <v>139</v>
      </c>
      <c r="P608" t="s">
        <v>139</v>
      </c>
      <c r="Q608" t="s">
        <v>139</v>
      </c>
      <c r="R608" t="s">
        <v>139</v>
      </c>
      <c r="S608" t="s">
        <v>139</v>
      </c>
      <c r="T608" t="s">
        <v>139</v>
      </c>
      <c r="U608">
        <v>511956.2</v>
      </c>
      <c r="V608" s="6" t="s">
        <v>139</v>
      </c>
      <c r="W608" t="s">
        <v>139</v>
      </c>
      <c r="X608" t="s">
        <v>139</v>
      </c>
      <c r="Y608" t="s">
        <v>139</v>
      </c>
      <c r="Z608">
        <v>287674</v>
      </c>
      <c r="AA608" t="s">
        <v>139</v>
      </c>
      <c r="AB608" t="s">
        <v>139</v>
      </c>
      <c r="AC608" t="s">
        <v>139</v>
      </c>
      <c r="AD608">
        <v>239289.60000000001</v>
      </c>
      <c r="AE608" t="s">
        <v>139</v>
      </c>
      <c r="AF608">
        <v>58400.800000000003</v>
      </c>
      <c r="AG608">
        <v>346843.2</v>
      </c>
      <c r="AH608" s="9">
        <v>4409876.4000000004</v>
      </c>
      <c r="AI608">
        <v>2847102.2</v>
      </c>
      <c r="AJ608">
        <v>523709.4</v>
      </c>
      <c r="AK608" t="s">
        <v>139</v>
      </c>
      <c r="AL608">
        <v>854236.3</v>
      </c>
      <c r="AM608" t="s">
        <v>139</v>
      </c>
      <c r="AN608">
        <v>290594.90000000002</v>
      </c>
      <c r="AO608" s="9">
        <v>4171880.7</v>
      </c>
      <c r="AP608">
        <v>237995.7</v>
      </c>
      <c r="AQ608" t="s">
        <v>139</v>
      </c>
      <c r="AR608" t="s">
        <v>139</v>
      </c>
      <c r="AS608">
        <f t="shared" si="10"/>
        <v>3370811.6</v>
      </c>
      <c r="AT608">
        <f t="shared" si="9"/>
        <v>1.3082535968489013</v>
      </c>
    </row>
    <row r="609" spans="1:46" x14ac:dyDescent="0.4">
      <c r="A609" s="3" t="s">
        <v>740</v>
      </c>
      <c r="B609">
        <v>3627407.4</v>
      </c>
      <c r="C609">
        <v>901135.2</v>
      </c>
      <c r="D609">
        <v>697037.2</v>
      </c>
      <c r="E609" t="s">
        <v>139</v>
      </c>
      <c r="F609" t="s">
        <v>139</v>
      </c>
      <c r="G609">
        <v>204098</v>
      </c>
      <c r="H609" t="s">
        <v>139</v>
      </c>
      <c r="I609" t="s">
        <v>139</v>
      </c>
      <c r="J609">
        <v>2726272.2</v>
      </c>
      <c r="K609">
        <v>789213.6</v>
      </c>
      <c r="L609">
        <v>1135100.8999999999</v>
      </c>
      <c r="M609" t="s">
        <v>139</v>
      </c>
      <c r="N609">
        <v>87288.6</v>
      </c>
      <c r="O609" t="s">
        <v>139</v>
      </c>
      <c r="P609" t="s">
        <v>139</v>
      </c>
      <c r="Q609" t="s">
        <v>139</v>
      </c>
      <c r="R609" t="s">
        <v>139</v>
      </c>
      <c r="S609" t="s">
        <v>139</v>
      </c>
      <c r="T609" t="s">
        <v>139</v>
      </c>
      <c r="U609">
        <v>509396.5</v>
      </c>
      <c r="V609" s="6" t="s">
        <v>139</v>
      </c>
      <c r="W609" t="s">
        <v>139</v>
      </c>
      <c r="X609" t="s">
        <v>139</v>
      </c>
      <c r="Y609" t="s">
        <v>139</v>
      </c>
      <c r="Z609">
        <v>292561.2</v>
      </c>
      <c r="AA609" t="s">
        <v>139</v>
      </c>
      <c r="AB609" t="s">
        <v>139</v>
      </c>
      <c r="AC609" t="s">
        <v>139</v>
      </c>
      <c r="AD609">
        <v>241573.1</v>
      </c>
      <c r="AE609" t="s">
        <v>139</v>
      </c>
      <c r="AF609">
        <v>57802.3</v>
      </c>
      <c r="AG609">
        <v>375182.7</v>
      </c>
      <c r="AH609" s="9">
        <v>4465425.4000000004</v>
      </c>
      <c r="AI609">
        <v>2866974.2</v>
      </c>
      <c r="AJ609">
        <v>534294.30000000005</v>
      </c>
      <c r="AK609" t="s">
        <v>139</v>
      </c>
      <c r="AL609">
        <v>874115</v>
      </c>
      <c r="AM609" t="s">
        <v>139</v>
      </c>
      <c r="AN609">
        <v>316787.90000000002</v>
      </c>
      <c r="AO609" s="9">
        <v>4237776</v>
      </c>
      <c r="AP609">
        <v>227649.4</v>
      </c>
      <c r="AQ609" t="s">
        <v>139</v>
      </c>
      <c r="AR609" t="s">
        <v>139</v>
      </c>
      <c r="AS609">
        <f t="shared" si="10"/>
        <v>3401268.5</v>
      </c>
      <c r="AT609">
        <f t="shared" si="9"/>
        <v>1.3128705951911765</v>
      </c>
    </row>
    <row r="610" spans="1:46" x14ac:dyDescent="0.4">
      <c r="A610" s="3" t="s">
        <v>741</v>
      </c>
      <c r="B610">
        <v>3658596.1</v>
      </c>
      <c r="C610">
        <v>912965.4</v>
      </c>
      <c r="D610">
        <v>704157.5</v>
      </c>
      <c r="E610" t="s">
        <v>139</v>
      </c>
      <c r="F610" t="s">
        <v>139</v>
      </c>
      <c r="G610">
        <v>208807.8</v>
      </c>
      <c r="H610" t="s">
        <v>139</v>
      </c>
      <c r="I610" t="s">
        <v>139</v>
      </c>
      <c r="J610">
        <v>2745630.7</v>
      </c>
      <c r="K610">
        <v>795608.8</v>
      </c>
      <c r="L610">
        <v>1147805.2</v>
      </c>
      <c r="M610" t="s">
        <v>139</v>
      </c>
      <c r="N610">
        <v>88724.2</v>
      </c>
      <c r="O610" t="s">
        <v>139</v>
      </c>
      <c r="P610" t="s">
        <v>139</v>
      </c>
      <c r="Q610" t="s">
        <v>139</v>
      </c>
      <c r="R610" t="s">
        <v>139</v>
      </c>
      <c r="S610" t="s">
        <v>139</v>
      </c>
      <c r="T610" t="s">
        <v>139</v>
      </c>
      <c r="U610">
        <v>504569.2</v>
      </c>
      <c r="V610" s="6" t="s">
        <v>139</v>
      </c>
      <c r="W610" t="s">
        <v>139</v>
      </c>
      <c r="X610" t="s">
        <v>139</v>
      </c>
      <c r="Y610" t="s">
        <v>139</v>
      </c>
      <c r="Z610">
        <v>297647.59999999998</v>
      </c>
      <c r="AA610" t="s">
        <v>139</v>
      </c>
      <c r="AB610" t="s">
        <v>139</v>
      </c>
      <c r="AC610" t="s">
        <v>139</v>
      </c>
      <c r="AD610">
        <v>247327.4</v>
      </c>
      <c r="AE610" t="s">
        <v>139</v>
      </c>
      <c r="AF610">
        <v>57848.2</v>
      </c>
      <c r="AG610">
        <v>371671.6</v>
      </c>
      <c r="AH610" s="9">
        <v>4504831.3</v>
      </c>
      <c r="AI610">
        <v>2893345.5</v>
      </c>
      <c r="AJ610">
        <v>541989.4</v>
      </c>
      <c r="AK610" t="s">
        <v>139</v>
      </c>
      <c r="AL610">
        <v>890174.9</v>
      </c>
      <c r="AM610" t="s">
        <v>139</v>
      </c>
      <c r="AN610">
        <v>303400.40000000002</v>
      </c>
      <c r="AO610" s="9">
        <v>4274761.8</v>
      </c>
      <c r="AP610">
        <v>230069.5</v>
      </c>
      <c r="AQ610" t="s">
        <v>139</v>
      </c>
      <c r="AR610" t="s">
        <v>139</v>
      </c>
      <c r="AS610">
        <f t="shared" si="10"/>
        <v>3435334.9</v>
      </c>
      <c r="AT610">
        <f t="shared" si="9"/>
        <v>1.3113223109630447</v>
      </c>
    </row>
    <row r="611" spans="1:46" x14ac:dyDescent="0.4">
      <c r="A611" s="3" t="s">
        <v>742</v>
      </c>
      <c r="B611">
        <v>3698625.9</v>
      </c>
      <c r="C611">
        <v>927721.1</v>
      </c>
      <c r="D611">
        <v>715013</v>
      </c>
      <c r="E611" t="s">
        <v>139</v>
      </c>
      <c r="F611" t="s">
        <v>139</v>
      </c>
      <c r="G611">
        <v>212708</v>
      </c>
      <c r="H611" t="s">
        <v>139</v>
      </c>
      <c r="I611" t="s">
        <v>139</v>
      </c>
      <c r="J611">
        <v>2770904.9</v>
      </c>
      <c r="K611">
        <v>803888.6</v>
      </c>
      <c r="L611">
        <v>1160605</v>
      </c>
      <c r="M611" t="s">
        <v>139</v>
      </c>
      <c r="N611">
        <v>90111.3</v>
      </c>
      <c r="O611" t="s">
        <v>139</v>
      </c>
      <c r="P611" t="s">
        <v>139</v>
      </c>
      <c r="Q611" t="s">
        <v>139</v>
      </c>
      <c r="R611" t="s">
        <v>139</v>
      </c>
      <c r="S611" t="s">
        <v>139</v>
      </c>
      <c r="T611" t="s">
        <v>139</v>
      </c>
      <c r="U611">
        <v>506005.9</v>
      </c>
      <c r="V611" s="6" t="s">
        <v>139</v>
      </c>
      <c r="W611" t="s">
        <v>139</v>
      </c>
      <c r="X611" t="s">
        <v>139</v>
      </c>
      <c r="Y611" t="s">
        <v>139</v>
      </c>
      <c r="Z611">
        <v>300405.3</v>
      </c>
      <c r="AA611" t="s">
        <v>139</v>
      </c>
      <c r="AB611" t="s">
        <v>139</v>
      </c>
      <c r="AC611" t="s">
        <v>139</v>
      </c>
      <c r="AD611">
        <v>251110.1</v>
      </c>
      <c r="AE611" t="s">
        <v>139</v>
      </c>
      <c r="AF611">
        <v>58922.9</v>
      </c>
      <c r="AG611">
        <v>372406.3</v>
      </c>
      <c r="AH611" s="9">
        <v>4549505</v>
      </c>
      <c r="AI611">
        <v>2915842.8</v>
      </c>
      <c r="AJ611">
        <v>556233.1</v>
      </c>
      <c r="AK611" t="s">
        <v>139</v>
      </c>
      <c r="AL611">
        <v>912999</v>
      </c>
      <c r="AM611" t="s">
        <v>139</v>
      </c>
      <c r="AN611">
        <v>305449.7</v>
      </c>
      <c r="AO611" s="9">
        <v>4319733.3</v>
      </c>
      <c r="AP611">
        <v>229771.7</v>
      </c>
      <c r="AQ611" t="s">
        <v>139</v>
      </c>
      <c r="AR611" t="s">
        <v>139</v>
      </c>
      <c r="AS611">
        <f t="shared" si="10"/>
        <v>3472075.9</v>
      </c>
      <c r="AT611">
        <f t="shared" si="9"/>
        <v>1.3103126576236424</v>
      </c>
    </row>
    <row r="612" spans="1:46" x14ac:dyDescent="0.4">
      <c r="A612" s="3" t="s">
        <v>743</v>
      </c>
      <c r="B612">
        <v>3722618.7</v>
      </c>
      <c r="C612">
        <v>924092</v>
      </c>
      <c r="D612">
        <v>713418.9</v>
      </c>
      <c r="E612" t="s">
        <v>139</v>
      </c>
      <c r="F612" t="s">
        <v>139</v>
      </c>
      <c r="G612">
        <v>210673.1</v>
      </c>
      <c r="H612" t="s">
        <v>139</v>
      </c>
      <c r="I612" t="s">
        <v>139</v>
      </c>
      <c r="J612">
        <v>2798526.7</v>
      </c>
      <c r="K612">
        <v>809297.2</v>
      </c>
      <c r="L612">
        <v>1172091.8</v>
      </c>
      <c r="M612" t="s">
        <v>139</v>
      </c>
      <c r="N612">
        <v>91532.6</v>
      </c>
      <c r="O612" t="s">
        <v>139</v>
      </c>
      <c r="P612" t="s">
        <v>139</v>
      </c>
      <c r="Q612" t="s">
        <v>139</v>
      </c>
      <c r="R612" t="s">
        <v>139</v>
      </c>
      <c r="S612" t="s">
        <v>139</v>
      </c>
      <c r="T612" t="s">
        <v>139</v>
      </c>
      <c r="U612">
        <v>508604</v>
      </c>
      <c r="V612" s="6" t="s">
        <v>139</v>
      </c>
      <c r="W612" t="s">
        <v>139</v>
      </c>
      <c r="X612" t="s">
        <v>139</v>
      </c>
      <c r="Y612" t="s">
        <v>139</v>
      </c>
      <c r="Z612">
        <v>308533.8</v>
      </c>
      <c r="AA612" t="s">
        <v>139</v>
      </c>
      <c r="AB612" t="s">
        <v>139</v>
      </c>
      <c r="AC612" t="s">
        <v>139</v>
      </c>
      <c r="AD612">
        <v>253336.1</v>
      </c>
      <c r="AE612" t="s">
        <v>139</v>
      </c>
      <c r="AF612">
        <v>63097.8</v>
      </c>
      <c r="AG612">
        <v>367993.59999999998</v>
      </c>
      <c r="AH612" s="9">
        <v>4577414.4000000004</v>
      </c>
      <c r="AI612">
        <v>2923961.1</v>
      </c>
      <c r="AJ612">
        <v>560795.80000000005</v>
      </c>
      <c r="AK612" t="s">
        <v>139</v>
      </c>
      <c r="AL612">
        <v>925554.7</v>
      </c>
      <c r="AM612" t="s">
        <v>139</v>
      </c>
      <c r="AN612">
        <v>305792.3</v>
      </c>
      <c r="AO612" s="9">
        <v>4345273.4000000004</v>
      </c>
      <c r="AP612">
        <v>232141.1</v>
      </c>
      <c r="AQ612" t="s">
        <v>139</v>
      </c>
      <c r="AR612" t="s">
        <v>139</v>
      </c>
      <c r="AS612">
        <f t="shared" si="10"/>
        <v>3484756.9000000004</v>
      </c>
      <c r="AT612">
        <f t="shared" si="9"/>
        <v>1.3135534361091299</v>
      </c>
    </row>
    <row r="613" spans="1:46" x14ac:dyDescent="0.4">
      <c r="A613" s="3" t="s">
        <v>744</v>
      </c>
      <c r="B613">
        <v>3748355.6</v>
      </c>
      <c r="C613">
        <v>929103.4</v>
      </c>
      <c r="D613">
        <v>717377.9</v>
      </c>
      <c r="E613" t="s">
        <v>139</v>
      </c>
      <c r="F613" t="s">
        <v>139</v>
      </c>
      <c r="G613">
        <v>211725.5</v>
      </c>
      <c r="H613" t="s">
        <v>139</v>
      </c>
      <c r="I613" t="s">
        <v>139</v>
      </c>
      <c r="J613">
        <v>2819252.2</v>
      </c>
      <c r="K613">
        <v>813363.3</v>
      </c>
      <c r="L613">
        <v>1183772.5</v>
      </c>
      <c r="M613" t="s">
        <v>139</v>
      </c>
      <c r="N613">
        <v>93304.8</v>
      </c>
      <c r="O613" t="s">
        <v>139</v>
      </c>
      <c r="P613" t="s">
        <v>139</v>
      </c>
      <c r="Q613" t="s">
        <v>139</v>
      </c>
      <c r="R613" t="s">
        <v>139</v>
      </c>
      <c r="S613" t="s">
        <v>139</v>
      </c>
      <c r="T613" t="s">
        <v>139</v>
      </c>
      <c r="U613">
        <v>511549.1</v>
      </c>
      <c r="V613" s="6" t="s">
        <v>139</v>
      </c>
      <c r="W613" t="s">
        <v>139</v>
      </c>
      <c r="X613" t="s">
        <v>139</v>
      </c>
      <c r="Y613" t="s">
        <v>139</v>
      </c>
      <c r="Z613">
        <v>310567.3</v>
      </c>
      <c r="AA613" t="s">
        <v>139</v>
      </c>
      <c r="AB613" t="s">
        <v>139</v>
      </c>
      <c r="AC613" t="s">
        <v>139</v>
      </c>
      <c r="AD613">
        <v>257831.7</v>
      </c>
      <c r="AE613" t="s">
        <v>139</v>
      </c>
      <c r="AF613">
        <v>59362.9</v>
      </c>
      <c r="AG613">
        <v>367931.6</v>
      </c>
      <c r="AH613" s="9">
        <v>4584493.3</v>
      </c>
      <c r="AI613">
        <v>2955974.4</v>
      </c>
      <c r="AJ613">
        <v>581232.30000000005</v>
      </c>
      <c r="AK613" t="s">
        <v>139</v>
      </c>
      <c r="AL613">
        <v>914489.2</v>
      </c>
      <c r="AM613" t="s">
        <v>139</v>
      </c>
      <c r="AN613">
        <v>303113.5</v>
      </c>
      <c r="AO613" s="9">
        <v>4354922.3</v>
      </c>
      <c r="AP613">
        <v>229571</v>
      </c>
      <c r="AQ613" t="s">
        <v>139</v>
      </c>
      <c r="AR613" t="s">
        <v>139</v>
      </c>
      <c r="AS613">
        <f t="shared" si="10"/>
        <v>3537206.7</v>
      </c>
      <c r="AT613">
        <f t="shared" si="9"/>
        <v>1.2960772973770516</v>
      </c>
    </row>
    <row r="614" spans="1:46" x14ac:dyDescent="0.4">
      <c r="A614" s="3" t="s">
        <v>745</v>
      </c>
      <c r="B614">
        <v>3773081.4</v>
      </c>
      <c r="C614">
        <v>937729</v>
      </c>
      <c r="D614">
        <v>722668.3</v>
      </c>
      <c r="E614" t="s">
        <v>139</v>
      </c>
      <c r="F614" t="s">
        <v>139</v>
      </c>
      <c r="G614">
        <v>215060.7</v>
      </c>
      <c r="H614" t="s">
        <v>139</v>
      </c>
      <c r="I614" t="s">
        <v>139</v>
      </c>
      <c r="J614">
        <v>2835352.3</v>
      </c>
      <c r="K614">
        <v>816533.7</v>
      </c>
      <c r="L614">
        <v>1190579</v>
      </c>
      <c r="M614" t="s">
        <v>139</v>
      </c>
      <c r="N614">
        <v>94504.8</v>
      </c>
      <c r="O614" t="s">
        <v>139</v>
      </c>
      <c r="P614" t="s">
        <v>139</v>
      </c>
      <c r="Q614" t="s">
        <v>139</v>
      </c>
      <c r="R614" t="s">
        <v>139</v>
      </c>
      <c r="S614" t="s">
        <v>139</v>
      </c>
      <c r="T614" t="s">
        <v>139</v>
      </c>
      <c r="U614">
        <v>512522.4</v>
      </c>
      <c r="V614" s="6" t="s">
        <v>139</v>
      </c>
      <c r="W614" t="s">
        <v>139</v>
      </c>
      <c r="X614" t="s">
        <v>139</v>
      </c>
      <c r="Y614" t="s">
        <v>139</v>
      </c>
      <c r="Z614">
        <v>315717.2</v>
      </c>
      <c r="AA614" t="s">
        <v>139</v>
      </c>
      <c r="AB614" t="s">
        <v>139</v>
      </c>
      <c r="AC614" t="s">
        <v>139</v>
      </c>
      <c r="AD614">
        <v>258779</v>
      </c>
      <c r="AE614" t="s">
        <v>139</v>
      </c>
      <c r="AF614">
        <v>53788</v>
      </c>
      <c r="AG614">
        <v>377403.9</v>
      </c>
      <c r="AH614" s="9">
        <v>4620195.5999999996</v>
      </c>
      <c r="AI614">
        <v>2983348.6</v>
      </c>
      <c r="AJ614">
        <v>599175.19999999995</v>
      </c>
      <c r="AK614" t="s">
        <v>139</v>
      </c>
      <c r="AL614">
        <v>925358.9</v>
      </c>
      <c r="AM614" t="s">
        <v>139</v>
      </c>
      <c r="AN614">
        <v>317978.5</v>
      </c>
      <c r="AO614" s="9">
        <v>4401202.3</v>
      </c>
      <c r="AP614">
        <v>218993.3</v>
      </c>
      <c r="AQ614" t="s">
        <v>139</v>
      </c>
      <c r="AR614" t="s">
        <v>139</v>
      </c>
      <c r="AS614">
        <f t="shared" si="10"/>
        <v>3582523.8</v>
      </c>
      <c r="AT614">
        <f t="shared" si="9"/>
        <v>1.289648264165056</v>
      </c>
    </row>
    <row r="615" spans="1:46" x14ac:dyDescent="0.4">
      <c r="A615" s="3" t="s">
        <v>746</v>
      </c>
      <c r="B615">
        <v>3786209.5</v>
      </c>
      <c r="C615">
        <v>934676.1</v>
      </c>
      <c r="D615">
        <v>716971.9</v>
      </c>
      <c r="E615" t="s">
        <v>139</v>
      </c>
      <c r="F615" t="s">
        <v>139</v>
      </c>
      <c r="G615">
        <v>217704.2</v>
      </c>
      <c r="H615" t="s">
        <v>139</v>
      </c>
      <c r="I615" t="s">
        <v>139</v>
      </c>
      <c r="J615">
        <v>2851533.4</v>
      </c>
      <c r="K615">
        <v>822512.1</v>
      </c>
      <c r="L615">
        <v>1196564</v>
      </c>
      <c r="M615" t="s">
        <v>139</v>
      </c>
      <c r="N615">
        <v>95399.4</v>
      </c>
      <c r="O615" t="s">
        <v>139</v>
      </c>
      <c r="P615" t="s">
        <v>139</v>
      </c>
      <c r="Q615" t="s">
        <v>139</v>
      </c>
      <c r="R615" t="s">
        <v>139</v>
      </c>
      <c r="S615" t="s">
        <v>139</v>
      </c>
      <c r="T615" t="s">
        <v>139</v>
      </c>
      <c r="U615">
        <v>512739.1</v>
      </c>
      <c r="V615" s="6" t="s">
        <v>139</v>
      </c>
      <c r="W615" t="s">
        <v>139</v>
      </c>
      <c r="X615" t="s">
        <v>139</v>
      </c>
      <c r="Y615" t="s">
        <v>139</v>
      </c>
      <c r="Z615">
        <v>319718.09999999998</v>
      </c>
      <c r="AA615" t="s">
        <v>139</v>
      </c>
      <c r="AB615" t="s">
        <v>139</v>
      </c>
      <c r="AC615" t="s">
        <v>139</v>
      </c>
      <c r="AD615">
        <v>268889.59999999998</v>
      </c>
      <c r="AE615" t="s">
        <v>139</v>
      </c>
      <c r="AF615">
        <v>53745</v>
      </c>
      <c r="AG615">
        <v>381952</v>
      </c>
      <c r="AH615" s="9">
        <v>4657711.2</v>
      </c>
      <c r="AI615">
        <v>3011628.2</v>
      </c>
      <c r="AJ615">
        <v>611115.80000000005</v>
      </c>
      <c r="AK615" t="s">
        <v>139</v>
      </c>
      <c r="AL615">
        <v>952299.7</v>
      </c>
      <c r="AM615" t="s">
        <v>139</v>
      </c>
      <c r="AN615">
        <v>311792.5</v>
      </c>
      <c r="AO615" s="9">
        <v>4440336.8</v>
      </c>
      <c r="AP615">
        <v>217374.4</v>
      </c>
      <c r="AQ615" t="s">
        <v>139</v>
      </c>
      <c r="AR615" t="s">
        <v>139</v>
      </c>
      <c r="AS615">
        <f t="shared" si="10"/>
        <v>3622744</v>
      </c>
      <c r="AT615">
        <f t="shared" si="9"/>
        <v>1.2856859883005811</v>
      </c>
    </row>
    <row r="616" spans="1:46" x14ac:dyDescent="0.4">
      <c r="A616" s="3" t="s">
        <v>747</v>
      </c>
      <c r="B616">
        <v>3813080</v>
      </c>
      <c r="C616">
        <v>948022.3</v>
      </c>
      <c r="D616">
        <v>728726.8</v>
      </c>
      <c r="E616" t="s">
        <v>139</v>
      </c>
      <c r="F616" t="s">
        <v>139</v>
      </c>
      <c r="G616">
        <v>219295.5</v>
      </c>
      <c r="H616" t="s">
        <v>139</v>
      </c>
      <c r="I616" t="s">
        <v>139</v>
      </c>
      <c r="J616">
        <v>2865057.7</v>
      </c>
      <c r="K616">
        <v>829959.5</v>
      </c>
      <c r="L616">
        <v>1208155.3</v>
      </c>
      <c r="M616" t="s">
        <v>139</v>
      </c>
      <c r="N616">
        <v>96760.7</v>
      </c>
      <c r="O616" t="s">
        <v>139</v>
      </c>
      <c r="P616" t="s">
        <v>139</v>
      </c>
      <c r="Q616" t="s">
        <v>139</v>
      </c>
      <c r="R616" t="s">
        <v>139</v>
      </c>
      <c r="S616" t="s">
        <v>139</v>
      </c>
      <c r="T616" t="s">
        <v>139</v>
      </c>
      <c r="U616">
        <v>507042.4</v>
      </c>
      <c r="V616" s="6" t="s">
        <v>139</v>
      </c>
      <c r="W616" t="s">
        <v>139</v>
      </c>
      <c r="X616" t="s">
        <v>139</v>
      </c>
      <c r="Y616" t="s">
        <v>139</v>
      </c>
      <c r="Z616">
        <v>319900.5</v>
      </c>
      <c r="AA616" t="s">
        <v>139</v>
      </c>
      <c r="AB616" t="s">
        <v>139</v>
      </c>
      <c r="AC616" t="s">
        <v>139</v>
      </c>
      <c r="AD616">
        <v>266094.90000000002</v>
      </c>
      <c r="AE616" t="s">
        <v>139</v>
      </c>
      <c r="AF616">
        <v>50836.3</v>
      </c>
      <c r="AG616">
        <v>374447.9</v>
      </c>
      <c r="AH616" s="9">
        <v>4679011.7</v>
      </c>
      <c r="AI616">
        <v>3027595.9</v>
      </c>
      <c r="AJ616">
        <v>621480.80000000005</v>
      </c>
      <c r="AK616" t="s">
        <v>139</v>
      </c>
      <c r="AL616">
        <v>960119.9</v>
      </c>
      <c r="AM616" t="s">
        <v>139</v>
      </c>
      <c r="AN616">
        <v>298908.7</v>
      </c>
      <c r="AO616" s="9">
        <v>4450571.5</v>
      </c>
      <c r="AP616">
        <v>228440.2</v>
      </c>
      <c r="AQ616" t="s">
        <v>139</v>
      </c>
      <c r="AR616" t="s">
        <v>139</v>
      </c>
      <c r="AS616">
        <f t="shared" si="10"/>
        <v>3649076.7</v>
      </c>
      <c r="AT616">
        <f t="shared" si="9"/>
        <v>1.2822453690819926</v>
      </c>
    </row>
    <row r="617" spans="1:46" x14ac:dyDescent="0.4">
      <c r="A617" s="3" t="s">
        <v>748</v>
      </c>
      <c r="B617">
        <v>3830018.5</v>
      </c>
      <c r="C617">
        <v>957362.8</v>
      </c>
      <c r="D617">
        <v>735706.3</v>
      </c>
      <c r="E617" t="s">
        <v>139</v>
      </c>
      <c r="F617" t="s">
        <v>139</v>
      </c>
      <c r="G617">
        <v>221656.5</v>
      </c>
      <c r="H617" t="s">
        <v>139</v>
      </c>
      <c r="I617" t="s">
        <v>139</v>
      </c>
      <c r="J617">
        <v>2872655.7</v>
      </c>
      <c r="K617">
        <v>833935.6</v>
      </c>
      <c r="L617">
        <v>1214922.6000000001</v>
      </c>
      <c r="M617" t="s">
        <v>139</v>
      </c>
      <c r="N617">
        <v>97281.2</v>
      </c>
      <c r="O617" t="s">
        <v>139</v>
      </c>
      <c r="P617" t="s">
        <v>139</v>
      </c>
      <c r="Q617" t="s">
        <v>139</v>
      </c>
      <c r="R617" t="s">
        <v>139</v>
      </c>
      <c r="S617" t="s">
        <v>139</v>
      </c>
      <c r="T617" t="s">
        <v>139</v>
      </c>
      <c r="U617">
        <v>501252.8</v>
      </c>
      <c r="V617" s="6" t="s">
        <v>139</v>
      </c>
      <c r="W617" t="s">
        <v>139</v>
      </c>
      <c r="X617" t="s">
        <v>139</v>
      </c>
      <c r="Y617" t="s">
        <v>139</v>
      </c>
      <c r="Z617">
        <v>322544.7</v>
      </c>
      <c r="AA617" t="s">
        <v>139</v>
      </c>
      <c r="AB617" t="s">
        <v>139</v>
      </c>
      <c r="AC617" t="s">
        <v>139</v>
      </c>
      <c r="AD617">
        <v>271604.7</v>
      </c>
      <c r="AE617" t="s">
        <v>139</v>
      </c>
      <c r="AF617">
        <v>50922</v>
      </c>
      <c r="AG617">
        <v>377800.7</v>
      </c>
      <c r="AH617" s="9">
        <v>4711319.2</v>
      </c>
      <c r="AI617">
        <v>3044674.4</v>
      </c>
      <c r="AJ617">
        <v>624972.5</v>
      </c>
      <c r="AK617" t="s">
        <v>139</v>
      </c>
      <c r="AL617">
        <v>981212.6</v>
      </c>
      <c r="AM617" t="s">
        <v>139</v>
      </c>
      <c r="AN617">
        <v>296755.3</v>
      </c>
      <c r="AO617" s="9">
        <v>4479585.2</v>
      </c>
      <c r="AP617">
        <v>231734</v>
      </c>
      <c r="AQ617" t="s">
        <v>139</v>
      </c>
      <c r="AR617" t="s">
        <v>139</v>
      </c>
      <c r="AS617">
        <f t="shared" si="10"/>
        <v>3669646.9</v>
      </c>
      <c r="AT617">
        <f t="shared" si="9"/>
        <v>1.2838617252248439</v>
      </c>
    </row>
    <row r="618" spans="1:46" x14ac:dyDescent="0.4">
      <c r="A618" s="3" t="s">
        <v>749</v>
      </c>
      <c r="B618">
        <v>3865019.5</v>
      </c>
      <c r="C618">
        <v>978650</v>
      </c>
      <c r="D618">
        <v>747631.7</v>
      </c>
      <c r="E618" t="s">
        <v>139</v>
      </c>
      <c r="F618" t="s">
        <v>139</v>
      </c>
      <c r="G618">
        <v>231018.4</v>
      </c>
      <c r="H618" t="s">
        <v>139</v>
      </c>
      <c r="I618" t="s">
        <v>139</v>
      </c>
      <c r="J618">
        <v>2886369.5</v>
      </c>
      <c r="K618">
        <v>839914.3</v>
      </c>
      <c r="L618">
        <v>1219095.2</v>
      </c>
      <c r="M618" t="s">
        <v>139</v>
      </c>
      <c r="N618">
        <v>98102.399999999994</v>
      </c>
      <c r="O618" t="s">
        <v>139</v>
      </c>
      <c r="P618" t="s">
        <v>139</v>
      </c>
      <c r="Q618" t="s">
        <v>139</v>
      </c>
      <c r="R618" t="s">
        <v>139</v>
      </c>
      <c r="S618" t="s">
        <v>139</v>
      </c>
      <c r="T618" t="s">
        <v>139</v>
      </c>
      <c r="U618">
        <v>501380.3</v>
      </c>
      <c r="V618" s="6" t="s">
        <v>139</v>
      </c>
      <c r="W618" t="s">
        <v>139</v>
      </c>
      <c r="X618" t="s">
        <v>139</v>
      </c>
      <c r="Y618" t="s">
        <v>139</v>
      </c>
      <c r="Z618">
        <v>325979.59999999998</v>
      </c>
      <c r="AA618" t="s">
        <v>139</v>
      </c>
      <c r="AB618" t="s">
        <v>139</v>
      </c>
      <c r="AC618" t="s">
        <v>139</v>
      </c>
      <c r="AD618">
        <v>282022.7</v>
      </c>
      <c r="AE618" t="s">
        <v>139</v>
      </c>
      <c r="AF618">
        <v>49252.4</v>
      </c>
      <c r="AG618">
        <v>390343.7</v>
      </c>
      <c r="AH618" s="9">
        <v>4770791</v>
      </c>
      <c r="AI618">
        <v>3069557.4</v>
      </c>
      <c r="AJ618">
        <v>631950.6</v>
      </c>
      <c r="AK618" t="s">
        <v>139</v>
      </c>
      <c r="AL618">
        <v>982860.7</v>
      </c>
      <c r="AM618" t="s">
        <v>139</v>
      </c>
      <c r="AN618">
        <v>303928.09999999998</v>
      </c>
      <c r="AO618" s="9">
        <v>4517128.5</v>
      </c>
      <c r="AP618">
        <v>253662.4</v>
      </c>
      <c r="AQ618" t="s">
        <v>139</v>
      </c>
      <c r="AR618" t="s">
        <v>139</v>
      </c>
      <c r="AS618">
        <f t="shared" si="10"/>
        <v>3701508</v>
      </c>
      <c r="AT618">
        <f t="shared" si="9"/>
        <v>1.2888776682368375</v>
      </c>
    </row>
    <row r="619" spans="1:46" x14ac:dyDescent="0.4">
      <c r="A619" s="3" t="s">
        <v>750</v>
      </c>
      <c r="B619">
        <v>3886489.5</v>
      </c>
      <c r="C619">
        <v>986481.8</v>
      </c>
      <c r="D619">
        <v>751202.6</v>
      </c>
      <c r="E619" t="s">
        <v>139</v>
      </c>
      <c r="F619" t="s">
        <v>139</v>
      </c>
      <c r="G619">
        <v>235279.3</v>
      </c>
      <c r="H619" t="s">
        <v>139</v>
      </c>
      <c r="I619" t="s">
        <v>139</v>
      </c>
      <c r="J619">
        <v>2900007.6</v>
      </c>
      <c r="K619">
        <v>845129.8</v>
      </c>
      <c r="L619">
        <v>1220705.3999999999</v>
      </c>
      <c r="M619" t="s">
        <v>139</v>
      </c>
      <c r="N619">
        <v>98790.7</v>
      </c>
      <c r="O619" t="s">
        <v>139</v>
      </c>
      <c r="P619" t="s">
        <v>139</v>
      </c>
      <c r="Q619" t="s">
        <v>139</v>
      </c>
      <c r="R619" t="s">
        <v>139</v>
      </c>
      <c r="S619" t="s">
        <v>139</v>
      </c>
      <c r="T619" t="s">
        <v>139</v>
      </c>
      <c r="U619">
        <v>501307.2</v>
      </c>
      <c r="V619" s="6" t="s">
        <v>139</v>
      </c>
      <c r="W619" t="s">
        <v>139</v>
      </c>
      <c r="X619" t="s">
        <v>139</v>
      </c>
      <c r="Y619" t="s">
        <v>139</v>
      </c>
      <c r="Z619">
        <v>332865.2</v>
      </c>
      <c r="AA619" t="s">
        <v>139</v>
      </c>
      <c r="AB619" t="s">
        <v>139</v>
      </c>
      <c r="AC619" t="s">
        <v>139</v>
      </c>
      <c r="AD619">
        <v>269593.09999999998</v>
      </c>
      <c r="AE619" t="s">
        <v>139</v>
      </c>
      <c r="AF619">
        <v>49515.4</v>
      </c>
      <c r="AG619">
        <v>386088.4</v>
      </c>
      <c r="AH619" s="9">
        <v>4783452.8</v>
      </c>
      <c r="AI619">
        <v>3079970.3</v>
      </c>
      <c r="AJ619">
        <v>636988.19999999995</v>
      </c>
      <c r="AK619" t="s">
        <v>139</v>
      </c>
      <c r="AL619">
        <v>998057.8</v>
      </c>
      <c r="AM619" t="s">
        <v>139</v>
      </c>
      <c r="AN619">
        <v>306838.3</v>
      </c>
      <c r="AO619" s="9">
        <v>4547182.5999999996</v>
      </c>
      <c r="AP619">
        <v>236270.2</v>
      </c>
      <c r="AQ619" t="s">
        <v>139</v>
      </c>
      <c r="AR619" t="s">
        <v>139</v>
      </c>
      <c r="AS619">
        <f t="shared" si="10"/>
        <v>3716958.5</v>
      </c>
      <c r="AT619">
        <f t="shared" si="9"/>
        <v>1.2869266094846095</v>
      </c>
    </row>
    <row r="620" spans="1:46" x14ac:dyDescent="0.4">
      <c r="A620" s="3" t="s">
        <v>751</v>
      </c>
      <c r="B620">
        <v>3925538</v>
      </c>
      <c r="C620">
        <v>1007432.4</v>
      </c>
      <c r="D620">
        <v>766530.9</v>
      </c>
      <c r="E620" t="s">
        <v>139</v>
      </c>
      <c r="F620" t="s">
        <v>139</v>
      </c>
      <c r="G620">
        <v>240901.5</v>
      </c>
      <c r="H620" t="s">
        <v>139</v>
      </c>
      <c r="I620" t="s">
        <v>139</v>
      </c>
      <c r="J620">
        <v>2918105.5</v>
      </c>
      <c r="K620">
        <v>855633.8</v>
      </c>
      <c r="L620">
        <v>1224447.3</v>
      </c>
      <c r="M620" t="s">
        <v>139</v>
      </c>
      <c r="N620">
        <v>99181.9</v>
      </c>
      <c r="O620" t="s">
        <v>139</v>
      </c>
      <c r="P620" t="s">
        <v>139</v>
      </c>
      <c r="Q620" t="s">
        <v>139</v>
      </c>
      <c r="R620" t="s">
        <v>139</v>
      </c>
      <c r="S620" t="s">
        <v>139</v>
      </c>
      <c r="T620" t="s">
        <v>139</v>
      </c>
      <c r="U620">
        <v>497963.2</v>
      </c>
      <c r="V620" s="6" t="s">
        <v>139</v>
      </c>
      <c r="W620" t="s">
        <v>139</v>
      </c>
      <c r="X620" t="s">
        <v>139</v>
      </c>
      <c r="Y620" t="s">
        <v>139</v>
      </c>
      <c r="Z620">
        <v>340061.3</v>
      </c>
      <c r="AA620" t="s">
        <v>139</v>
      </c>
      <c r="AB620" t="s">
        <v>139</v>
      </c>
      <c r="AC620" t="s">
        <v>139</v>
      </c>
      <c r="AD620">
        <v>268503.7</v>
      </c>
      <c r="AE620" t="s">
        <v>139</v>
      </c>
      <c r="AF620">
        <v>48673.7</v>
      </c>
      <c r="AG620">
        <v>397020</v>
      </c>
      <c r="AH620" s="9">
        <v>4836631.3</v>
      </c>
      <c r="AI620">
        <v>3083785.6</v>
      </c>
      <c r="AJ620">
        <v>639208.6</v>
      </c>
      <c r="AK620" t="s">
        <v>139</v>
      </c>
      <c r="AL620">
        <v>1004781.5</v>
      </c>
      <c r="AM620" t="s">
        <v>139</v>
      </c>
      <c r="AN620">
        <v>324480.8</v>
      </c>
      <c r="AO620" s="9">
        <v>4589390.2</v>
      </c>
      <c r="AP620">
        <v>247241.1</v>
      </c>
      <c r="AQ620" t="s">
        <v>139</v>
      </c>
      <c r="AR620" t="s">
        <v>139</v>
      </c>
      <c r="AS620">
        <f t="shared" si="10"/>
        <v>3722994.2</v>
      </c>
      <c r="AT620">
        <f t="shared" si="9"/>
        <v>1.2991240491322817</v>
      </c>
    </row>
    <row r="621" spans="1:46" x14ac:dyDescent="0.4">
      <c r="A621" s="3" t="s">
        <v>752</v>
      </c>
      <c r="B621">
        <v>3955215.9</v>
      </c>
      <c r="C621">
        <v>1015194.9</v>
      </c>
      <c r="D621">
        <v>769180.7</v>
      </c>
      <c r="E621" t="s">
        <v>139</v>
      </c>
      <c r="F621" t="s">
        <v>139</v>
      </c>
      <c r="G621">
        <v>246014.2</v>
      </c>
      <c r="H621" t="s">
        <v>139</v>
      </c>
      <c r="I621" t="s">
        <v>139</v>
      </c>
      <c r="J621">
        <v>2940020.9</v>
      </c>
      <c r="K621">
        <v>862379.2</v>
      </c>
      <c r="L621">
        <v>1237654.3</v>
      </c>
      <c r="M621" t="s">
        <v>139</v>
      </c>
      <c r="N621">
        <v>99559.3</v>
      </c>
      <c r="O621" t="s">
        <v>139</v>
      </c>
      <c r="P621" t="s">
        <v>139</v>
      </c>
      <c r="Q621" t="s">
        <v>139</v>
      </c>
      <c r="R621" t="s">
        <v>139</v>
      </c>
      <c r="S621" t="s">
        <v>139</v>
      </c>
      <c r="T621" t="s">
        <v>139</v>
      </c>
      <c r="U621">
        <v>493270.5</v>
      </c>
      <c r="V621" s="6" t="s">
        <v>139</v>
      </c>
      <c r="W621" t="s">
        <v>139</v>
      </c>
      <c r="X621" t="s">
        <v>139</v>
      </c>
      <c r="Y621" t="s">
        <v>139</v>
      </c>
      <c r="Z621">
        <v>346717</v>
      </c>
      <c r="AA621" t="s">
        <v>139</v>
      </c>
      <c r="AB621" t="s">
        <v>139</v>
      </c>
      <c r="AC621" t="s">
        <v>139</v>
      </c>
      <c r="AD621">
        <v>274367.2</v>
      </c>
      <c r="AE621" t="s">
        <v>139</v>
      </c>
      <c r="AF621">
        <v>54546.3</v>
      </c>
      <c r="AG621">
        <v>396713.3</v>
      </c>
      <c r="AH621" s="9">
        <v>4874521.5</v>
      </c>
      <c r="AI621">
        <v>3118264</v>
      </c>
      <c r="AJ621">
        <v>649555.1</v>
      </c>
      <c r="AK621" t="s">
        <v>139</v>
      </c>
      <c r="AL621">
        <v>1013344.7</v>
      </c>
      <c r="AM621" t="s">
        <v>139</v>
      </c>
      <c r="AN621">
        <v>325786</v>
      </c>
      <c r="AO621" s="9">
        <v>4639890.7</v>
      </c>
      <c r="AP621">
        <v>234630.8</v>
      </c>
      <c r="AQ621" t="s">
        <v>139</v>
      </c>
      <c r="AR621" t="s">
        <v>139</v>
      </c>
      <c r="AS621">
        <f t="shared" si="10"/>
        <v>3767819.1</v>
      </c>
      <c r="AT621">
        <f t="shared" si="9"/>
        <v>1.293724929628389</v>
      </c>
    </row>
    <row r="622" spans="1:46" x14ac:dyDescent="0.4">
      <c r="A622" s="3" t="s">
        <v>753</v>
      </c>
      <c r="B622">
        <v>3996190.8</v>
      </c>
      <c r="C622">
        <v>1031821.3</v>
      </c>
      <c r="D622">
        <v>781530.3</v>
      </c>
      <c r="E622" t="s">
        <v>139</v>
      </c>
      <c r="F622" t="s">
        <v>139</v>
      </c>
      <c r="G622">
        <v>250291</v>
      </c>
      <c r="H622" t="s">
        <v>139</v>
      </c>
      <c r="I622" t="s">
        <v>139</v>
      </c>
      <c r="J622">
        <v>2964369.5</v>
      </c>
      <c r="K622">
        <v>866086.6</v>
      </c>
      <c r="L622">
        <v>1252425.3</v>
      </c>
      <c r="M622" t="s">
        <v>139</v>
      </c>
      <c r="N622">
        <v>99271</v>
      </c>
      <c r="O622" t="s">
        <v>139</v>
      </c>
      <c r="P622" t="s">
        <v>139</v>
      </c>
      <c r="Q622" t="s">
        <v>139</v>
      </c>
      <c r="R622" t="s">
        <v>139</v>
      </c>
      <c r="S622" t="s">
        <v>139</v>
      </c>
      <c r="T622" t="s">
        <v>139</v>
      </c>
      <c r="U622">
        <v>491638.1</v>
      </c>
      <c r="V622" s="6" t="s">
        <v>139</v>
      </c>
      <c r="W622" t="s">
        <v>139</v>
      </c>
      <c r="X622" t="s">
        <v>139</v>
      </c>
      <c r="Y622" t="s">
        <v>139</v>
      </c>
      <c r="Z622">
        <v>354219.4</v>
      </c>
      <c r="AA622" t="s">
        <v>139</v>
      </c>
      <c r="AB622" t="s">
        <v>139</v>
      </c>
      <c r="AC622" t="s">
        <v>139</v>
      </c>
      <c r="AD622">
        <v>284373.5</v>
      </c>
      <c r="AE622" t="s">
        <v>139</v>
      </c>
      <c r="AF622">
        <v>55058.2</v>
      </c>
      <c r="AG622">
        <v>393893.4</v>
      </c>
      <c r="AH622" s="9">
        <v>4933264</v>
      </c>
      <c r="AI622">
        <v>3163745.5</v>
      </c>
      <c r="AJ622">
        <v>674273.4</v>
      </c>
      <c r="AK622" t="s">
        <v>139</v>
      </c>
      <c r="AL622">
        <v>1045249.1</v>
      </c>
      <c r="AM622" t="s">
        <v>139</v>
      </c>
      <c r="AN622">
        <v>325905.90000000002</v>
      </c>
      <c r="AO622" s="9">
        <v>4697978.7</v>
      </c>
      <c r="AP622">
        <v>235285.4</v>
      </c>
      <c r="AQ622" t="s">
        <v>139</v>
      </c>
      <c r="AR622" t="s">
        <v>139</v>
      </c>
      <c r="AS622">
        <f t="shared" si="10"/>
        <v>3838018.9</v>
      </c>
      <c r="AT622">
        <f t="shared" si="9"/>
        <v>1.2853673023861347</v>
      </c>
    </row>
    <row r="623" spans="1:46" x14ac:dyDescent="0.4">
      <c r="A623" s="3" t="s">
        <v>754</v>
      </c>
      <c r="B623">
        <v>4006373.6</v>
      </c>
      <c r="C623">
        <v>1022172</v>
      </c>
      <c r="D623">
        <v>770164</v>
      </c>
      <c r="E623" t="s">
        <v>139</v>
      </c>
      <c r="F623" t="s">
        <v>139</v>
      </c>
      <c r="G623">
        <v>252008</v>
      </c>
      <c r="H623" t="s">
        <v>139</v>
      </c>
      <c r="I623" t="s">
        <v>139</v>
      </c>
      <c r="J623">
        <v>2984201.7</v>
      </c>
      <c r="K623">
        <v>864361.5</v>
      </c>
      <c r="L623">
        <v>1258974</v>
      </c>
      <c r="M623" t="s">
        <v>139</v>
      </c>
      <c r="N623">
        <v>99040.6</v>
      </c>
      <c r="O623" t="s">
        <v>139</v>
      </c>
      <c r="P623" t="s">
        <v>139</v>
      </c>
      <c r="Q623" t="s">
        <v>139</v>
      </c>
      <c r="R623" t="s">
        <v>139</v>
      </c>
      <c r="S623" t="s">
        <v>139</v>
      </c>
      <c r="T623" t="s">
        <v>139</v>
      </c>
      <c r="U623">
        <v>498718.7</v>
      </c>
      <c r="V623" s="6" t="s">
        <v>139</v>
      </c>
      <c r="W623" t="s">
        <v>139</v>
      </c>
      <c r="X623" t="s">
        <v>139</v>
      </c>
      <c r="Y623" t="s">
        <v>139</v>
      </c>
      <c r="Z623">
        <v>362147.4</v>
      </c>
      <c r="AA623" t="s">
        <v>139</v>
      </c>
      <c r="AB623" t="s">
        <v>139</v>
      </c>
      <c r="AC623" t="s">
        <v>139</v>
      </c>
      <c r="AD623">
        <v>276032.2</v>
      </c>
      <c r="AE623" t="s">
        <v>139</v>
      </c>
      <c r="AF623">
        <v>56455.5</v>
      </c>
      <c r="AG623">
        <v>403566.7</v>
      </c>
      <c r="AH623" s="9">
        <v>4946515.5</v>
      </c>
      <c r="AI623">
        <v>3159411.4</v>
      </c>
      <c r="AJ623">
        <v>664600.19999999995</v>
      </c>
      <c r="AK623" t="s">
        <v>139</v>
      </c>
      <c r="AL623">
        <v>1059009.7</v>
      </c>
      <c r="AM623" t="s">
        <v>139</v>
      </c>
      <c r="AN623">
        <v>320608.5</v>
      </c>
      <c r="AO623" s="9">
        <v>4714167.5</v>
      </c>
      <c r="AP623">
        <v>232348</v>
      </c>
      <c r="AQ623" t="s">
        <v>139</v>
      </c>
      <c r="AR623" t="s">
        <v>139</v>
      </c>
      <c r="AS623">
        <f t="shared" si="10"/>
        <v>3824011.5999999996</v>
      </c>
      <c r="AT623">
        <f t="shared" si="9"/>
        <v>1.2935409244051457</v>
      </c>
    </row>
    <row r="624" spans="1:46" x14ac:dyDescent="0.4">
      <c r="A624" s="3" t="s">
        <v>755</v>
      </c>
      <c r="B624">
        <v>4025008.8</v>
      </c>
      <c r="C624">
        <v>1031643.1</v>
      </c>
      <c r="D624">
        <v>773551.8</v>
      </c>
      <c r="E624" t="s">
        <v>139</v>
      </c>
      <c r="F624" t="s">
        <v>139</v>
      </c>
      <c r="G624">
        <v>258091.3</v>
      </c>
      <c r="H624" t="s">
        <v>139</v>
      </c>
      <c r="I624" t="s">
        <v>139</v>
      </c>
      <c r="J624">
        <v>2993365.7</v>
      </c>
      <c r="K624">
        <v>875962.4</v>
      </c>
      <c r="L624">
        <v>1259824.1000000001</v>
      </c>
      <c r="M624" t="s">
        <v>139</v>
      </c>
      <c r="N624">
        <v>98701.8</v>
      </c>
      <c r="O624" t="s">
        <v>139</v>
      </c>
      <c r="P624" t="s">
        <v>139</v>
      </c>
      <c r="Q624" t="s">
        <v>139</v>
      </c>
      <c r="R624" t="s">
        <v>139</v>
      </c>
      <c r="S624" t="s">
        <v>139</v>
      </c>
      <c r="T624" t="s">
        <v>139</v>
      </c>
      <c r="U624">
        <v>496217.59999999998</v>
      </c>
      <c r="V624" s="6" t="s">
        <v>139</v>
      </c>
      <c r="W624" t="s">
        <v>139</v>
      </c>
      <c r="X624" t="s">
        <v>139</v>
      </c>
      <c r="Y624" t="s">
        <v>139</v>
      </c>
      <c r="Z624">
        <v>361361.7</v>
      </c>
      <c r="AA624" t="s">
        <v>139</v>
      </c>
      <c r="AB624" t="s">
        <v>139</v>
      </c>
      <c r="AC624" t="s">
        <v>139</v>
      </c>
      <c r="AD624">
        <v>262485.2</v>
      </c>
      <c r="AE624" t="s">
        <v>139</v>
      </c>
      <c r="AF624">
        <v>57159</v>
      </c>
      <c r="AG624">
        <v>407823.9</v>
      </c>
      <c r="AH624" s="9">
        <v>4947138.5</v>
      </c>
      <c r="AI624">
        <v>3169026.7</v>
      </c>
      <c r="AJ624">
        <v>665031.69999999995</v>
      </c>
      <c r="AK624" t="s">
        <v>139</v>
      </c>
      <c r="AL624">
        <v>1060726.3999999999</v>
      </c>
      <c r="AM624" t="s">
        <v>139</v>
      </c>
      <c r="AN624">
        <v>317741.40000000002</v>
      </c>
      <c r="AO624" s="9">
        <v>4719223.5999999996</v>
      </c>
      <c r="AP624">
        <v>227914.9</v>
      </c>
      <c r="AQ624" t="s">
        <v>139</v>
      </c>
      <c r="AR624" t="s">
        <v>139</v>
      </c>
      <c r="AS624">
        <f t="shared" si="10"/>
        <v>3834058.4000000004</v>
      </c>
      <c r="AT624">
        <f t="shared" si="9"/>
        <v>1.2903138095131779</v>
      </c>
    </row>
    <row r="625" spans="1:46" x14ac:dyDescent="0.4">
      <c r="A625" s="3" t="s">
        <v>756</v>
      </c>
      <c r="B625">
        <v>4040356.1</v>
      </c>
      <c r="C625">
        <v>1025639.3</v>
      </c>
      <c r="D625">
        <v>761006.3</v>
      </c>
      <c r="E625" t="s">
        <v>139</v>
      </c>
      <c r="F625" t="s">
        <v>139</v>
      </c>
      <c r="G625">
        <v>264633.09999999998</v>
      </c>
      <c r="H625" t="s">
        <v>139</v>
      </c>
      <c r="I625" t="s">
        <v>139</v>
      </c>
      <c r="J625">
        <v>3014716.8</v>
      </c>
      <c r="K625">
        <v>891093.6</v>
      </c>
      <c r="L625">
        <v>1261167.6000000001</v>
      </c>
      <c r="M625" t="s">
        <v>139</v>
      </c>
      <c r="N625">
        <v>98829.6</v>
      </c>
      <c r="O625" t="s">
        <v>139</v>
      </c>
      <c r="P625" t="s">
        <v>139</v>
      </c>
      <c r="Q625" t="s">
        <v>139</v>
      </c>
      <c r="R625" t="s">
        <v>139</v>
      </c>
      <c r="S625" t="s">
        <v>139</v>
      </c>
      <c r="T625" t="s">
        <v>139</v>
      </c>
      <c r="U625">
        <v>493855.8</v>
      </c>
      <c r="V625" s="6" t="s">
        <v>139</v>
      </c>
      <c r="W625" t="s">
        <v>139</v>
      </c>
      <c r="X625" t="s">
        <v>139</v>
      </c>
      <c r="Y625" t="s">
        <v>139</v>
      </c>
      <c r="Z625">
        <v>368599.8</v>
      </c>
      <c r="AA625" t="s">
        <v>139</v>
      </c>
      <c r="AB625" t="s">
        <v>139</v>
      </c>
      <c r="AC625" t="s">
        <v>139</v>
      </c>
      <c r="AD625">
        <v>264331.2</v>
      </c>
      <c r="AE625" t="s">
        <v>139</v>
      </c>
      <c r="AF625">
        <v>58733.2</v>
      </c>
      <c r="AG625">
        <v>411721.9</v>
      </c>
      <c r="AH625" s="9">
        <v>4990348.5999999996</v>
      </c>
      <c r="AI625">
        <v>3195532.8</v>
      </c>
      <c r="AJ625">
        <v>677852.9</v>
      </c>
      <c r="AK625" t="s">
        <v>139</v>
      </c>
      <c r="AL625">
        <v>1079259.8</v>
      </c>
      <c r="AM625" t="s">
        <v>139</v>
      </c>
      <c r="AN625">
        <v>317887</v>
      </c>
      <c r="AO625" s="9">
        <v>4767034.0999999996</v>
      </c>
      <c r="AP625">
        <v>223314.5</v>
      </c>
      <c r="AQ625" t="s">
        <v>139</v>
      </c>
      <c r="AR625" t="s">
        <v>139</v>
      </c>
      <c r="AS625">
        <f t="shared" si="10"/>
        <v>3873385.6999999997</v>
      </c>
      <c r="AT625">
        <f t="shared" si="9"/>
        <v>1.288368622830409</v>
      </c>
    </row>
    <row r="626" spans="1:46" x14ac:dyDescent="0.4">
      <c r="A626" s="3" t="s">
        <v>757</v>
      </c>
      <c r="B626">
        <v>4053260.3</v>
      </c>
      <c r="C626">
        <v>1029372.5</v>
      </c>
      <c r="D626">
        <v>765866.1</v>
      </c>
      <c r="E626" t="s">
        <v>139</v>
      </c>
      <c r="F626" t="s">
        <v>139</v>
      </c>
      <c r="G626">
        <v>263506.40000000002</v>
      </c>
      <c r="H626" t="s">
        <v>139</v>
      </c>
      <c r="I626" t="s">
        <v>139</v>
      </c>
      <c r="J626">
        <v>3023887.8</v>
      </c>
      <c r="K626">
        <v>897667.9</v>
      </c>
      <c r="L626">
        <v>1265666.1000000001</v>
      </c>
      <c r="M626" t="s">
        <v>139</v>
      </c>
      <c r="N626">
        <v>98790</v>
      </c>
      <c r="O626" t="s">
        <v>139</v>
      </c>
      <c r="P626" t="s">
        <v>139</v>
      </c>
      <c r="Q626" t="s">
        <v>139</v>
      </c>
      <c r="R626" t="s">
        <v>139</v>
      </c>
      <c r="S626" t="s">
        <v>139</v>
      </c>
      <c r="T626" t="s">
        <v>139</v>
      </c>
      <c r="U626">
        <v>488936.7</v>
      </c>
      <c r="V626" s="6" t="s">
        <v>139</v>
      </c>
      <c r="W626" t="s">
        <v>139</v>
      </c>
      <c r="X626" t="s">
        <v>139</v>
      </c>
      <c r="Y626" t="s">
        <v>139</v>
      </c>
      <c r="Z626">
        <v>371617.1</v>
      </c>
      <c r="AA626" t="s">
        <v>139</v>
      </c>
      <c r="AB626" t="s">
        <v>139</v>
      </c>
      <c r="AC626" t="s">
        <v>139</v>
      </c>
      <c r="AD626">
        <v>262645.3</v>
      </c>
      <c r="AE626" t="s">
        <v>139</v>
      </c>
      <c r="AF626">
        <v>61236.800000000003</v>
      </c>
      <c r="AG626">
        <v>410664.4</v>
      </c>
      <c r="AH626" s="9">
        <v>5003379.8</v>
      </c>
      <c r="AI626">
        <v>3187843.1</v>
      </c>
      <c r="AJ626">
        <v>669448.80000000005</v>
      </c>
      <c r="AK626" t="s">
        <v>139</v>
      </c>
      <c r="AL626">
        <v>1085033</v>
      </c>
      <c r="AM626" t="s">
        <v>139</v>
      </c>
      <c r="AN626">
        <v>336753.5</v>
      </c>
      <c r="AO626" s="9">
        <v>4793394.0999999996</v>
      </c>
      <c r="AP626">
        <v>209985.6</v>
      </c>
      <c r="AQ626" t="s">
        <v>139</v>
      </c>
      <c r="AR626" t="s">
        <v>139</v>
      </c>
      <c r="AS626">
        <f t="shared" si="10"/>
        <v>3857291.9000000004</v>
      </c>
      <c r="AT626">
        <f t="shared" si="9"/>
        <v>1.2971224189696402</v>
      </c>
    </row>
    <row r="627" spans="1:46" x14ac:dyDescent="0.4">
      <c r="A627" s="3" t="s">
        <v>758</v>
      </c>
      <c r="B627">
        <v>4096492.7</v>
      </c>
      <c r="C627">
        <v>1046935.9</v>
      </c>
      <c r="D627">
        <v>773803.2</v>
      </c>
      <c r="E627" t="s">
        <v>139</v>
      </c>
      <c r="F627" t="s">
        <v>139</v>
      </c>
      <c r="G627">
        <v>273132.7</v>
      </c>
      <c r="H627" t="s">
        <v>139</v>
      </c>
      <c r="I627" t="s">
        <v>139</v>
      </c>
      <c r="J627">
        <v>3049556.8</v>
      </c>
      <c r="K627">
        <v>903971.5</v>
      </c>
      <c r="L627">
        <v>1272131</v>
      </c>
      <c r="M627" t="s">
        <v>139</v>
      </c>
      <c r="N627">
        <v>98536</v>
      </c>
      <c r="O627" t="s">
        <v>139</v>
      </c>
      <c r="P627" t="s">
        <v>139</v>
      </c>
      <c r="Q627" t="s">
        <v>139</v>
      </c>
      <c r="R627" t="s">
        <v>139</v>
      </c>
      <c r="S627" t="s">
        <v>139</v>
      </c>
      <c r="T627" t="s">
        <v>139</v>
      </c>
      <c r="U627">
        <v>490482.1</v>
      </c>
      <c r="V627" s="6" t="s">
        <v>139</v>
      </c>
      <c r="W627" t="s">
        <v>139</v>
      </c>
      <c r="X627" t="s">
        <v>139</v>
      </c>
      <c r="Y627" t="s">
        <v>139</v>
      </c>
      <c r="Z627">
        <v>382972.3</v>
      </c>
      <c r="AA627" t="s">
        <v>139</v>
      </c>
      <c r="AB627" t="s">
        <v>139</v>
      </c>
      <c r="AC627" t="s">
        <v>139</v>
      </c>
      <c r="AD627">
        <v>263142.59999999998</v>
      </c>
      <c r="AE627" t="s">
        <v>139</v>
      </c>
      <c r="AF627">
        <v>60116.4</v>
      </c>
      <c r="AG627">
        <v>421198.2</v>
      </c>
      <c r="AH627" s="9">
        <v>5060103.2</v>
      </c>
      <c r="AI627">
        <v>3216829.7</v>
      </c>
      <c r="AJ627">
        <v>680949.9</v>
      </c>
      <c r="AK627" t="s">
        <v>139</v>
      </c>
      <c r="AL627">
        <v>1096521.7</v>
      </c>
      <c r="AM627" t="s">
        <v>139</v>
      </c>
      <c r="AN627">
        <v>346400.1</v>
      </c>
      <c r="AO627" s="9">
        <v>4856091.7</v>
      </c>
      <c r="AP627">
        <v>204011.5</v>
      </c>
      <c r="AQ627" t="s">
        <v>139</v>
      </c>
      <c r="AR627" t="s">
        <v>139</v>
      </c>
      <c r="AS627">
        <f t="shared" si="10"/>
        <v>3897779.6</v>
      </c>
      <c r="AT627">
        <f t="shared" si="9"/>
        <v>1.2982014683436693</v>
      </c>
    </row>
    <row r="628" spans="1:46" x14ac:dyDescent="0.4">
      <c r="A628" s="3" t="s">
        <v>759</v>
      </c>
      <c r="B628">
        <v>4122708.6</v>
      </c>
      <c r="C628">
        <v>1052297.8</v>
      </c>
      <c r="D628">
        <v>771340.80000000005</v>
      </c>
      <c r="E628" t="s">
        <v>139</v>
      </c>
      <c r="F628" t="s">
        <v>139</v>
      </c>
      <c r="G628">
        <v>280956.90000000002</v>
      </c>
      <c r="H628" t="s">
        <v>139</v>
      </c>
      <c r="I628" t="s">
        <v>139</v>
      </c>
      <c r="J628">
        <v>3070410.9</v>
      </c>
      <c r="K628">
        <v>912400.6</v>
      </c>
      <c r="L628">
        <v>1274980.6000000001</v>
      </c>
      <c r="M628" t="s">
        <v>139</v>
      </c>
      <c r="N628">
        <v>98344.9</v>
      </c>
      <c r="O628" t="s">
        <v>139</v>
      </c>
      <c r="P628" t="s">
        <v>139</v>
      </c>
      <c r="Q628" t="s">
        <v>139</v>
      </c>
      <c r="R628" t="s">
        <v>139</v>
      </c>
      <c r="S628" t="s">
        <v>139</v>
      </c>
      <c r="T628" t="s">
        <v>139</v>
      </c>
      <c r="U628">
        <v>491465.1</v>
      </c>
      <c r="V628" s="6" t="s">
        <v>139</v>
      </c>
      <c r="W628" t="s">
        <v>139</v>
      </c>
      <c r="X628" t="s">
        <v>139</v>
      </c>
      <c r="Y628" t="s">
        <v>139</v>
      </c>
      <c r="Z628">
        <v>391564.6</v>
      </c>
      <c r="AA628" t="s">
        <v>139</v>
      </c>
      <c r="AB628" t="s">
        <v>139</v>
      </c>
      <c r="AC628" t="s">
        <v>139</v>
      </c>
      <c r="AD628">
        <v>265247</v>
      </c>
      <c r="AE628" t="s">
        <v>139</v>
      </c>
      <c r="AF628">
        <v>58943.9</v>
      </c>
      <c r="AG628">
        <v>440644.4</v>
      </c>
      <c r="AH628" s="9">
        <v>5122746.4000000004</v>
      </c>
      <c r="AI628">
        <v>3239744.5</v>
      </c>
      <c r="AJ628">
        <v>691460.2</v>
      </c>
      <c r="AK628" t="s">
        <v>139</v>
      </c>
      <c r="AL628">
        <v>1113759.8</v>
      </c>
      <c r="AM628" t="s">
        <v>139</v>
      </c>
      <c r="AN628">
        <v>359779.2</v>
      </c>
      <c r="AO628" s="9">
        <v>4904835.2</v>
      </c>
      <c r="AP628">
        <v>217911.2</v>
      </c>
      <c r="AQ628" t="s">
        <v>139</v>
      </c>
      <c r="AR628" t="s">
        <v>139</v>
      </c>
      <c r="AS628">
        <f t="shared" si="10"/>
        <v>3931204.7</v>
      </c>
      <c r="AT628">
        <f t="shared" si="9"/>
        <v>1.3030983606628268</v>
      </c>
    </row>
    <row r="629" spans="1:46" x14ac:dyDescent="0.4">
      <c r="A629" s="3" t="s">
        <v>760</v>
      </c>
      <c r="B629">
        <v>4174623.3</v>
      </c>
      <c r="C629">
        <v>1072490.1000000001</v>
      </c>
      <c r="D629">
        <v>780097.9</v>
      </c>
      <c r="E629" t="s">
        <v>139</v>
      </c>
      <c r="F629" t="s">
        <v>139</v>
      </c>
      <c r="G629">
        <v>292392.2</v>
      </c>
      <c r="H629" t="s">
        <v>139</v>
      </c>
      <c r="I629" t="s">
        <v>139</v>
      </c>
      <c r="J629">
        <v>3102133.1</v>
      </c>
      <c r="K629">
        <v>931382.4</v>
      </c>
      <c r="L629">
        <v>1283790.8</v>
      </c>
      <c r="M629" t="s">
        <v>139</v>
      </c>
      <c r="N629">
        <v>97957.3</v>
      </c>
      <c r="O629" t="s">
        <v>139</v>
      </c>
      <c r="P629" t="s">
        <v>139</v>
      </c>
      <c r="Q629" t="s">
        <v>139</v>
      </c>
      <c r="R629" t="s">
        <v>139</v>
      </c>
      <c r="S629" t="s">
        <v>139</v>
      </c>
      <c r="T629" t="s">
        <v>139</v>
      </c>
      <c r="U629">
        <v>493900.6</v>
      </c>
      <c r="V629" s="6" t="s">
        <v>139</v>
      </c>
      <c r="W629" t="s">
        <v>139</v>
      </c>
      <c r="X629" t="s">
        <v>139</v>
      </c>
      <c r="Y629" t="s">
        <v>139</v>
      </c>
      <c r="Z629">
        <v>393059.3</v>
      </c>
      <c r="AA629" t="s">
        <v>139</v>
      </c>
      <c r="AB629" t="s">
        <v>139</v>
      </c>
      <c r="AC629" t="s">
        <v>139</v>
      </c>
      <c r="AD629">
        <v>256106.3</v>
      </c>
      <c r="AE629" t="s">
        <v>139</v>
      </c>
      <c r="AF629">
        <v>51515.9</v>
      </c>
      <c r="AG629">
        <v>463612.7</v>
      </c>
      <c r="AH629" s="9">
        <v>5204126.5</v>
      </c>
      <c r="AI629">
        <v>3261999.2</v>
      </c>
      <c r="AJ629">
        <v>703061.3</v>
      </c>
      <c r="AK629" t="s">
        <v>139</v>
      </c>
      <c r="AL629">
        <v>1149311.3999999999</v>
      </c>
      <c r="AM629" t="s">
        <v>139</v>
      </c>
      <c r="AN629">
        <v>370405.6</v>
      </c>
      <c r="AO629" s="9">
        <v>4985546.4000000004</v>
      </c>
      <c r="AP629">
        <v>218580.1</v>
      </c>
      <c r="AQ629" t="s">
        <v>139</v>
      </c>
      <c r="AR629" t="s">
        <v>139</v>
      </c>
      <c r="AS629">
        <f t="shared" si="10"/>
        <v>3965060.5</v>
      </c>
      <c r="AT629">
        <f t="shared" si="9"/>
        <v>1.3124961144981269</v>
      </c>
    </row>
    <row r="630" spans="1:46" x14ac:dyDescent="0.4">
      <c r="A630" s="3" t="s">
        <v>761</v>
      </c>
      <c r="B630">
        <v>4229857.7</v>
      </c>
      <c r="C630">
        <v>1093664.8999999999</v>
      </c>
      <c r="D630">
        <v>794978.8</v>
      </c>
      <c r="E630" t="s">
        <v>139</v>
      </c>
      <c r="F630" t="s">
        <v>139</v>
      </c>
      <c r="G630">
        <v>298686.2</v>
      </c>
      <c r="H630" t="s">
        <v>139</v>
      </c>
      <c r="I630" t="s">
        <v>139</v>
      </c>
      <c r="J630">
        <v>3136192.8</v>
      </c>
      <c r="K630">
        <v>942268.7</v>
      </c>
      <c r="L630">
        <v>1302297.5</v>
      </c>
      <c r="M630" t="s">
        <v>139</v>
      </c>
      <c r="N630">
        <v>97608.2</v>
      </c>
      <c r="O630" t="s">
        <v>139</v>
      </c>
      <c r="P630" t="s">
        <v>139</v>
      </c>
      <c r="Q630" t="s">
        <v>139</v>
      </c>
      <c r="R630" t="s">
        <v>139</v>
      </c>
      <c r="S630" t="s">
        <v>139</v>
      </c>
      <c r="T630" t="s">
        <v>139</v>
      </c>
      <c r="U630">
        <v>494845.2</v>
      </c>
      <c r="V630" s="6" t="s">
        <v>139</v>
      </c>
      <c r="W630" t="s">
        <v>139</v>
      </c>
      <c r="X630" t="s">
        <v>139</v>
      </c>
      <c r="Y630" t="s">
        <v>139</v>
      </c>
      <c r="Z630">
        <v>396781.4</v>
      </c>
      <c r="AA630" t="s">
        <v>139</v>
      </c>
      <c r="AB630" t="s">
        <v>139</v>
      </c>
      <c r="AC630" t="s">
        <v>139</v>
      </c>
      <c r="AD630">
        <v>259169.5</v>
      </c>
      <c r="AE630" t="s">
        <v>139</v>
      </c>
      <c r="AF630">
        <v>50937</v>
      </c>
      <c r="AG630">
        <v>450751.1</v>
      </c>
      <c r="AH630" s="9">
        <v>5244196.3</v>
      </c>
      <c r="AI630">
        <v>3289576.5</v>
      </c>
      <c r="AJ630">
        <v>709939.6</v>
      </c>
      <c r="AK630" t="s">
        <v>139</v>
      </c>
      <c r="AL630">
        <v>1167987.8999999999</v>
      </c>
      <c r="AM630" t="s">
        <v>139</v>
      </c>
      <c r="AN630">
        <v>360096.7</v>
      </c>
      <c r="AO630" s="9">
        <v>5002873</v>
      </c>
      <c r="AP630">
        <v>241323.3</v>
      </c>
      <c r="AQ630" t="s">
        <v>139</v>
      </c>
      <c r="AR630" t="s">
        <v>139</v>
      </c>
      <c r="AS630">
        <f t="shared" si="10"/>
        <v>3999516.1</v>
      </c>
      <c r="AT630">
        <f t="shared" si="9"/>
        <v>1.3112076983513079</v>
      </c>
    </row>
    <row r="631" spans="1:46" x14ac:dyDescent="0.4">
      <c r="A631" s="3" t="s">
        <v>762</v>
      </c>
      <c r="B631">
        <v>4239695.5</v>
      </c>
      <c r="C631">
        <v>1096977.1000000001</v>
      </c>
      <c r="D631">
        <v>795510.3</v>
      </c>
      <c r="E631" t="s">
        <v>139</v>
      </c>
      <c r="F631" t="s">
        <v>139</v>
      </c>
      <c r="G631">
        <v>301466.90000000002</v>
      </c>
      <c r="H631" t="s">
        <v>139</v>
      </c>
      <c r="I631" t="s">
        <v>139</v>
      </c>
      <c r="J631">
        <v>3142718.3</v>
      </c>
      <c r="K631">
        <v>939204.8</v>
      </c>
      <c r="L631">
        <v>1311386.2</v>
      </c>
      <c r="M631" t="s">
        <v>139</v>
      </c>
      <c r="N631">
        <v>97168.9</v>
      </c>
      <c r="O631" t="s">
        <v>139</v>
      </c>
      <c r="P631" t="s">
        <v>139</v>
      </c>
      <c r="Q631" t="s">
        <v>139</v>
      </c>
      <c r="R631" t="s">
        <v>139</v>
      </c>
      <c r="S631" t="s">
        <v>139</v>
      </c>
      <c r="T631" t="s">
        <v>139</v>
      </c>
      <c r="U631">
        <v>497770.9</v>
      </c>
      <c r="V631" s="6" t="s">
        <v>139</v>
      </c>
      <c r="W631" t="s">
        <v>139</v>
      </c>
      <c r="X631" t="s">
        <v>139</v>
      </c>
      <c r="Y631" t="s">
        <v>139</v>
      </c>
      <c r="Z631">
        <v>394356.4</v>
      </c>
      <c r="AA631" t="s">
        <v>139</v>
      </c>
      <c r="AB631" t="s">
        <v>139</v>
      </c>
      <c r="AC631" t="s">
        <v>139</v>
      </c>
      <c r="AD631">
        <v>257821.5</v>
      </c>
      <c r="AE631" t="s">
        <v>139</v>
      </c>
      <c r="AF631">
        <v>54128.800000000003</v>
      </c>
      <c r="AG631">
        <v>451023.9</v>
      </c>
      <c r="AH631" s="9">
        <v>5251004.4000000004</v>
      </c>
      <c r="AI631">
        <v>3293705.5</v>
      </c>
      <c r="AJ631">
        <v>702058.5</v>
      </c>
      <c r="AK631" t="s">
        <v>139</v>
      </c>
      <c r="AL631">
        <v>1177663</v>
      </c>
      <c r="AM631" t="s">
        <v>139</v>
      </c>
      <c r="AN631">
        <v>368081.6</v>
      </c>
      <c r="AO631" s="9">
        <v>5023935.3</v>
      </c>
      <c r="AP631">
        <v>227069.2</v>
      </c>
      <c r="AQ631" t="s">
        <v>139</v>
      </c>
      <c r="AR631" t="s">
        <v>139</v>
      </c>
      <c r="AS631">
        <f t="shared" si="10"/>
        <v>3995764</v>
      </c>
      <c r="AT631">
        <f t="shared" si="9"/>
        <v>1.3141427772010561</v>
      </c>
    </row>
    <row r="632" spans="1:46" x14ac:dyDescent="0.4">
      <c r="A632" s="3" t="s">
        <v>763</v>
      </c>
      <c r="B632">
        <v>4248239.2</v>
      </c>
      <c r="C632">
        <v>1098987</v>
      </c>
      <c r="D632">
        <v>800147.8</v>
      </c>
      <c r="E632" t="s">
        <v>139</v>
      </c>
      <c r="F632" t="s">
        <v>139</v>
      </c>
      <c r="G632">
        <v>298839.3</v>
      </c>
      <c r="H632" t="s">
        <v>139</v>
      </c>
      <c r="I632" t="s">
        <v>139</v>
      </c>
      <c r="J632">
        <v>3149252.2</v>
      </c>
      <c r="K632">
        <v>937841</v>
      </c>
      <c r="L632">
        <v>1317529.3</v>
      </c>
      <c r="M632" t="s">
        <v>139</v>
      </c>
      <c r="N632">
        <v>97128.3</v>
      </c>
      <c r="O632" t="s">
        <v>139</v>
      </c>
      <c r="P632" t="s">
        <v>139</v>
      </c>
      <c r="Q632" t="s">
        <v>139</v>
      </c>
      <c r="R632" t="s">
        <v>139</v>
      </c>
      <c r="S632" t="s">
        <v>139</v>
      </c>
      <c r="T632" t="s">
        <v>139</v>
      </c>
      <c r="U632">
        <v>498370.1</v>
      </c>
      <c r="V632" s="6" t="s">
        <v>139</v>
      </c>
      <c r="W632" t="s">
        <v>139</v>
      </c>
      <c r="X632" t="s">
        <v>139</v>
      </c>
      <c r="Y632" t="s">
        <v>139</v>
      </c>
      <c r="Z632">
        <v>395511.8</v>
      </c>
      <c r="AA632" t="s">
        <v>139</v>
      </c>
      <c r="AB632" t="s">
        <v>139</v>
      </c>
      <c r="AC632" t="s">
        <v>139</v>
      </c>
      <c r="AD632">
        <v>265060.3</v>
      </c>
      <c r="AE632" t="s">
        <v>139</v>
      </c>
      <c r="AF632">
        <v>54499.7</v>
      </c>
      <c r="AG632">
        <v>452220.8</v>
      </c>
      <c r="AH632" s="9">
        <v>5262155.5</v>
      </c>
      <c r="AI632">
        <v>3310484.7</v>
      </c>
      <c r="AJ632">
        <v>707290.7</v>
      </c>
      <c r="AK632" t="s">
        <v>139</v>
      </c>
      <c r="AL632">
        <v>1176082</v>
      </c>
      <c r="AM632" t="s">
        <v>139</v>
      </c>
      <c r="AN632">
        <v>362801.1</v>
      </c>
      <c r="AO632" s="9">
        <v>5019735.9000000004</v>
      </c>
      <c r="AP632">
        <v>242419.5</v>
      </c>
      <c r="AQ632" t="s">
        <v>139</v>
      </c>
      <c r="AR632" t="s">
        <v>139</v>
      </c>
      <c r="AS632">
        <f t="shared" si="10"/>
        <v>4017775.4000000004</v>
      </c>
      <c r="AT632">
        <f t="shared" si="9"/>
        <v>1.3097186816366091</v>
      </c>
    </row>
    <row r="633" spans="1:46" x14ac:dyDescent="0.4">
      <c r="A633" s="3" t="s">
        <v>764</v>
      </c>
      <c r="B633">
        <v>4238969.7</v>
      </c>
      <c r="C633">
        <v>1092437.7</v>
      </c>
      <c r="D633">
        <v>798894.9</v>
      </c>
      <c r="E633" t="s">
        <v>139</v>
      </c>
      <c r="F633" t="s">
        <v>139</v>
      </c>
      <c r="G633">
        <v>293542.90000000002</v>
      </c>
      <c r="H633" t="s">
        <v>139</v>
      </c>
      <c r="I633" t="s">
        <v>139</v>
      </c>
      <c r="J633">
        <v>3146532</v>
      </c>
      <c r="K633">
        <v>935977.3</v>
      </c>
      <c r="L633">
        <v>1320204.5</v>
      </c>
      <c r="M633" t="s">
        <v>139</v>
      </c>
      <c r="N633">
        <v>96921.3</v>
      </c>
      <c r="O633" t="s">
        <v>139</v>
      </c>
      <c r="P633" t="s">
        <v>139</v>
      </c>
      <c r="Q633" t="s">
        <v>139</v>
      </c>
      <c r="R633" t="s">
        <v>139</v>
      </c>
      <c r="S633" t="s">
        <v>139</v>
      </c>
      <c r="T633" t="s">
        <v>139</v>
      </c>
      <c r="U633">
        <v>494867</v>
      </c>
      <c r="V633" s="6" t="s">
        <v>139</v>
      </c>
      <c r="W633" t="s">
        <v>139</v>
      </c>
      <c r="X633" t="s">
        <v>139</v>
      </c>
      <c r="Y633" t="s">
        <v>139</v>
      </c>
      <c r="Z633">
        <v>395483.3</v>
      </c>
      <c r="AA633" t="s">
        <v>139</v>
      </c>
      <c r="AB633" t="s">
        <v>139</v>
      </c>
      <c r="AC633" t="s">
        <v>139</v>
      </c>
      <c r="AD633">
        <v>262253</v>
      </c>
      <c r="AE633" t="s">
        <v>139</v>
      </c>
      <c r="AF633">
        <v>57678.400000000001</v>
      </c>
      <c r="AG633">
        <v>453863</v>
      </c>
      <c r="AH633" s="9">
        <v>5254158.0999999996</v>
      </c>
      <c r="AI633">
        <v>3315154.3</v>
      </c>
      <c r="AJ633">
        <v>715677.8</v>
      </c>
      <c r="AK633" t="s">
        <v>139</v>
      </c>
      <c r="AL633">
        <v>1186770</v>
      </c>
      <c r="AM633" t="s">
        <v>139</v>
      </c>
      <c r="AN633">
        <v>342409.1</v>
      </c>
      <c r="AO633" s="9">
        <v>5022023.0999999996</v>
      </c>
      <c r="AP633">
        <v>232135</v>
      </c>
      <c r="AQ633" t="s">
        <v>139</v>
      </c>
      <c r="AR633" t="s">
        <v>139</v>
      </c>
      <c r="AS633">
        <f t="shared" si="10"/>
        <v>4030832.0999999996</v>
      </c>
      <c r="AT633">
        <f t="shared" si="9"/>
        <v>1.3034921747298778</v>
      </c>
    </row>
    <row r="634" spans="1:46" x14ac:dyDescent="0.4">
      <c r="A634" s="3" t="s">
        <v>765</v>
      </c>
      <c r="B634">
        <v>4261878.5</v>
      </c>
      <c r="C634">
        <v>1100527.1000000001</v>
      </c>
      <c r="D634">
        <v>806779</v>
      </c>
      <c r="E634" t="s">
        <v>139</v>
      </c>
      <c r="F634" t="s">
        <v>139</v>
      </c>
      <c r="G634">
        <v>293748.09999999998</v>
      </c>
      <c r="H634" t="s">
        <v>139</v>
      </c>
      <c r="I634" t="s">
        <v>139</v>
      </c>
      <c r="J634">
        <v>3161351.4</v>
      </c>
      <c r="K634">
        <v>944397.8</v>
      </c>
      <c r="L634">
        <v>1326309.7</v>
      </c>
      <c r="M634" t="s">
        <v>139</v>
      </c>
      <c r="N634">
        <v>96983.8</v>
      </c>
      <c r="O634" t="s">
        <v>139</v>
      </c>
      <c r="P634" t="s">
        <v>139</v>
      </c>
      <c r="Q634" t="s">
        <v>139</v>
      </c>
      <c r="R634" t="s">
        <v>139</v>
      </c>
      <c r="S634" t="s">
        <v>139</v>
      </c>
      <c r="T634" t="s">
        <v>139</v>
      </c>
      <c r="U634">
        <v>493996.6</v>
      </c>
      <c r="V634" s="6" t="s">
        <v>139</v>
      </c>
      <c r="W634" t="s">
        <v>139</v>
      </c>
      <c r="X634" t="s">
        <v>139</v>
      </c>
      <c r="Y634" t="s">
        <v>139</v>
      </c>
      <c r="Z634">
        <v>396647.2</v>
      </c>
      <c r="AA634" t="s">
        <v>139</v>
      </c>
      <c r="AB634" t="s">
        <v>139</v>
      </c>
      <c r="AC634" t="s">
        <v>139</v>
      </c>
      <c r="AD634">
        <v>267593.5</v>
      </c>
      <c r="AE634" t="s">
        <v>139</v>
      </c>
      <c r="AF634">
        <v>58196.3</v>
      </c>
      <c r="AG634">
        <v>428328.3</v>
      </c>
      <c r="AH634" s="9">
        <v>5236364.9000000004</v>
      </c>
      <c r="AI634">
        <v>3323168.8</v>
      </c>
      <c r="AJ634">
        <v>716678.4</v>
      </c>
      <c r="AK634" t="s">
        <v>139</v>
      </c>
      <c r="AL634">
        <v>1191876.3999999999</v>
      </c>
      <c r="AM634" t="s">
        <v>139</v>
      </c>
      <c r="AN634">
        <v>317860.3</v>
      </c>
      <c r="AO634" s="9">
        <v>4998495.4000000004</v>
      </c>
      <c r="AP634">
        <v>237869.5</v>
      </c>
      <c r="AQ634" t="s">
        <v>139</v>
      </c>
      <c r="AR634" t="s">
        <v>139</v>
      </c>
      <c r="AS634">
        <f t="shared" si="10"/>
        <v>4039847.1999999997</v>
      </c>
      <c r="AT634">
        <f t="shared" si="9"/>
        <v>1.2961789495404679</v>
      </c>
    </row>
    <row r="635" spans="1:46" x14ac:dyDescent="0.4">
      <c r="A635" s="3" t="s">
        <v>766</v>
      </c>
      <c r="B635">
        <v>4276772.2</v>
      </c>
      <c r="C635">
        <v>1100951.1000000001</v>
      </c>
      <c r="D635">
        <v>806762.6</v>
      </c>
      <c r="E635" t="s">
        <v>139</v>
      </c>
      <c r="F635" t="s">
        <v>139</v>
      </c>
      <c r="G635">
        <v>294188.5</v>
      </c>
      <c r="H635" t="s">
        <v>139</v>
      </c>
      <c r="I635" t="s">
        <v>139</v>
      </c>
      <c r="J635">
        <v>3175821.2</v>
      </c>
      <c r="K635">
        <v>947223.3</v>
      </c>
      <c r="L635">
        <v>1332025.1000000001</v>
      </c>
      <c r="M635" t="s">
        <v>139</v>
      </c>
      <c r="N635">
        <v>97483.7</v>
      </c>
      <c r="O635" t="s">
        <v>139</v>
      </c>
      <c r="P635" t="s">
        <v>139</v>
      </c>
      <c r="Q635" t="s">
        <v>139</v>
      </c>
      <c r="R635" t="s">
        <v>139</v>
      </c>
      <c r="S635" t="s">
        <v>139</v>
      </c>
      <c r="T635" t="s">
        <v>139</v>
      </c>
      <c r="U635">
        <v>497194.7</v>
      </c>
      <c r="V635" s="6" t="s">
        <v>139</v>
      </c>
      <c r="W635" t="s">
        <v>139</v>
      </c>
      <c r="X635" t="s">
        <v>139</v>
      </c>
      <c r="Y635" t="s">
        <v>139</v>
      </c>
      <c r="Z635">
        <v>399378.1</v>
      </c>
      <c r="AA635" t="s">
        <v>139</v>
      </c>
      <c r="AB635" t="s">
        <v>139</v>
      </c>
      <c r="AC635" t="s">
        <v>139</v>
      </c>
      <c r="AD635">
        <v>264720.90000000002</v>
      </c>
      <c r="AE635" t="s">
        <v>139</v>
      </c>
      <c r="AF635">
        <v>61075.199999999997</v>
      </c>
      <c r="AG635">
        <v>425112.9</v>
      </c>
      <c r="AH635" s="9">
        <v>5242222.2</v>
      </c>
      <c r="AI635">
        <v>3326961.9</v>
      </c>
      <c r="AJ635">
        <v>716719</v>
      </c>
      <c r="AK635" t="s">
        <v>139</v>
      </c>
      <c r="AL635">
        <v>1181562.6000000001</v>
      </c>
      <c r="AM635" t="s">
        <v>139</v>
      </c>
      <c r="AN635">
        <v>322116.8</v>
      </c>
      <c r="AO635" s="9">
        <v>5003594</v>
      </c>
      <c r="AP635">
        <v>238628.1</v>
      </c>
      <c r="AQ635" t="s">
        <v>139</v>
      </c>
      <c r="AR635" t="s">
        <v>139</v>
      </c>
      <c r="AS635">
        <f t="shared" si="10"/>
        <v>4043680.9</v>
      </c>
      <c r="AT635">
        <f t="shared" si="9"/>
        <v>1.2963985857538858</v>
      </c>
    </row>
    <row r="636" spans="1:46" x14ac:dyDescent="0.4">
      <c r="A636" s="3" t="s">
        <v>767</v>
      </c>
      <c r="B636">
        <v>4284624.9000000004</v>
      </c>
      <c r="C636">
        <v>1102511.6000000001</v>
      </c>
      <c r="D636">
        <v>804578.4</v>
      </c>
      <c r="E636" t="s">
        <v>139</v>
      </c>
      <c r="F636" t="s">
        <v>139</v>
      </c>
      <c r="G636">
        <v>297933.3</v>
      </c>
      <c r="H636" t="s">
        <v>139</v>
      </c>
      <c r="I636" t="s">
        <v>139</v>
      </c>
      <c r="J636">
        <v>3182113.3</v>
      </c>
      <c r="K636">
        <v>942356.8</v>
      </c>
      <c r="L636">
        <v>1341080.5</v>
      </c>
      <c r="M636" t="s">
        <v>139</v>
      </c>
      <c r="N636">
        <v>98487.5</v>
      </c>
      <c r="O636" t="s">
        <v>139</v>
      </c>
      <c r="P636" t="s">
        <v>139</v>
      </c>
      <c r="Q636" t="s">
        <v>139</v>
      </c>
      <c r="R636" t="s">
        <v>139</v>
      </c>
      <c r="S636" t="s">
        <v>139</v>
      </c>
      <c r="T636" t="s">
        <v>139</v>
      </c>
      <c r="U636">
        <v>494574.7</v>
      </c>
      <c r="V636" s="6" t="s">
        <v>139</v>
      </c>
      <c r="W636" t="s">
        <v>139</v>
      </c>
      <c r="X636" t="s">
        <v>139</v>
      </c>
      <c r="Y636" t="s">
        <v>139</v>
      </c>
      <c r="Z636">
        <v>404101.2</v>
      </c>
      <c r="AA636" t="s">
        <v>139</v>
      </c>
      <c r="AB636" t="s">
        <v>139</v>
      </c>
      <c r="AC636" t="s">
        <v>139</v>
      </c>
      <c r="AD636">
        <v>270174.59999999998</v>
      </c>
      <c r="AE636" t="s">
        <v>139</v>
      </c>
      <c r="AF636">
        <v>65550.8</v>
      </c>
      <c r="AG636">
        <v>427215.7</v>
      </c>
      <c r="AH636" s="9">
        <v>5271368</v>
      </c>
      <c r="AI636">
        <v>3338837</v>
      </c>
      <c r="AJ636">
        <v>715866.7</v>
      </c>
      <c r="AK636" t="s">
        <v>139</v>
      </c>
      <c r="AL636">
        <v>1208177.1000000001</v>
      </c>
      <c r="AM636" t="s">
        <v>139</v>
      </c>
      <c r="AN636">
        <v>315442.7</v>
      </c>
      <c r="AO636" s="9">
        <v>5041423.4000000004</v>
      </c>
      <c r="AP636">
        <v>229944.6</v>
      </c>
      <c r="AQ636" t="s">
        <v>139</v>
      </c>
      <c r="AR636" t="s">
        <v>139</v>
      </c>
      <c r="AS636">
        <f t="shared" si="10"/>
        <v>4054703.7</v>
      </c>
      <c r="AT636">
        <f t="shared" si="9"/>
        <v>1.3000624435270078</v>
      </c>
    </row>
    <row r="637" spans="1:46" x14ac:dyDescent="0.4">
      <c r="A637" s="3" t="s">
        <v>768</v>
      </c>
      <c r="B637">
        <v>4316216.4000000004</v>
      </c>
      <c r="C637">
        <v>1112621.6000000001</v>
      </c>
      <c r="D637">
        <v>811822.3</v>
      </c>
      <c r="E637" t="s">
        <v>139</v>
      </c>
      <c r="F637" t="s">
        <v>139</v>
      </c>
      <c r="G637">
        <v>300799.3</v>
      </c>
      <c r="H637" t="s">
        <v>139</v>
      </c>
      <c r="I637" t="s">
        <v>139</v>
      </c>
      <c r="J637">
        <v>3203594.7</v>
      </c>
      <c r="K637">
        <v>949734.9</v>
      </c>
      <c r="L637">
        <v>1347252.4</v>
      </c>
      <c r="M637" t="s">
        <v>139</v>
      </c>
      <c r="N637">
        <v>97765.7</v>
      </c>
      <c r="O637" t="s">
        <v>139</v>
      </c>
      <c r="P637" t="s">
        <v>139</v>
      </c>
      <c r="Q637" t="s">
        <v>139</v>
      </c>
      <c r="R637" t="s">
        <v>139</v>
      </c>
      <c r="S637" t="s">
        <v>139</v>
      </c>
      <c r="T637" t="s">
        <v>139</v>
      </c>
      <c r="U637">
        <v>495249.1</v>
      </c>
      <c r="V637" s="6" t="s">
        <v>139</v>
      </c>
      <c r="W637" t="s">
        <v>139</v>
      </c>
      <c r="X637" t="s">
        <v>139</v>
      </c>
      <c r="Y637" t="s">
        <v>139</v>
      </c>
      <c r="Z637">
        <v>411358.3</v>
      </c>
      <c r="AA637" t="s">
        <v>139</v>
      </c>
      <c r="AB637" t="s">
        <v>139</v>
      </c>
      <c r="AC637" t="s">
        <v>139</v>
      </c>
      <c r="AD637">
        <v>272390.90000000002</v>
      </c>
      <c r="AE637" t="s">
        <v>139</v>
      </c>
      <c r="AF637">
        <v>68480.899999999994</v>
      </c>
      <c r="AG637">
        <v>437952.1</v>
      </c>
      <c r="AH637" s="9">
        <v>5319841.8</v>
      </c>
      <c r="AI637">
        <v>3345933.5</v>
      </c>
      <c r="AJ637">
        <v>714380.4</v>
      </c>
      <c r="AK637" t="s">
        <v>139</v>
      </c>
      <c r="AL637">
        <v>1239751.7</v>
      </c>
      <c r="AM637" t="s">
        <v>139</v>
      </c>
      <c r="AN637">
        <v>327866.90000000002</v>
      </c>
      <c r="AO637" s="9">
        <v>5097171</v>
      </c>
      <c r="AP637">
        <v>222670.8</v>
      </c>
      <c r="AQ637" t="s">
        <v>139</v>
      </c>
      <c r="AR637" t="s">
        <v>139</v>
      </c>
      <c r="AS637">
        <f t="shared" si="10"/>
        <v>4060313.9</v>
      </c>
      <c r="AT637">
        <f t="shared" si="9"/>
        <v>1.3102045632481765</v>
      </c>
    </row>
    <row r="638" spans="1:46" x14ac:dyDescent="0.4">
      <c r="A638" s="3" t="s">
        <v>769</v>
      </c>
      <c r="B638">
        <v>4329117.9000000004</v>
      </c>
      <c r="C638">
        <v>1116100.1000000001</v>
      </c>
      <c r="D638">
        <v>812698.4</v>
      </c>
      <c r="E638" t="s">
        <v>139</v>
      </c>
      <c r="F638" t="s">
        <v>139</v>
      </c>
      <c r="G638">
        <v>303401.59999999998</v>
      </c>
      <c r="H638" t="s">
        <v>139</v>
      </c>
      <c r="I638" t="s">
        <v>139</v>
      </c>
      <c r="J638">
        <v>3213017.8</v>
      </c>
      <c r="K638">
        <v>958512</v>
      </c>
      <c r="L638">
        <v>1354445.6</v>
      </c>
      <c r="M638" t="s">
        <v>139</v>
      </c>
      <c r="N638">
        <v>95428.7</v>
      </c>
      <c r="O638" t="s">
        <v>139</v>
      </c>
      <c r="P638" t="s">
        <v>139</v>
      </c>
      <c r="Q638" t="s">
        <v>139</v>
      </c>
      <c r="R638" t="s">
        <v>139</v>
      </c>
      <c r="S638" t="s">
        <v>139</v>
      </c>
      <c r="T638" t="s">
        <v>139</v>
      </c>
      <c r="U638">
        <v>495099.7</v>
      </c>
      <c r="V638" s="6" t="s">
        <v>139</v>
      </c>
      <c r="W638" t="s">
        <v>139</v>
      </c>
      <c r="X638" t="s">
        <v>139</v>
      </c>
      <c r="Y638" t="s">
        <v>139</v>
      </c>
      <c r="Z638">
        <v>404960.4</v>
      </c>
      <c r="AA638" t="s">
        <v>139</v>
      </c>
      <c r="AB638" t="s">
        <v>139</v>
      </c>
      <c r="AC638" t="s">
        <v>139</v>
      </c>
      <c r="AD638">
        <v>268275.20000000001</v>
      </c>
      <c r="AE638" t="s">
        <v>139</v>
      </c>
      <c r="AF638">
        <v>62486</v>
      </c>
      <c r="AG638">
        <v>434440.2</v>
      </c>
      <c r="AH638" s="9">
        <v>5311782.2</v>
      </c>
      <c r="AI638">
        <v>3355054.9</v>
      </c>
      <c r="AJ638">
        <v>720639.6</v>
      </c>
      <c r="AK638" t="s">
        <v>139</v>
      </c>
      <c r="AL638">
        <v>1250059.6000000001</v>
      </c>
      <c r="AM638" t="s">
        <v>139</v>
      </c>
      <c r="AN638">
        <v>325166.90000000002</v>
      </c>
      <c r="AO638" s="9">
        <v>5108346.3</v>
      </c>
      <c r="AP638">
        <v>203435.8</v>
      </c>
      <c r="AQ638" t="s">
        <v>139</v>
      </c>
      <c r="AR638" t="s">
        <v>139</v>
      </c>
      <c r="AS638">
        <f t="shared" si="10"/>
        <v>4075694.5</v>
      </c>
      <c r="AT638">
        <f t="shared" si="9"/>
        <v>1.3032827166020418</v>
      </c>
    </row>
    <row r="639" spans="1:46" x14ac:dyDescent="0.4">
      <c r="A639" s="3" t="s">
        <v>770</v>
      </c>
      <c r="B639">
        <v>4352051.7</v>
      </c>
      <c r="C639">
        <v>1122303.8999999999</v>
      </c>
      <c r="D639">
        <v>813678.1</v>
      </c>
      <c r="E639" t="s">
        <v>139</v>
      </c>
      <c r="F639" t="s">
        <v>139</v>
      </c>
      <c r="G639">
        <v>308625.90000000002</v>
      </c>
      <c r="H639" t="s">
        <v>139</v>
      </c>
      <c r="I639" t="s">
        <v>139</v>
      </c>
      <c r="J639">
        <v>3229747.7</v>
      </c>
      <c r="K639">
        <v>969105.7</v>
      </c>
      <c r="L639">
        <v>1370148.4</v>
      </c>
      <c r="M639" t="s">
        <v>139</v>
      </c>
      <c r="N639">
        <v>98239.4</v>
      </c>
      <c r="O639" t="s">
        <v>139</v>
      </c>
      <c r="P639" t="s">
        <v>139</v>
      </c>
      <c r="Q639" t="s">
        <v>139</v>
      </c>
      <c r="R639" t="s">
        <v>139</v>
      </c>
      <c r="S639" t="s">
        <v>139</v>
      </c>
      <c r="T639" t="s">
        <v>139</v>
      </c>
      <c r="U639">
        <v>492255.8</v>
      </c>
      <c r="V639" s="6" t="s">
        <v>139</v>
      </c>
      <c r="W639" t="s">
        <v>139</v>
      </c>
      <c r="X639" t="s">
        <v>139</v>
      </c>
      <c r="Y639" t="s">
        <v>139</v>
      </c>
      <c r="Z639">
        <v>398237.8</v>
      </c>
      <c r="AA639" t="s">
        <v>139</v>
      </c>
      <c r="AB639" t="s">
        <v>139</v>
      </c>
      <c r="AC639" t="s">
        <v>139</v>
      </c>
      <c r="AD639">
        <v>260830.7</v>
      </c>
      <c r="AE639" t="s">
        <v>139</v>
      </c>
      <c r="AF639">
        <v>61096.2</v>
      </c>
      <c r="AG639">
        <v>438584.4</v>
      </c>
      <c r="AH639" s="9">
        <v>5323278.5</v>
      </c>
      <c r="AI639">
        <v>3356260</v>
      </c>
      <c r="AJ639">
        <v>724221.2</v>
      </c>
      <c r="AK639" t="s">
        <v>139</v>
      </c>
      <c r="AL639">
        <v>1260031.1000000001</v>
      </c>
      <c r="AM639" t="s">
        <v>139</v>
      </c>
      <c r="AN639">
        <v>335694.5</v>
      </c>
      <c r="AO639" s="9">
        <v>5129679.4000000004</v>
      </c>
      <c r="AP639">
        <v>193599.1</v>
      </c>
      <c r="AQ639" t="s">
        <v>139</v>
      </c>
      <c r="AR639" t="s">
        <v>139</v>
      </c>
      <c r="AS639">
        <f t="shared" si="10"/>
        <v>4080481.2</v>
      </c>
      <c r="AT639">
        <f t="shared" si="9"/>
        <v>1.3045712598798396</v>
      </c>
    </row>
    <row r="640" spans="1:46" x14ac:dyDescent="0.4">
      <c r="A640" s="3" t="s">
        <v>771</v>
      </c>
      <c r="B640">
        <v>4382426.3</v>
      </c>
      <c r="C640">
        <v>1127234.8</v>
      </c>
      <c r="D640">
        <v>814048</v>
      </c>
      <c r="E640" t="s">
        <v>139</v>
      </c>
      <c r="F640" t="s">
        <v>139</v>
      </c>
      <c r="G640">
        <v>313186.90000000002</v>
      </c>
      <c r="H640" t="s">
        <v>139</v>
      </c>
      <c r="I640" t="s">
        <v>139</v>
      </c>
      <c r="J640">
        <v>3255191.5</v>
      </c>
      <c r="K640">
        <v>975188.8</v>
      </c>
      <c r="L640">
        <v>1388626.1</v>
      </c>
      <c r="M640" t="s">
        <v>139</v>
      </c>
      <c r="N640">
        <v>98567.6</v>
      </c>
      <c r="O640" t="s">
        <v>139</v>
      </c>
      <c r="P640" t="s">
        <v>139</v>
      </c>
      <c r="Q640" t="s">
        <v>139</v>
      </c>
      <c r="R640" t="s">
        <v>139</v>
      </c>
      <c r="S640" t="s">
        <v>139</v>
      </c>
      <c r="T640" t="s">
        <v>139</v>
      </c>
      <c r="U640">
        <v>493737.4</v>
      </c>
      <c r="V640" s="6" t="s">
        <v>139</v>
      </c>
      <c r="W640" t="s">
        <v>139</v>
      </c>
      <c r="X640" t="s">
        <v>139</v>
      </c>
      <c r="Y640" t="s">
        <v>139</v>
      </c>
      <c r="Z640">
        <v>397639.2</v>
      </c>
      <c r="AA640" t="s">
        <v>139</v>
      </c>
      <c r="AB640" t="s">
        <v>139</v>
      </c>
      <c r="AC640" t="s">
        <v>139</v>
      </c>
      <c r="AD640">
        <v>270560.2</v>
      </c>
      <c r="AE640" t="s">
        <v>139</v>
      </c>
      <c r="AF640">
        <v>57141.2</v>
      </c>
      <c r="AG640">
        <v>452332.79999999999</v>
      </c>
      <c r="AH640" s="9">
        <v>5365211.3</v>
      </c>
      <c r="AI640">
        <v>3371999.9</v>
      </c>
      <c r="AJ640">
        <v>738855.5</v>
      </c>
      <c r="AK640" t="s">
        <v>139</v>
      </c>
      <c r="AL640">
        <v>1273465.8999999999</v>
      </c>
      <c r="AM640" t="s">
        <v>139</v>
      </c>
      <c r="AN640">
        <v>345629.2</v>
      </c>
      <c r="AO640" s="9">
        <v>5165188.5999999996</v>
      </c>
      <c r="AP640">
        <v>200022.6</v>
      </c>
      <c r="AQ640" t="s">
        <v>139</v>
      </c>
      <c r="AR640" t="s">
        <v>139</v>
      </c>
      <c r="AS640">
        <f t="shared" si="10"/>
        <v>4110855.4</v>
      </c>
      <c r="AT640">
        <f t="shared" si="9"/>
        <v>1.3051325765435582</v>
      </c>
    </row>
    <row r="641" spans="1:46" x14ac:dyDescent="0.4">
      <c r="A641" s="3" t="s">
        <v>772</v>
      </c>
      <c r="B641">
        <v>4415267.5</v>
      </c>
      <c r="C641">
        <v>1135781.8999999999</v>
      </c>
      <c r="D641">
        <v>817002.1</v>
      </c>
      <c r="E641" t="s">
        <v>139</v>
      </c>
      <c r="F641" t="s">
        <v>139</v>
      </c>
      <c r="G641">
        <v>318779.8</v>
      </c>
      <c r="H641" t="s">
        <v>139</v>
      </c>
      <c r="I641" t="s">
        <v>139</v>
      </c>
      <c r="J641">
        <v>3279485.6</v>
      </c>
      <c r="K641">
        <v>978287.8</v>
      </c>
      <c r="L641">
        <v>1411472.7</v>
      </c>
      <c r="M641" t="s">
        <v>139</v>
      </c>
      <c r="N641">
        <v>99106.4</v>
      </c>
      <c r="O641" t="s">
        <v>139</v>
      </c>
      <c r="P641" t="s">
        <v>139</v>
      </c>
      <c r="Q641" t="s">
        <v>139</v>
      </c>
      <c r="R641" t="s">
        <v>139</v>
      </c>
      <c r="S641" t="s">
        <v>139</v>
      </c>
      <c r="T641" t="s">
        <v>139</v>
      </c>
      <c r="U641">
        <v>492571.9</v>
      </c>
      <c r="V641" s="6" t="s">
        <v>139</v>
      </c>
      <c r="W641" t="s">
        <v>139</v>
      </c>
      <c r="X641" t="s">
        <v>139</v>
      </c>
      <c r="Y641" t="s">
        <v>139</v>
      </c>
      <c r="Z641">
        <v>397153.2</v>
      </c>
      <c r="AA641" t="s">
        <v>139</v>
      </c>
      <c r="AB641" t="s">
        <v>139</v>
      </c>
      <c r="AC641" t="s">
        <v>139</v>
      </c>
      <c r="AD641">
        <v>276824.5</v>
      </c>
      <c r="AE641" t="s">
        <v>139</v>
      </c>
      <c r="AF641">
        <v>67133.8</v>
      </c>
      <c r="AG641">
        <v>444568.3</v>
      </c>
      <c r="AH641" s="9">
        <v>5397197.0999999996</v>
      </c>
      <c r="AI641">
        <v>3398879.6</v>
      </c>
      <c r="AJ641">
        <v>764908.2</v>
      </c>
      <c r="AK641" t="s">
        <v>139</v>
      </c>
      <c r="AL641">
        <v>1275894.8</v>
      </c>
      <c r="AM641" t="s">
        <v>139</v>
      </c>
      <c r="AN641">
        <v>359984.3</v>
      </c>
      <c r="AO641" s="9">
        <v>5200950.0999999996</v>
      </c>
      <c r="AP641">
        <v>196247</v>
      </c>
      <c r="AQ641" t="s">
        <v>139</v>
      </c>
      <c r="AR641" t="s">
        <v>139</v>
      </c>
      <c r="AS641">
        <f t="shared" si="10"/>
        <v>4163787.8</v>
      </c>
      <c r="AT641">
        <f t="shared" ref="AT641:AT704" si="11">AH641/AS641</f>
        <v>1.2962229006963324</v>
      </c>
    </row>
    <row r="642" spans="1:46" x14ac:dyDescent="0.4">
      <c r="A642" s="3" t="s">
        <v>773</v>
      </c>
      <c r="B642">
        <v>4452501.2</v>
      </c>
      <c r="C642">
        <v>1131332</v>
      </c>
      <c r="D642">
        <v>807443.9</v>
      </c>
      <c r="E642" t="s">
        <v>139</v>
      </c>
      <c r="F642" t="s">
        <v>139</v>
      </c>
      <c r="G642">
        <v>323888.2</v>
      </c>
      <c r="H642" t="s">
        <v>139</v>
      </c>
      <c r="I642" t="s">
        <v>139</v>
      </c>
      <c r="J642">
        <v>3321169.1</v>
      </c>
      <c r="K642">
        <v>1000318.7</v>
      </c>
      <c r="L642">
        <v>1424550.1</v>
      </c>
      <c r="M642" t="s">
        <v>139</v>
      </c>
      <c r="N642">
        <v>99820.1</v>
      </c>
      <c r="O642" t="s">
        <v>139</v>
      </c>
      <c r="P642" t="s">
        <v>139</v>
      </c>
      <c r="Q642" t="s">
        <v>139</v>
      </c>
      <c r="R642" t="s">
        <v>139</v>
      </c>
      <c r="S642" t="s">
        <v>139</v>
      </c>
      <c r="T642" t="s">
        <v>139</v>
      </c>
      <c r="U642">
        <v>494549.5</v>
      </c>
      <c r="V642" s="6" t="s">
        <v>139</v>
      </c>
      <c r="W642" t="s">
        <v>139</v>
      </c>
      <c r="X642" t="s">
        <v>139</v>
      </c>
      <c r="Y642" t="s">
        <v>139</v>
      </c>
      <c r="Z642">
        <v>401750.9</v>
      </c>
      <c r="AA642" t="s">
        <v>139</v>
      </c>
      <c r="AB642" t="s">
        <v>139</v>
      </c>
      <c r="AC642" t="s">
        <v>139</v>
      </c>
      <c r="AD642">
        <v>281214.7</v>
      </c>
      <c r="AE642" t="s">
        <v>139</v>
      </c>
      <c r="AF642">
        <v>77320.5</v>
      </c>
      <c r="AG642">
        <v>455659.1</v>
      </c>
      <c r="AH642" s="9">
        <v>5471765.5999999996</v>
      </c>
      <c r="AI642">
        <v>3433858</v>
      </c>
      <c r="AJ642">
        <v>799255.3</v>
      </c>
      <c r="AK642" t="s">
        <v>139</v>
      </c>
      <c r="AL642">
        <v>1280575.5</v>
      </c>
      <c r="AM642" t="s">
        <v>139</v>
      </c>
      <c r="AN642">
        <v>368970.4</v>
      </c>
      <c r="AO642" s="9">
        <v>5250930</v>
      </c>
      <c r="AP642">
        <v>220835.6</v>
      </c>
      <c r="AQ642" t="s">
        <v>139</v>
      </c>
      <c r="AR642" t="s">
        <v>139</v>
      </c>
      <c r="AS642">
        <f t="shared" si="10"/>
        <v>4233113.3</v>
      </c>
      <c r="AT642">
        <f t="shared" si="11"/>
        <v>1.2926102403165065</v>
      </c>
    </row>
    <row r="643" spans="1:46" x14ac:dyDescent="0.4">
      <c r="A643" s="3" t="s">
        <v>774</v>
      </c>
      <c r="B643">
        <v>4505104.7</v>
      </c>
      <c r="C643">
        <v>1145442.6000000001</v>
      </c>
      <c r="D643">
        <v>812173.5</v>
      </c>
      <c r="E643" t="s">
        <v>139</v>
      </c>
      <c r="F643" t="s">
        <v>139</v>
      </c>
      <c r="G643">
        <v>333269.09999999998</v>
      </c>
      <c r="H643" t="s">
        <v>139</v>
      </c>
      <c r="I643" t="s">
        <v>139</v>
      </c>
      <c r="J643">
        <v>3359662.1</v>
      </c>
      <c r="K643">
        <v>1001066.8</v>
      </c>
      <c r="L643">
        <v>1460320.2</v>
      </c>
      <c r="M643" t="s">
        <v>139</v>
      </c>
      <c r="N643">
        <v>101218.4</v>
      </c>
      <c r="O643" t="s">
        <v>139</v>
      </c>
      <c r="P643" t="s">
        <v>139</v>
      </c>
      <c r="Q643" t="s">
        <v>139</v>
      </c>
      <c r="R643" t="s">
        <v>139</v>
      </c>
      <c r="S643" t="s">
        <v>139</v>
      </c>
      <c r="T643" t="s">
        <v>139</v>
      </c>
      <c r="U643">
        <v>506328.6</v>
      </c>
      <c r="V643" s="6" t="s">
        <v>139</v>
      </c>
      <c r="W643" t="s">
        <v>139</v>
      </c>
      <c r="X643" t="s">
        <v>139</v>
      </c>
      <c r="Y643" t="s">
        <v>139</v>
      </c>
      <c r="Z643">
        <v>391946.5</v>
      </c>
      <c r="AA643" t="s">
        <v>139</v>
      </c>
      <c r="AB643" t="s">
        <v>139</v>
      </c>
      <c r="AC643" t="s">
        <v>139</v>
      </c>
      <c r="AD643">
        <v>290224.7</v>
      </c>
      <c r="AE643" t="s">
        <v>139</v>
      </c>
      <c r="AF643">
        <v>80853.600000000006</v>
      </c>
      <c r="AG643">
        <v>468687.8</v>
      </c>
      <c r="AH643" s="9">
        <v>5563493.7999999998</v>
      </c>
      <c r="AI643">
        <v>3474436.4</v>
      </c>
      <c r="AJ643">
        <v>833674.6</v>
      </c>
      <c r="AK643" t="s">
        <v>139</v>
      </c>
      <c r="AL643">
        <v>1342471.4</v>
      </c>
      <c r="AM643" t="s">
        <v>139</v>
      </c>
      <c r="AN643">
        <v>387461.6</v>
      </c>
      <c r="AO643" s="9">
        <v>5353025</v>
      </c>
      <c r="AP643">
        <v>210468.9</v>
      </c>
      <c r="AQ643" t="s">
        <v>139</v>
      </c>
      <c r="AR643" t="s">
        <v>139</v>
      </c>
      <c r="AS643">
        <f t="shared" si="10"/>
        <v>4308111</v>
      </c>
      <c r="AT643">
        <f t="shared" si="11"/>
        <v>1.2913998269775313</v>
      </c>
    </row>
    <row r="644" spans="1:46" x14ac:dyDescent="0.4">
      <c r="A644" s="3" t="s">
        <v>775</v>
      </c>
      <c r="B644">
        <v>4539503.9000000004</v>
      </c>
      <c r="C644">
        <v>1148105.5</v>
      </c>
      <c r="D644">
        <v>817690.6</v>
      </c>
      <c r="E644" t="s">
        <v>139</v>
      </c>
      <c r="F644" t="s">
        <v>139</v>
      </c>
      <c r="G644">
        <v>330414.90000000002</v>
      </c>
      <c r="H644" t="s">
        <v>139</v>
      </c>
      <c r="I644" t="s">
        <v>139</v>
      </c>
      <c r="J644">
        <v>3391398.4</v>
      </c>
      <c r="K644">
        <v>1003639.1</v>
      </c>
      <c r="L644">
        <v>1481075.1</v>
      </c>
      <c r="M644" t="s">
        <v>139</v>
      </c>
      <c r="N644">
        <v>105028</v>
      </c>
      <c r="O644" t="s">
        <v>139</v>
      </c>
      <c r="P644" t="s">
        <v>139</v>
      </c>
      <c r="Q644" t="s">
        <v>139</v>
      </c>
      <c r="R644" t="s">
        <v>139</v>
      </c>
      <c r="S644" t="s">
        <v>139</v>
      </c>
      <c r="T644" t="s">
        <v>139</v>
      </c>
      <c r="U644">
        <v>510174.8</v>
      </c>
      <c r="V644" s="6" t="s">
        <v>139</v>
      </c>
      <c r="W644" t="s">
        <v>139</v>
      </c>
      <c r="X644" t="s">
        <v>139</v>
      </c>
      <c r="Y644" t="s">
        <v>139</v>
      </c>
      <c r="Z644">
        <v>396509.5</v>
      </c>
      <c r="AA644" t="s">
        <v>139</v>
      </c>
      <c r="AB644" t="s">
        <v>139</v>
      </c>
      <c r="AC644" t="s">
        <v>139</v>
      </c>
      <c r="AD644">
        <v>290157.7</v>
      </c>
      <c r="AE644" t="s">
        <v>139</v>
      </c>
      <c r="AF644">
        <v>81374.7</v>
      </c>
      <c r="AG644">
        <v>477285.2</v>
      </c>
      <c r="AH644" s="9">
        <v>5591518.2000000002</v>
      </c>
      <c r="AI644">
        <v>3481612.4</v>
      </c>
      <c r="AJ644">
        <v>839096.3</v>
      </c>
      <c r="AK644" t="s">
        <v>139</v>
      </c>
      <c r="AL644">
        <v>1362435.6</v>
      </c>
      <c r="AM644" t="s">
        <v>139</v>
      </c>
      <c r="AN644">
        <v>382413.8</v>
      </c>
      <c r="AO644" s="9">
        <v>5366412.9000000004</v>
      </c>
      <c r="AP644">
        <v>225105.3</v>
      </c>
      <c r="AQ644" t="s">
        <v>139</v>
      </c>
      <c r="AR644" t="s">
        <v>139</v>
      </c>
      <c r="AS644">
        <f t="shared" si="10"/>
        <v>4320708.7</v>
      </c>
      <c r="AT644">
        <f t="shared" si="11"/>
        <v>1.2941206149815192</v>
      </c>
    </row>
    <row r="645" spans="1:46" x14ac:dyDescent="0.4">
      <c r="A645" s="3" t="s">
        <v>776</v>
      </c>
      <c r="B645">
        <v>4562139.7</v>
      </c>
      <c r="C645">
        <v>1140646</v>
      </c>
      <c r="D645">
        <v>817471.6</v>
      </c>
      <c r="E645" t="s">
        <v>139</v>
      </c>
      <c r="F645" t="s">
        <v>139</v>
      </c>
      <c r="G645">
        <v>323174.40000000002</v>
      </c>
      <c r="H645" t="s">
        <v>139</v>
      </c>
      <c r="I645" t="s">
        <v>139</v>
      </c>
      <c r="J645">
        <v>3421493.7</v>
      </c>
      <c r="K645">
        <v>1016651.5</v>
      </c>
      <c r="L645">
        <v>1491639.3</v>
      </c>
      <c r="M645" t="s">
        <v>139</v>
      </c>
      <c r="N645">
        <v>106695.5</v>
      </c>
      <c r="O645" t="s">
        <v>139</v>
      </c>
      <c r="P645" t="s">
        <v>139</v>
      </c>
      <c r="Q645" t="s">
        <v>139</v>
      </c>
      <c r="R645" t="s">
        <v>139</v>
      </c>
      <c r="S645" t="s">
        <v>139</v>
      </c>
      <c r="T645" t="s">
        <v>139</v>
      </c>
      <c r="U645">
        <v>510826.3</v>
      </c>
      <c r="V645" s="6" t="s">
        <v>139</v>
      </c>
      <c r="W645" t="s">
        <v>139</v>
      </c>
      <c r="X645" t="s">
        <v>139</v>
      </c>
      <c r="Y645" t="s">
        <v>139</v>
      </c>
      <c r="Z645">
        <v>402376.6</v>
      </c>
      <c r="AA645" t="s">
        <v>139</v>
      </c>
      <c r="AB645" t="s">
        <v>139</v>
      </c>
      <c r="AC645" t="s">
        <v>139</v>
      </c>
      <c r="AD645">
        <v>290428.3</v>
      </c>
      <c r="AE645" t="s">
        <v>139</v>
      </c>
      <c r="AF645">
        <v>78871.3</v>
      </c>
      <c r="AG645">
        <v>494827</v>
      </c>
      <c r="AH645" s="9">
        <v>5644241.2999999998</v>
      </c>
      <c r="AI645">
        <v>3502694.3</v>
      </c>
      <c r="AJ645">
        <v>843113.7</v>
      </c>
      <c r="AK645" t="s">
        <v>139</v>
      </c>
      <c r="AL645">
        <v>1364836.4</v>
      </c>
      <c r="AM645" t="s">
        <v>139</v>
      </c>
      <c r="AN645">
        <v>398504.4</v>
      </c>
      <c r="AO645" s="9">
        <v>5426063.2999999998</v>
      </c>
      <c r="AP645">
        <v>218178</v>
      </c>
      <c r="AQ645" t="s">
        <v>139</v>
      </c>
      <c r="AR645" t="s">
        <v>139</v>
      </c>
      <c r="AS645">
        <f t="shared" si="10"/>
        <v>4345808</v>
      </c>
      <c r="AT645">
        <f t="shared" si="11"/>
        <v>1.2987783399542732</v>
      </c>
    </row>
    <row r="646" spans="1:46" x14ac:dyDescent="0.4">
      <c r="A646" s="3" t="s">
        <v>777</v>
      </c>
      <c r="B646">
        <v>4614133.7</v>
      </c>
      <c r="C646">
        <v>1153239.8999999999</v>
      </c>
      <c r="D646">
        <v>821692.8</v>
      </c>
      <c r="E646" t="s">
        <v>139</v>
      </c>
      <c r="F646" t="s">
        <v>139</v>
      </c>
      <c r="G646">
        <v>331547.09999999998</v>
      </c>
      <c r="H646" t="s">
        <v>139</v>
      </c>
      <c r="I646" t="s">
        <v>139</v>
      </c>
      <c r="J646">
        <v>3460893.8</v>
      </c>
      <c r="K646">
        <v>1026229.4</v>
      </c>
      <c r="L646">
        <v>1517832.2</v>
      </c>
      <c r="M646" t="s">
        <v>139</v>
      </c>
      <c r="N646">
        <v>108616.9</v>
      </c>
      <c r="O646" t="s">
        <v>139</v>
      </c>
      <c r="P646" t="s">
        <v>139</v>
      </c>
      <c r="Q646" t="s">
        <v>139</v>
      </c>
      <c r="R646" t="s">
        <v>139</v>
      </c>
      <c r="S646" t="s">
        <v>139</v>
      </c>
      <c r="T646" t="s">
        <v>139</v>
      </c>
      <c r="U646">
        <v>514679.5</v>
      </c>
      <c r="V646" s="6" t="s">
        <v>139</v>
      </c>
      <c r="W646" t="s">
        <v>139</v>
      </c>
      <c r="X646" t="s">
        <v>139</v>
      </c>
      <c r="Y646" t="s">
        <v>139</v>
      </c>
      <c r="Z646">
        <v>402152.7</v>
      </c>
      <c r="AA646" t="s">
        <v>139</v>
      </c>
      <c r="AB646" t="s">
        <v>139</v>
      </c>
      <c r="AC646" t="s">
        <v>139</v>
      </c>
      <c r="AD646">
        <v>285783.40000000002</v>
      </c>
      <c r="AE646" t="s">
        <v>139</v>
      </c>
      <c r="AF646">
        <v>78902.8</v>
      </c>
      <c r="AG646">
        <v>503195.1</v>
      </c>
      <c r="AH646" s="9">
        <v>5701896.5</v>
      </c>
      <c r="AI646">
        <v>3521972.3</v>
      </c>
      <c r="AJ646">
        <v>851174.1</v>
      </c>
      <c r="AK646" t="s">
        <v>139</v>
      </c>
      <c r="AL646">
        <v>1383684.7</v>
      </c>
      <c r="AM646" t="s">
        <v>139</v>
      </c>
      <c r="AN646">
        <v>404746.3</v>
      </c>
      <c r="AO646" s="9">
        <v>5475252.9000000004</v>
      </c>
      <c r="AP646">
        <v>226643.7</v>
      </c>
      <c r="AQ646" t="s">
        <v>139</v>
      </c>
      <c r="AR646" t="s">
        <v>139</v>
      </c>
      <c r="AS646">
        <f t="shared" si="10"/>
        <v>4373146.3999999994</v>
      </c>
      <c r="AT646">
        <f t="shared" si="11"/>
        <v>1.3038430407909511</v>
      </c>
    </row>
    <row r="647" spans="1:46" x14ac:dyDescent="0.4">
      <c r="A647" s="3" t="s">
        <v>778</v>
      </c>
      <c r="B647">
        <v>4657475.8</v>
      </c>
      <c r="C647">
        <v>1160137.7</v>
      </c>
      <c r="D647">
        <v>819393.1</v>
      </c>
      <c r="E647" t="s">
        <v>139</v>
      </c>
      <c r="F647" t="s">
        <v>139</v>
      </c>
      <c r="G647">
        <v>340744.6</v>
      </c>
      <c r="H647" t="s">
        <v>139</v>
      </c>
      <c r="I647" t="s">
        <v>139</v>
      </c>
      <c r="J647">
        <v>3497338.1</v>
      </c>
      <c r="K647">
        <v>1035175.5</v>
      </c>
      <c r="L647">
        <v>1541181.5</v>
      </c>
      <c r="M647" t="s">
        <v>139</v>
      </c>
      <c r="N647">
        <v>111409.7</v>
      </c>
      <c r="O647" t="s">
        <v>139</v>
      </c>
      <c r="P647" t="s">
        <v>139</v>
      </c>
      <c r="Q647" t="s">
        <v>139</v>
      </c>
      <c r="R647" t="s">
        <v>139</v>
      </c>
      <c r="S647" t="s">
        <v>139</v>
      </c>
      <c r="T647" t="s">
        <v>139</v>
      </c>
      <c r="U647">
        <v>520306.4</v>
      </c>
      <c r="V647" s="6" t="s">
        <v>139</v>
      </c>
      <c r="W647" t="s">
        <v>139</v>
      </c>
      <c r="X647" t="s">
        <v>139</v>
      </c>
      <c r="Y647" t="s">
        <v>139</v>
      </c>
      <c r="Z647">
        <v>400674.7</v>
      </c>
      <c r="AA647" t="s">
        <v>139</v>
      </c>
      <c r="AB647" t="s">
        <v>139</v>
      </c>
      <c r="AC647" t="s">
        <v>139</v>
      </c>
      <c r="AD647">
        <v>292887.59999999998</v>
      </c>
      <c r="AE647" t="s">
        <v>139</v>
      </c>
      <c r="AF647">
        <v>77147.899999999994</v>
      </c>
      <c r="AG647">
        <v>505950.5</v>
      </c>
      <c r="AH647" s="9">
        <v>5760857.7999999998</v>
      </c>
      <c r="AI647">
        <v>3557616.2</v>
      </c>
      <c r="AJ647">
        <v>861100.9</v>
      </c>
      <c r="AK647" t="s">
        <v>139</v>
      </c>
      <c r="AL647">
        <v>1392717.1</v>
      </c>
      <c r="AM647" t="s">
        <v>139</v>
      </c>
      <c r="AN647">
        <v>411405.9</v>
      </c>
      <c r="AO647" s="9">
        <v>5533486.2000000002</v>
      </c>
      <c r="AP647">
        <v>227371.6</v>
      </c>
      <c r="AQ647" t="s">
        <v>139</v>
      </c>
      <c r="AR647" t="s">
        <v>139</v>
      </c>
      <c r="AS647">
        <f t="shared" si="10"/>
        <v>4418717.1000000006</v>
      </c>
      <c r="AT647">
        <f t="shared" si="11"/>
        <v>1.3037399022444771</v>
      </c>
    </row>
    <row r="648" spans="1:46" x14ac:dyDescent="0.4">
      <c r="A648" s="3" t="s">
        <v>779</v>
      </c>
      <c r="B648">
        <v>4705911.0999999996</v>
      </c>
      <c r="C648">
        <v>1164389.3</v>
      </c>
      <c r="D648">
        <v>819463.1</v>
      </c>
      <c r="E648" t="s">
        <v>139</v>
      </c>
      <c r="F648" t="s">
        <v>139</v>
      </c>
      <c r="G648">
        <v>344926.2</v>
      </c>
      <c r="H648" t="s">
        <v>139</v>
      </c>
      <c r="I648" t="s">
        <v>139</v>
      </c>
      <c r="J648">
        <v>3541521.8</v>
      </c>
      <c r="K648">
        <v>1052024</v>
      </c>
      <c r="L648">
        <v>1565043.8</v>
      </c>
      <c r="M648" t="s">
        <v>139</v>
      </c>
      <c r="N648">
        <v>113443.7</v>
      </c>
      <c r="O648" t="s">
        <v>139</v>
      </c>
      <c r="P648" t="s">
        <v>139</v>
      </c>
      <c r="Q648" t="s">
        <v>139</v>
      </c>
      <c r="R648" t="s">
        <v>139</v>
      </c>
      <c r="S648" t="s">
        <v>139</v>
      </c>
      <c r="T648" t="s">
        <v>139</v>
      </c>
      <c r="U648">
        <v>523981.5</v>
      </c>
      <c r="V648" s="6" t="s">
        <v>139</v>
      </c>
      <c r="W648" t="s">
        <v>139</v>
      </c>
      <c r="X648" t="s">
        <v>139</v>
      </c>
      <c r="Y648" t="s">
        <v>139</v>
      </c>
      <c r="Z648">
        <v>400472.5</v>
      </c>
      <c r="AA648" t="s">
        <v>139</v>
      </c>
      <c r="AB648" t="s">
        <v>139</v>
      </c>
      <c r="AC648" t="s">
        <v>139</v>
      </c>
      <c r="AD648">
        <v>292041.40000000002</v>
      </c>
      <c r="AE648" t="s">
        <v>139</v>
      </c>
      <c r="AF648">
        <v>76223.399999999994</v>
      </c>
      <c r="AG648">
        <v>529079.4</v>
      </c>
      <c r="AH648" s="9">
        <v>5837407.2999999998</v>
      </c>
      <c r="AI648">
        <v>3574128.2</v>
      </c>
      <c r="AJ648">
        <v>865770</v>
      </c>
      <c r="AK648" t="s">
        <v>139</v>
      </c>
      <c r="AL648">
        <v>1412522.7</v>
      </c>
      <c r="AM648" t="s">
        <v>139</v>
      </c>
      <c r="AN648">
        <v>443121.9</v>
      </c>
      <c r="AO648" s="9">
        <v>5619022.4000000004</v>
      </c>
      <c r="AP648">
        <v>218384.9</v>
      </c>
      <c r="AQ648" t="s">
        <v>139</v>
      </c>
      <c r="AR648" t="s">
        <v>139</v>
      </c>
      <c r="AS648">
        <f t="shared" si="10"/>
        <v>4439898.2</v>
      </c>
      <c r="AT648">
        <f t="shared" si="11"/>
        <v>1.3147615186312154</v>
      </c>
    </row>
    <row r="649" spans="1:46" x14ac:dyDescent="0.4">
      <c r="A649" s="3" t="s">
        <v>780</v>
      </c>
      <c r="B649">
        <v>4745059.8</v>
      </c>
      <c r="C649">
        <v>1169600.8</v>
      </c>
      <c r="D649">
        <v>819472.6</v>
      </c>
      <c r="E649" t="s">
        <v>139</v>
      </c>
      <c r="F649" t="s">
        <v>139</v>
      </c>
      <c r="G649">
        <v>350128.1</v>
      </c>
      <c r="H649" t="s">
        <v>139</v>
      </c>
      <c r="I649" t="s">
        <v>139</v>
      </c>
      <c r="J649">
        <v>3575459</v>
      </c>
      <c r="K649">
        <v>1062770.3999999999</v>
      </c>
      <c r="L649">
        <v>1585383.4</v>
      </c>
      <c r="M649" t="s">
        <v>139</v>
      </c>
      <c r="N649">
        <v>114671.8</v>
      </c>
      <c r="O649" t="s">
        <v>139</v>
      </c>
      <c r="P649" t="s">
        <v>139</v>
      </c>
      <c r="Q649" t="s">
        <v>139</v>
      </c>
      <c r="R649" t="s">
        <v>139</v>
      </c>
      <c r="S649" t="s">
        <v>139</v>
      </c>
      <c r="T649" t="s">
        <v>139</v>
      </c>
      <c r="U649">
        <v>529536.1</v>
      </c>
      <c r="V649" s="6" t="s">
        <v>139</v>
      </c>
      <c r="W649" t="s">
        <v>139</v>
      </c>
      <c r="X649" t="s">
        <v>139</v>
      </c>
      <c r="Y649" t="s">
        <v>139</v>
      </c>
      <c r="Z649">
        <v>397769.1</v>
      </c>
      <c r="AA649" t="s">
        <v>139</v>
      </c>
      <c r="AB649" t="s">
        <v>139</v>
      </c>
      <c r="AC649" t="s">
        <v>139</v>
      </c>
      <c r="AD649">
        <v>289346.59999999998</v>
      </c>
      <c r="AE649" t="s">
        <v>139</v>
      </c>
      <c r="AF649">
        <v>80095.399999999994</v>
      </c>
      <c r="AG649">
        <v>521956.6</v>
      </c>
      <c r="AH649" s="9">
        <v>5871483.7999999998</v>
      </c>
      <c r="AI649">
        <v>3595943.3</v>
      </c>
      <c r="AJ649">
        <v>879866.3</v>
      </c>
      <c r="AK649" t="s">
        <v>139</v>
      </c>
      <c r="AL649">
        <v>1410329.3</v>
      </c>
      <c r="AM649" t="s">
        <v>139</v>
      </c>
      <c r="AN649">
        <v>432004.4</v>
      </c>
      <c r="AO649" s="9">
        <v>5637417.5</v>
      </c>
      <c r="AP649">
        <v>234066.2</v>
      </c>
      <c r="AQ649" t="s">
        <v>139</v>
      </c>
      <c r="AR649" t="s">
        <v>139</v>
      </c>
      <c r="AS649">
        <f t="shared" ref="AS649:AS712" si="12">SUM(AI649:AK649)</f>
        <v>4475809.5999999996</v>
      </c>
      <c r="AT649">
        <f t="shared" si="11"/>
        <v>1.3118260884019732</v>
      </c>
    </row>
    <row r="650" spans="1:46" x14ac:dyDescent="0.4">
      <c r="A650" s="3" t="s">
        <v>781</v>
      </c>
      <c r="B650">
        <v>4777238</v>
      </c>
      <c r="C650">
        <v>1178015.3999999999</v>
      </c>
      <c r="D650">
        <v>819907.8</v>
      </c>
      <c r="E650" t="s">
        <v>139</v>
      </c>
      <c r="F650" t="s">
        <v>139</v>
      </c>
      <c r="G650">
        <v>358107.5</v>
      </c>
      <c r="H650" t="s">
        <v>139</v>
      </c>
      <c r="I650" t="s">
        <v>139</v>
      </c>
      <c r="J650">
        <v>3599222.6</v>
      </c>
      <c r="K650">
        <v>1068573.7</v>
      </c>
      <c r="L650">
        <v>1600642.3</v>
      </c>
      <c r="M650" t="s">
        <v>139</v>
      </c>
      <c r="N650">
        <v>118462.8</v>
      </c>
      <c r="O650" t="s">
        <v>139</v>
      </c>
      <c r="P650" t="s">
        <v>139</v>
      </c>
      <c r="Q650" t="s">
        <v>139</v>
      </c>
      <c r="R650" t="s">
        <v>139</v>
      </c>
      <c r="S650" t="s">
        <v>139</v>
      </c>
      <c r="T650" t="s">
        <v>139</v>
      </c>
      <c r="U650" s="11">
        <v>531142</v>
      </c>
      <c r="V650" s="12">
        <v>211897.8</v>
      </c>
      <c r="W650" s="11">
        <v>319244.2</v>
      </c>
      <c r="X650" s="11" t="s">
        <v>139</v>
      </c>
      <c r="Y650" s="11" t="s">
        <v>139</v>
      </c>
      <c r="Z650" s="11">
        <v>398864.5</v>
      </c>
      <c r="AA650" s="11" t="s">
        <v>139</v>
      </c>
      <c r="AB650" s="11" t="s">
        <v>139</v>
      </c>
      <c r="AC650" s="11" t="s">
        <v>139</v>
      </c>
      <c r="AD650" s="11">
        <v>286711.3</v>
      </c>
      <c r="AE650" s="11" t="s">
        <v>139</v>
      </c>
      <c r="AF650" s="11">
        <v>87604.1</v>
      </c>
      <c r="AG650" s="11">
        <v>515885.1</v>
      </c>
      <c r="AH650" s="13">
        <v>5905081.7999999998</v>
      </c>
      <c r="AI650" s="11">
        <v>3626297.3</v>
      </c>
      <c r="AJ650" s="11">
        <v>895407.2</v>
      </c>
      <c r="AK650" s="11" t="s">
        <v>139</v>
      </c>
      <c r="AL650" s="11">
        <v>1426429.5</v>
      </c>
      <c r="AM650" s="11" t="s">
        <v>139</v>
      </c>
      <c r="AN650" s="11">
        <v>425923.5</v>
      </c>
      <c r="AO650" s="13">
        <v>5678886</v>
      </c>
      <c r="AP650" s="11">
        <v>226195.8</v>
      </c>
      <c r="AQ650" s="11" t="s">
        <v>139</v>
      </c>
      <c r="AR650" s="11" t="s">
        <v>139</v>
      </c>
      <c r="AS650">
        <f t="shared" si="12"/>
        <v>4521704.5</v>
      </c>
      <c r="AT650">
        <f t="shared" si="11"/>
        <v>1.3059415536773797</v>
      </c>
    </row>
    <row r="651" spans="1:46" x14ac:dyDescent="0.4">
      <c r="A651" s="3" t="s">
        <v>782</v>
      </c>
      <c r="B651">
        <v>4803014</v>
      </c>
      <c r="C651">
        <v>1176437.3999999999</v>
      </c>
      <c r="D651">
        <v>811020.5</v>
      </c>
      <c r="E651" t="s">
        <v>139</v>
      </c>
      <c r="F651" t="s">
        <v>139</v>
      </c>
      <c r="G651">
        <v>365417</v>
      </c>
      <c r="H651" t="s">
        <v>139</v>
      </c>
      <c r="I651" t="s">
        <v>139</v>
      </c>
      <c r="J651">
        <v>3626576.5</v>
      </c>
      <c r="K651">
        <v>1071687.8</v>
      </c>
      <c r="L651">
        <v>1613806.5</v>
      </c>
      <c r="M651" t="s">
        <v>139</v>
      </c>
      <c r="N651">
        <v>120109.6</v>
      </c>
      <c r="O651" t="s">
        <v>139</v>
      </c>
      <c r="P651" t="s">
        <v>139</v>
      </c>
      <c r="Q651" t="s">
        <v>139</v>
      </c>
      <c r="R651" t="s">
        <v>139</v>
      </c>
      <c r="S651" t="s">
        <v>139</v>
      </c>
      <c r="T651" t="s">
        <v>139</v>
      </c>
      <c r="U651" s="11">
        <v>538855.4</v>
      </c>
      <c r="V651" s="12">
        <v>217854</v>
      </c>
      <c r="W651" s="11">
        <v>321001.40000000002</v>
      </c>
      <c r="X651" s="11" t="s">
        <v>139</v>
      </c>
      <c r="Y651" s="11" t="s">
        <v>139</v>
      </c>
      <c r="Z651" s="11">
        <v>402226.9</v>
      </c>
      <c r="AA651" s="11" t="s">
        <v>139</v>
      </c>
      <c r="AB651" s="11" t="s">
        <v>139</v>
      </c>
      <c r="AC651" s="11" t="s">
        <v>139</v>
      </c>
      <c r="AD651" s="11">
        <v>285118.8</v>
      </c>
      <c r="AE651" s="11" t="s">
        <v>139</v>
      </c>
      <c r="AF651" s="11">
        <v>91492</v>
      </c>
      <c r="AG651" s="11">
        <v>519848.1</v>
      </c>
      <c r="AH651" s="13">
        <v>5934153.2000000002</v>
      </c>
      <c r="AI651" s="11">
        <v>3652747.6</v>
      </c>
      <c r="AJ651" s="11">
        <v>911559.1</v>
      </c>
      <c r="AK651" s="11" t="s">
        <v>139</v>
      </c>
      <c r="AL651" s="11">
        <v>1424906.7</v>
      </c>
      <c r="AM651" s="11" t="s">
        <v>139</v>
      </c>
      <c r="AN651" s="11">
        <v>434214.5</v>
      </c>
      <c r="AO651" s="13">
        <v>5714051.0999999996</v>
      </c>
      <c r="AP651" s="11">
        <v>220102.2</v>
      </c>
      <c r="AQ651" s="11" t="s">
        <v>139</v>
      </c>
      <c r="AR651" s="11" t="s">
        <v>139</v>
      </c>
      <c r="AS651">
        <f t="shared" si="12"/>
        <v>4564306.7</v>
      </c>
      <c r="AT651">
        <f t="shared" si="11"/>
        <v>1.3001214839484823</v>
      </c>
    </row>
    <row r="652" spans="1:46" x14ac:dyDescent="0.4">
      <c r="A652" s="3" t="s">
        <v>783</v>
      </c>
      <c r="B652">
        <v>4825515.8</v>
      </c>
      <c r="C652">
        <v>1181439.3</v>
      </c>
      <c r="D652">
        <v>806795.7</v>
      </c>
      <c r="E652" t="s">
        <v>139</v>
      </c>
      <c r="F652" t="s">
        <v>139</v>
      </c>
      <c r="G652">
        <v>374643.6</v>
      </c>
      <c r="H652" t="s">
        <v>139</v>
      </c>
      <c r="I652" t="s">
        <v>139</v>
      </c>
      <c r="J652">
        <v>3644076.5</v>
      </c>
      <c r="K652">
        <v>1072962.7</v>
      </c>
      <c r="L652">
        <v>1624415.4</v>
      </c>
      <c r="M652" t="s">
        <v>139</v>
      </c>
      <c r="N652">
        <v>121939.5</v>
      </c>
      <c r="O652" t="s">
        <v>139</v>
      </c>
      <c r="P652" t="s">
        <v>139</v>
      </c>
      <c r="Q652" t="s">
        <v>139</v>
      </c>
      <c r="R652" t="s">
        <v>139</v>
      </c>
      <c r="S652" t="s">
        <v>139</v>
      </c>
      <c r="T652" t="s">
        <v>139</v>
      </c>
      <c r="U652" s="11">
        <v>543717.1</v>
      </c>
      <c r="V652" s="12">
        <v>222410.9</v>
      </c>
      <c r="W652" s="11">
        <v>321306.3</v>
      </c>
      <c r="X652" s="11" t="s">
        <v>139</v>
      </c>
      <c r="Y652" s="11" t="s">
        <v>139</v>
      </c>
      <c r="Z652" s="11">
        <v>402981.3</v>
      </c>
      <c r="AA652" s="11" t="s">
        <v>139</v>
      </c>
      <c r="AB652" s="11" t="s">
        <v>139</v>
      </c>
      <c r="AC652" s="11" t="s">
        <v>139</v>
      </c>
      <c r="AD652" s="11">
        <v>279831.3</v>
      </c>
      <c r="AE652" s="11" t="s">
        <v>139</v>
      </c>
      <c r="AF652" s="11">
        <v>90039.2</v>
      </c>
      <c r="AG652" s="11">
        <v>538170</v>
      </c>
      <c r="AH652" s="13">
        <v>5973716.5</v>
      </c>
      <c r="AI652" s="11">
        <v>3668253.4</v>
      </c>
      <c r="AJ652" s="11">
        <v>910051</v>
      </c>
      <c r="AK652" s="11" t="s">
        <v>139</v>
      </c>
      <c r="AL652" s="11">
        <v>1419638.6</v>
      </c>
      <c r="AM652" s="11" t="s">
        <v>139</v>
      </c>
      <c r="AN652" s="11">
        <v>447335.6</v>
      </c>
      <c r="AO652" s="13">
        <v>5736376.5999999996</v>
      </c>
      <c r="AP652" s="11">
        <v>237339.8</v>
      </c>
      <c r="AQ652" s="11" t="s">
        <v>139</v>
      </c>
      <c r="AR652" s="11" t="s">
        <v>139</v>
      </c>
      <c r="AS652">
        <f t="shared" si="12"/>
        <v>4578304.4000000004</v>
      </c>
      <c r="AT652">
        <f t="shared" si="11"/>
        <v>1.3047879691005253</v>
      </c>
    </row>
    <row r="653" spans="1:46" x14ac:dyDescent="0.4">
      <c r="A653" s="3" t="s">
        <v>784</v>
      </c>
      <c r="B653">
        <v>4818311.2</v>
      </c>
      <c r="C653">
        <v>1165916.6000000001</v>
      </c>
      <c r="D653">
        <v>796335.8</v>
      </c>
      <c r="E653" t="s">
        <v>139</v>
      </c>
      <c r="F653" t="s">
        <v>139</v>
      </c>
      <c r="G653">
        <v>369580.7</v>
      </c>
      <c r="H653" t="s">
        <v>139</v>
      </c>
      <c r="I653" t="s">
        <v>139</v>
      </c>
      <c r="J653">
        <v>3652394.6</v>
      </c>
      <c r="K653">
        <v>1077970.3999999999</v>
      </c>
      <c r="L653">
        <v>1625104.6</v>
      </c>
      <c r="M653" t="s">
        <v>139</v>
      </c>
      <c r="N653">
        <v>123707</v>
      </c>
      <c r="O653" t="s">
        <v>139</v>
      </c>
      <c r="P653" t="s">
        <v>139</v>
      </c>
      <c r="Q653" t="s">
        <v>139</v>
      </c>
      <c r="R653" t="s">
        <v>139</v>
      </c>
      <c r="S653" t="s">
        <v>139</v>
      </c>
      <c r="T653" t="s">
        <v>139</v>
      </c>
      <c r="U653" s="11">
        <v>544271.9</v>
      </c>
      <c r="V653" s="12">
        <v>220752.4</v>
      </c>
      <c r="W653" s="11">
        <v>323519.5</v>
      </c>
      <c r="X653" s="11" t="s">
        <v>139</v>
      </c>
      <c r="Y653" s="11" t="s">
        <v>139</v>
      </c>
      <c r="Z653" s="11">
        <v>405047.7</v>
      </c>
      <c r="AA653" s="11" t="s">
        <v>139</v>
      </c>
      <c r="AB653" s="11" t="s">
        <v>139</v>
      </c>
      <c r="AC653" s="11" t="s">
        <v>139</v>
      </c>
      <c r="AD653" s="11">
        <v>282244.90000000002</v>
      </c>
      <c r="AE653" s="11" t="s">
        <v>139</v>
      </c>
      <c r="AF653" s="11">
        <v>91958</v>
      </c>
      <c r="AG653" s="11">
        <v>548885.69999999995</v>
      </c>
      <c r="AH653" s="13">
        <v>5990969.9000000004</v>
      </c>
      <c r="AI653" s="11">
        <v>3679276.5</v>
      </c>
      <c r="AJ653" s="11">
        <v>905890.8</v>
      </c>
      <c r="AK653" s="11" t="s">
        <v>139</v>
      </c>
      <c r="AL653" s="11">
        <v>1404702.8</v>
      </c>
      <c r="AM653" s="11" t="s">
        <v>139</v>
      </c>
      <c r="AN653" s="11">
        <v>439474.5</v>
      </c>
      <c r="AO653" s="13">
        <v>5730192.0999999996</v>
      </c>
      <c r="AP653" s="11">
        <v>260777.8</v>
      </c>
      <c r="AQ653" s="11" t="s">
        <v>139</v>
      </c>
      <c r="AR653" s="11" t="s">
        <v>139</v>
      </c>
      <c r="AS653">
        <f t="shared" si="12"/>
        <v>4585167.3</v>
      </c>
      <c r="AT653">
        <f t="shared" si="11"/>
        <v>1.3065978857521732</v>
      </c>
    </row>
    <row r="654" spans="1:46" x14ac:dyDescent="0.4">
      <c r="A654" s="3" t="s">
        <v>785</v>
      </c>
      <c r="B654">
        <v>4832511.3</v>
      </c>
      <c r="C654">
        <v>1161836.6000000001</v>
      </c>
      <c r="D654">
        <v>786996</v>
      </c>
      <c r="E654" t="s">
        <v>139</v>
      </c>
      <c r="F654" t="s">
        <v>139</v>
      </c>
      <c r="G654">
        <v>374840.6</v>
      </c>
      <c r="H654" t="s">
        <v>139</v>
      </c>
      <c r="I654" t="s">
        <v>139</v>
      </c>
      <c r="J654">
        <v>3670674.7</v>
      </c>
      <c r="K654">
        <v>1080495.2</v>
      </c>
      <c r="L654">
        <v>1634706.8</v>
      </c>
      <c r="M654" t="s">
        <v>139</v>
      </c>
      <c r="N654">
        <v>125926.8</v>
      </c>
      <c r="O654" t="s">
        <v>139</v>
      </c>
      <c r="P654" t="s">
        <v>139</v>
      </c>
      <c r="Q654" t="s">
        <v>139</v>
      </c>
      <c r="R654" t="s">
        <v>139</v>
      </c>
      <c r="S654" t="s">
        <v>139</v>
      </c>
      <c r="T654" t="s">
        <v>139</v>
      </c>
      <c r="U654" s="11">
        <v>548263.80000000005</v>
      </c>
      <c r="V654" s="12">
        <v>222338.7</v>
      </c>
      <c r="W654" s="11">
        <v>325925.09999999998</v>
      </c>
      <c r="X654" s="11" t="s">
        <v>139</v>
      </c>
      <c r="Y654" s="11" t="s">
        <v>139</v>
      </c>
      <c r="Z654" s="11">
        <v>407208.9</v>
      </c>
      <c r="AA654" s="11" t="s">
        <v>139</v>
      </c>
      <c r="AB654" s="11" t="s">
        <v>139</v>
      </c>
      <c r="AC654" s="11" t="s">
        <v>139</v>
      </c>
      <c r="AD654" s="11">
        <v>272173.40000000002</v>
      </c>
      <c r="AE654" s="11" t="s">
        <v>139</v>
      </c>
      <c r="AF654" s="11">
        <v>92526.2</v>
      </c>
      <c r="AG654" s="11">
        <v>540377.30000000005</v>
      </c>
      <c r="AH654" s="13">
        <v>5990639.2999999998</v>
      </c>
      <c r="AI654" s="11">
        <v>3670462.4</v>
      </c>
      <c r="AJ654" s="11">
        <v>906168.1</v>
      </c>
      <c r="AK654" s="11" t="s">
        <v>139</v>
      </c>
      <c r="AL654" s="11">
        <v>1396500.4</v>
      </c>
      <c r="AM654" s="11" t="s">
        <v>139</v>
      </c>
      <c r="AN654" s="11">
        <v>442459.3</v>
      </c>
      <c r="AO654" s="13">
        <v>5716039.2000000002</v>
      </c>
      <c r="AP654" s="11">
        <v>274600.09999999998</v>
      </c>
      <c r="AQ654" s="11" t="s">
        <v>139</v>
      </c>
      <c r="AR654" s="11" t="s">
        <v>139</v>
      </c>
      <c r="AS654">
        <f t="shared" si="12"/>
        <v>4576630.5</v>
      </c>
      <c r="AT654">
        <f t="shared" si="11"/>
        <v>1.3089628494150882</v>
      </c>
    </row>
    <row r="655" spans="1:46" x14ac:dyDescent="0.4">
      <c r="A655" s="3" t="s">
        <v>786</v>
      </c>
      <c r="B655">
        <v>4866156.7</v>
      </c>
      <c r="C655">
        <v>1175824.3999999999</v>
      </c>
      <c r="D655">
        <v>789645.2</v>
      </c>
      <c r="E655" t="s">
        <v>139</v>
      </c>
      <c r="F655" t="s">
        <v>139</v>
      </c>
      <c r="G655">
        <v>386179.2</v>
      </c>
      <c r="H655" t="s">
        <v>139</v>
      </c>
      <c r="I655" t="s">
        <v>139</v>
      </c>
      <c r="J655">
        <v>3690332.3</v>
      </c>
      <c r="K655">
        <v>1085298.2</v>
      </c>
      <c r="L655">
        <v>1638747.8</v>
      </c>
      <c r="M655" t="s">
        <v>139</v>
      </c>
      <c r="N655">
        <v>127963.3</v>
      </c>
      <c r="O655" t="s">
        <v>139</v>
      </c>
      <c r="P655" t="s">
        <v>139</v>
      </c>
      <c r="Q655" t="s">
        <v>139</v>
      </c>
      <c r="R655" t="s">
        <v>139</v>
      </c>
      <c r="S655" t="s">
        <v>139</v>
      </c>
      <c r="T655" t="s">
        <v>139</v>
      </c>
      <c r="U655" s="11">
        <v>555531.4</v>
      </c>
      <c r="V655" s="12">
        <v>228197.3</v>
      </c>
      <c r="W655" s="11">
        <v>327334.09999999998</v>
      </c>
      <c r="X655" s="11" t="s">
        <v>139</v>
      </c>
      <c r="Y655" s="11" t="s">
        <v>139</v>
      </c>
      <c r="Z655" s="11">
        <v>410755</v>
      </c>
      <c r="AA655" s="11" t="s">
        <v>139</v>
      </c>
      <c r="AB655" s="11" t="s">
        <v>139</v>
      </c>
      <c r="AC655" s="11" t="s">
        <v>139</v>
      </c>
      <c r="AD655" s="11">
        <v>284336.3</v>
      </c>
      <c r="AE655" s="11" t="s">
        <v>139</v>
      </c>
      <c r="AF655" s="11">
        <v>91657.3</v>
      </c>
      <c r="AG655" s="11">
        <v>556091.30000000005</v>
      </c>
      <c r="AH655" s="13">
        <v>6067535.7999999998</v>
      </c>
      <c r="AI655" s="11">
        <v>3724070.7</v>
      </c>
      <c r="AJ655" s="11">
        <v>922511.8</v>
      </c>
      <c r="AK655" s="11" t="s">
        <v>139</v>
      </c>
      <c r="AL655" s="11">
        <v>1434993.6</v>
      </c>
      <c r="AM655" s="11" t="s">
        <v>139</v>
      </c>
      <c r="AN655" s="11">
        <v>452383.4</v>
      </c>
      <c r="AO655" s="13">
        <v>5809431.7999999998</v>
      </c>
      <c r="AP655" s="11">
        <v>258103.9</v>
      </c>
      <c r="AQ655" s="11" t="s">
        <v>139</v>
      </c>
      <c r="AR655" s="11" t="s">
        <v>139</v>
      </c>
      <c r="AS655">
        <f t="shared" si="12"/>
        <v>4646582.5</v>
      </c>
      <c r="AT655">
        <f t="shared" si="11"/>
        <v>1.305806105885347</v>
      </c>
    </row>
    <row r="656" spans="1:46" x14ac:dyDescent="0.4">
      <c r="A656" s="3" t="s">
        <v>787</v>
      </c>
      <c r="B656">
        <v>4900291.2</v>
      </c>
      <c r="C656">
        <v>1191540.7</v>
      </c>
      <c r="D656">
        <v>791748.8</v>
      </c>
      <c r="E656" t="s">
        <v>139</v>
      </c>
      <c r="F656" t="s">
        <v>139</v>
      </c>
      <c r="G656">
        <v>399791.8</v>
      </c>
      <c r="H656" t="s">
        <v>139</v>
      </c>
      <c r="I656" t="s">
        <v>139</v>
      </c>
      <c r="J656">
        <v>3708750.5</v>
      </c>
      <c r="K656">
        <v>1094094.2</v>
      </c>
      <c r="L656">
        <v>1641718.4</v>
      </c>
      <c r="M656" t="s">
        <v>139</v>
      </c>
      <c r="N656">
        <v>128653.5</v>
      </c>
      <c r="O656" t="s">
        <v>139</v>
      </c>
      <c r="P656" t="s">
        <v>139</v>
      </c>
      <c r="Q656" t="s">
        <v>139</v>
      </c>
      <c r="R656" t="s">
        <v>139</v>
      </c>
      <c r="S656" t="s">
        <v>139</v>
      </c>
      <c r="T656" t="s">
        <v>139</v>
      </c>
      <c r="U656" s="11">
        <v>558590.1</v>
      </c>
      <c r="V656" s="12">
        <v>230967.4</v>
      </c>
      <c r="W656" s="11">
        <v>327622.7</v>
      </c>
      <c r="X656" s="11" t="s">
        <v>139</v>
      </c>
      <c r="Y656" s="11" t="s">
        <v>139</v>
      </c>
      <c r="Z656" s="11">
        <v>414347.8</v>
      </c>
      <c r="AA656" s="11" t="s">
        <v>139</v>
      </c>
      <c r="AB656" s="11" t="s">
        <v>139</v>
      </c>
      <c r="AC656" s="11" t="s">
        <v>139</v>
      </c>
      <c r="AD656" s="11">
        <v>294279.3</v>
      </c>
      <c r="AE656" s="11" t="s">
        <v>139</v>
      </c>
      <c r="AF656" s="11">
        <v>94171</v>
      </c>
      <c r="AG656" s="11">
        <v>578185.6</v>
      </c>
      <c r="AH656" s="13">
        <v>6151019.0999999996</v>
      </c>
      <c r="AI656" s="11">
        <v>3757823.8</v>
      </c>
      <c r="AJ656" s="11">
        <v>930598.1</v>
      </c>
      <c r="AK656" s="11" t="s">
        <v>139</v>
      </c>
      <c r="AL656" s="11">
        <v>1468114.2</v>
      </c>
      <c r="AM656" s="11" t="s">
        <v>139</v>
      </c>
      <c r="AN656" s="11">
        <v>473643.3</v>
      </c>
      <c r="AO656" s="13">
        <v>5877247</v>
      </c>
      <c r="AP656" s="11">
        <v>273772.2</v>
      </c>
      <c r="AQ656" s="11" t="s">
        <v>139</v>
      </c>
      <c r="AR656" s="11" t="s">
        <v>139</v>
      </c>
      <c r="AS656">
        <f t="shared" si="12"/>
        <v>4688421.8999999994</v>
      </c>
      <c r="AT656">
        <f t="shared" si="11"/>
        <v>1.3119593823243596</v>
      </c>
    </row>
    <row r="657" spans="1:46" x14ac:dyDescent="0.4">
      <c r="A657" s="3" t="s">
        <v>788</v>
      </c>
      <c r="B657">
        <v>4903947.2</v>
      </c>
      <c r="C657">
        <v>1181788.5</v>
      </c>
      <c r="D657">
        <v>779036.4</v>
      </c>
      <c r="E657" t="s">
        <v>139</v>
      </c>
      <c r="F657" t="s">
        <v>139</v>
      </c>
      <c r="G657">
        <v>402752.1</v>
      </c>
      <c r="H657" t="s">
        <v>139</v>
      </c>
      <c r="I657" t="s">
        <v>139</v>
      </c>
      <c r="J657">
        <v>3722158.7</v>
      </c>
      <c r="K657">
        <v>1094338.1000000001</v>
      </c>
      <c r="L657">
        <v>1654788.7</v>
      </c>
      <c r="M657" t="s">
        <v>139</v>
      </c>
      <c r="N657">
        <v>130605.7</v>
      </c>
      <c r="O657" t="s">
        <v>139</v>
      </c>
      <c r="P657" t="s">
        <v>139</v>
      </c>
      <c r="Q657" t="s">
        <v>139</v>
      </c>
      <c r="R657" t="s">
        <v>139</v>
      </c>
      <c r="S657" t="s">
        <v>139</v>
      </c>
      <c r="T657" t="s">
        <v>139</v>
      </c>
      <c r="U657" s="11">
        <v>557858</v>
      </c>
      <c r="V657" s="12">
        <v>229551.1</v>
      </c>
      <c r="W657" s="11">
        <v>328306.90000000002</v>
      </c>
      <c r="X657" s="11" t="s">
        <v>139</v>
      </c>
      <c r="Y657" s="11" t="s">
        <v>139</v>
      </c>
      <c r="Z657" s="11">
        <v>415173.9</v>
      </c>
      <c r="AA657" s="11" t="s">
        <v>139</v>
      </c>
      <c r="AB657" s="11" t="s">
        <v>139</v>
      </c>
      <c r="AC657" s="11" t="s">
        <v>139</v>
      </c>
      <c r="AD657" s="11">
        <v>280046.5</v>
      </c>
      <c r="AE657" s="11" t="s">
        <v>139</v>
      </c>
      <c r="AF657" s="11">
        <v>94384.7</v>
      </c>
      <c r="AG657" s="11">
        <v>574179.4</v>
      </c>
      <c r="AH657" s="13">
        <v>6137968.4000000004</v>
      </c>
      <c r="AI657" s="11">
        <v>3773843.3</v>
      </c>
      <c r="AJ657" s="11">
        <v>926593</v>
      </c>
      <c r="AK657" s="11" t="s">
        <v>139</v>
      </c>
      <c r="AL657" s="11">
        <v>1463301.6</v>
      </c>
      <c r="AM657" s="11" t="s">
        <v>139</v>
      </c>
      <c r="AN657" s="11">
        <v>474153</v>
      </c>
      <c r="AO657" s="13">
        <v>5870782.7000000002</v>
      </c>
      <c r="AP657" s="11">
        <v>267185.7</v>
      </c>
      <c r="AQ657" s="11" t="s">
        <v>139</v>
      </c>
      <c r="AR657" s="11" t="s">
        <v>139</v>
      </c>
      <c r="AS657">
        <f t="shared" si="12"/>
        <v>4700436.3</v>
      </c>
      <c r="AT657">
        <f t="shared" si="11"/>
        <v>1.3058295035292788</v>
      </c>
    </row>
    <row r="658" spans="1:46" x14ac:dyDescent="0.4">
      <c r="A658" s="3" t="s">
        <v>789</v>
      </c>
      <c r="B658">
        <v>4912199.7</v>
      </c>
      <c r="C658">
        <v>1178407.8999999999</v>
      </c>
      <c r="D658">
        <v>767414.1</v>
      </c>
      <c r="E658" t="s">
        <v>139</v>
      </c>
      <c r="F658" t="s">
        <v>139</v>
      </c>
      <c r="G658">
        <v>410993.8</v>
      </c>
      <c r="H658" t="s">
        <v>139</v>
      </c>
      <c r="I658" t="s">
        <v>139</v>
      </c>
      <c r="J658">
        <v>3733791.8</v>
      </c>
      <c r="K658">
        <v>1091987.7</v>
      </c>
      <c r="L658">
        <v>1668379.5</v>
      </c>
      <c r="M658" t="s">
        <v>139</v>
      </c>
      <c r="N658">
        <v>132024.29999999999</v>
      </c>
      <c r="O658" t="s">
        <v>139</v>
      </c>
      <c r="P658" t="s">
        <v>139</v>
      </c>
      <c r="Q658" t="s">
        <v>139</v>
      </c>
      <c r="R658" t="s">
        <v>139</v>
      </c>
      <c r="S658" t="s">
        <v>139</v>
      </c>
      <c r="T658" t="s">
        <v>139</v>
      </c>
      <c r="U658" s="11">
        <v>557205.5</v>
      </c>
      <c r="V658" s="12">
        <v>228144.8</v>
      </c>
      <c r="W658" s="11">
        <v>329060.59999999998</v>
      </c>
      <c r="X658" s="11" t="s">
        <v>139</v>
      </c>
      <c r="Y658" s="11" t="s">
        <v>139</v>
      </c>
      <c r="Z658" s="11">
        <v>416219.2</v>
      </c>
      <c r="AA658" s="11" t="s">
        <v>139</v>
      </c>
      <c r="AB658" s="11" t="s">
        <v>139</v>
      </c>
      <c r="AC658" s="11" t="s">
        <v>139</v>
      </c>
      <c r="AD658" s="11">
        <v>279177.5</v>
      </c>
      <c r="AE658" s="11" t="s">
        <v>139</v>
      </c>
      <c r="AF658" s="11">
        <v>93021.2</v>
      </c>
      <c r="AG658" s="11">
        <v>601100.80000000005</v>
      </c>
      <c r="AH658" s="13">
        <v>6188791.5</v>
      </c>
      <c r="AI658" s="11">
        <v>3804924</v>
      </c>
      <c r="AJ658" s="11">
        <v>932149.4</v>
      </c>
      <c r="AK658" s="11" t="s">
        <v>139</v>
      </c>
      <c r="AL658" s="11">
        <v>1465086.6</v>
      </c>
      <c r="AM658" s="11" t="s">
        <v>139</v>
      </c>
      <c r="AN658" s="11">
        <v>496426.4</v>
      </c>
      <c r="AO658" s="13">
        <v>5919212.5999999996</v>
      </c>
      <c r="AP658" s="11">
        <v>269578.90000000002</v>
      </c>
      <c r="AQ658" s="11" t="s">
        <v>139</v>
      </c>
      <c r="AR658" s="11" t="s">
        <v>139</v>
      </c>
      <c r="AS658">
        <f t="shared" si="12"/>
        <v>4737073.4000000004</v>
      </c>
      <c r="AT658">
        <f t="shared" si="11"/>
        <v>1.3064588570656304</v>
      </c>
    </row>
    <row r="659" spans="1:46" x14ac:dyDescent="0.4">
      <c r="A659" s="3" t="s">
        <v>790</v>
      </c>
      <c r="B659">
        <v>4932370.4000000004</v>
      </c>
      <c r="C659">
        <v>1184111.1000000001</v>
      </c>
      <c r="D659">
        <v>768937.7</v>
      </c>
      <c r="E659" t="s">
        <v>139</v>
      </c>
      <c r="F659" t="s">
        <v>139</v>
      </c>
      <c r="G659">
        <v>415173.4</v>
      </c>
      <c r="H659" t="s">
        <v>139</v>
      </c>
      <c r="I659" t="s">
        <v>139</v>
      </c>
      <c r="J659">
        <v>3748259.2</v>
      </c>
      <c r="K659">
        <v>1089163.6000000001</v>
      </c>
      <c r="L659">
        <v>1682457</v>
      </c>
      <c r="M659" t="s">
        <v>139</v>
      </c>
      <c r="N659">
        <v>133027.29999999999</v>
      </c>
      <c r="O659" t="s">
        <v>139</v>
      </c>
      <c r="P659" t="s">
        <v>139</v>
      </c>
      <c r="Q659" t="s">
        <v>139</v>
      </c>
      <c r="R659" t="s">
        <v>139</v>
      </c>
      <c r="S659" t="s">
        <v>139</v>
      </c>
      <c r="T659" t="s">
        <v>139</v>
      </c>
      <c r="U659" s="11">
        <v>561350.19999999995</v>
      </c>
      <c r="V659" s="12">
        <v>232200.8</v>
      </c>
      <c r="W659" s="11">
        <v>329149.40000000002</v>
      </c>
      <c r="X659" s="11" t="s">
        <v>139</v>
      </c>
      <c r="Y659" s="11" t="s">
        <v>139</v>
      </c>
      <c r="Z659" s="11">
        <v>415288.4</v>
      </c>
      <c r="AA659" s="11" t="s">
        <v>139</v>
      </c>
      <c r="AB659" s="11" t="s">
        <v>139</v>
      </c>
      <c r="AC659" s="11" t="s">
        <v>139</v>
      </c>
      <c r="AD659" s="11">
        <v>278363.09999999998</v>
      </c>
      <c r="AE659" s="11" t="s">
        <v>139</v>
      </c>
      <c r="AF659" s="11">
        <v>93971.5</v>
      </c>
      <c r="AG659" s="11">
        <v>607461.80000000005</v>
      </c>
      <c r="AH659" s="13">
        <v>6229042.7000000002</v>
      </c>
      <c r="AI659" s="11">
        <v>3843682.6</v>
      </c>
      <c r="AJ659" s="11">
        <v>939485.7</v>
      </c>
      <c r="AK659" s="11" t="s">
        <v>139</v>
      </c>
      <c r="AL659" s="11">
        <v>1483196.1</v>
      </c>
      <c r="AM659" s="11" t="s">
        <v>139</v>
      </c>
      <c r="AN659" s="11">
        <v>496657.1</v>
      </c>
      <c r="AO659" s="13">
        <v>5948783.7000000002</v>
      </c>
      <c r="AP659" s="11">
        <v>280259</v>
      </c>
      <c r="AQ659" s="11" t="s">
        <v>139</v>
      </c>
      <c r="AR659" s="11" t="s">
        <v>139</v>
      </c>
      <c r="AS659">
        <f t="shared" si="12"/>
        <v>4783168.3</v>
      </c>
      <c r="AT659">
        <f t="shared" si="11"/>
        <v>1.3022838230467451</v>
      </c>
    </row>
    <row r="660" spans="1:46" x14ac:dyDescent="0.4">
      <c r="A660" s="3" t="s">
        <v>791</v>
      </c>
      <c r="B660">
        <v>4953279.7</v>
      </c>
      <c r="C660">
        <v>1192847.1000000001</v>
      </c>
      <c r="D660">
        <v>771057.8</v>
      </c>
      <c r="E660" t="s">
        <v>139</v>
      </c>
      <c r="F660" t="s">
        <v>139</v>
      </c>
      <c r="G660">
        <v>421789.3</v>
      </c>
      <c r="H660" t="s">
        <v>139</v>
      </c>
      <c r="I660" t="s">
        <v>139</v>
      </c>
      <c r="J660">
        <v>3760432.6</v>
      </c>
      <c r="K660">
        <v>1084145.7</v>
      </c>
      <c r="L660">
        <v>1695265.6</v>
      </c>
      <c r="M660" t="s">
        <v>139</v>
      </c>
      <c r="N660">
        <v>135112.1</v>
      </c>
      <c r="O660" t="s">
        <v>139</v>
      </c>
      <c r="P660" t="s">
        <v>139</v>
      </c>
      <c r="Q660" t="s">
        <v>139</v>
      </c>
      <c r="R660" t="s">
        <v>139</v>
      </c>
      <c r="S660" t="s">
        <v>139</v>
      </c>
      <c r="T660" t="s">
        <v>139</v>
      </c>
      <c r="U660" s="11">
        <v>566114.6</v>
      </c>
      <c r="V660" s="12">
        <v>235574.1</v>
      </c>
      <c r="W660" s="11">
        <v>330540.5</v>
      </c>
      <c r="X660" s="11" t="s">
        <v>139</v>
      </c>
      <c r="Y660" s="11" t="s">
        <v>139</v>
      </c>
      <c r="Z660" s="11">
        <v>414906.6</v>
      </c>
      <c r="AA660" s="11" t="s">
        <v>139</v>
      </c>
      <c r="AB660" s="11" t="s">
        <v>139</v>
      </c>
      <c r="AC660" s="11" t="s">
        <v>139</v>
      </c>
      <c r="AD660" s="11">
        <v>277078.2</v>
      </c>
      <c r="AE660" s="11" t="s">
        <v>139</v>
      </c>
      <c r="AF660" s="11">
        <v>90243.199999999997</v>
      </c>
      <c r="AG660" s="11">
        <v>598466.1</v>
      </c>
      <c r="AH660" s="13">
        <v>6219285.4000000004</v>
      </c>
      <c r="AI660" s="11">
        <v>3868076.4</v>
      </c>
      <c r="AJ660" s="11">
        <v>946589</v>
      </c>
      <c r="AK660" s="11" t="s">
        <v>139</v>
      </c>
      <c r="AL660" s="11">
        <v>1453394.8</v>
      </c>
      <c r="AM660" s="11" t="s">
        <v>139</v>
      </c>
      <c r="AN660" s="11">
        <v>496367.1</v>
      </c>
      <c r="AO660" s="13">
        <v>5946266.5</v>
      </c>
      <c r="AP660" s="11">
        <v>273018.8</v>
      </c>
      <c r="AQ660" s="11" t="s">
        <v>139</v>
      </c>
      <c r="AR660" s="11" t="s">
        <v>139</v>
      </c>
      <c r="AS660">
        <f t="shared" si="12"/>
        <v>4814665.4000000004</v>
      </c>
      <c r="AT660">
        <f t="shared" si="11"/>
        <v>1.2917378225286433</v>
      </c>
    </row>
    <row r="661" spans="1:46" x14ac:dyDescent="0.4">
      <c r="A661" s="3" t="s">
        <v>792</v>
      </c>
      <c r="B661">
        <v>4951726.3</v>
      </c>
      <c r="C661">
        <v>1201595.8999999999</v>
      </c>
      <c r="D661">
        <v>771163.3</v>
      </c>
      <c r="E661" t="s">
        <v>139</v>
      </c>
      <c r="F661" t="s">
        <v>139</v>
      </c>
      <c r="G661">
        <v>430432.6</v>
      </c>
      <c r="H661" t="s">
        <v>139</v>
      </c>
      <c r="I661" t="s">
        <v>139</v>
      </c>
      <c r="J661">
        <v>3750130.5</v>
      </c>
      <c r="K661">
        <v>1072034.5</v>
      </c>
      <c r="L661">
        <v>1700033.7</v>
      </c>
      <c r="M661" t="s">
        <v>139</v>
      </c>
      <c r="N661">
        <v>136185.20000000001</v>
      </c>
      <c r="O661" t="s">
        <v>139</v>
      </c>
      <c r="P661" t="s">
        <v>139</v>
      </c>
      <c r="Q661" t="s">
        <v>139</v>
      </c>
      <c r="R661" t="s">
        <v>139</v>
      </c>
      <c r="S661" t="s">
        <v>139</v>
      </c>
      <c r="T661" t="s">
        <v>139</v>
      </c>
      <c r="U661" s="11">
        <v>564557.4</v>
      </c>
      <c r="V661" s="12">
        <v>233267.1</v>
      </c>
      <c r="W661" s="11">
        <v>331290.3</v>
      </c>
      <c r="X661" s="11" t="s">
        <v>139</v>
      </c>
      <c r="Y661" s="11" t="s">
        <v>139</v>
      </c>
      <c r="Z661" s="11">
        <v>413504.8</v>
      </c>
      <c r="AA661" s="11" t="s">
        <v>139</v>
      </c>
      <c r="AB661" s="11" t="s">
        <v>139</v>
      </c>
      <c r="AC661" s="11" t="s">
        <v>139</v>
      </c>
      <c r="AD661" s="11">
        <v>272266.3</v>
      </c>
      <c r="AE661" s="11" t="s">
        <v>139</v>
      </c>
      <c r="AF661" s="11">
        <v>87646.2</v>
      </c>
      <c r="AG661" s="11">
        <v>598723.1</v>
      </c>
      <c r="AH661" s="13">
        <v>6207554.5999999996</v>
      </c>
      <c r="AI661" s="11">
        <v>3882781.4</v>
      </c>
      <c r="AJ661" s="11">
        <v>950865.7</v>
      </c>
      <c r="AK661" s="11" t="s">
        <v>139</v>
      </c>
      <c r="AL661" s="11">
        <v>1433649.4</v>
      </c>
      <c r="AM661" s="11" t="s">
        <v>139</v>
      </c>
      <c r="AN661" s="11">
        <v>496091</v>
      </c>
      <c r="AO661" s="13">
        <v>5932611.4000000004</v>
      </c>
      <c r="AP661" s="11">
        <v>274943.2</v>
      </c>
      <c r="AQ661" s="11" t="s">
        <v>139</v>
      </c>
      <c r="AR661" s="11" t="s">
        <v>139</v>
      </c>
      <c r="AS661">
        <f t="shared" si="12"/>
        <v>4833647.0999999996</v>
      </c>
      <c r="AT661">
        <f t="shared" si="11"/>
        <v>1.2842382721734071</v>
      </c>
    </row>
    <row r="662" spans="1:46" x14ac:dyDescent="0.4">
      <c r="A662" s="3" t="s">
        <v>793</v>
      </c>
      <c r="B662">
        <v>4949784.8</v>
      </c>
      <c r="C662">
        <v>1210496.3</v>
      </c>
      <c r="D662">
        <v>779004.7</v>
      </c>
      <c r="E662" t="s">
        <v>139</v>
      </c>
      <c r="F662" t="s">
        <v>139</v>
      </c>
      <c r="G662">
        <v>431491.7</v>
      </c>
      <c r="H662" t="s">
        <v>139</v>
      </c>
      <c r="I662" t="s">
        <v>139</v>
      </c>
      <c r="J662">
        <v>3739288.4</v>
      </c>
      <c r="K662">
        <v>1063971.6000000001</v>
      </c>
      <c r="L662">
        <v>1702578</v>
      </c>
      <c r="M662" t="s">
        <v>139</v>
      </c>
      <c r="N662">
        <v>137907.6</v>
      </c>
      <c r="O662" t="s">
        <v>139</v>
      </c>
      <c r="P662" t="s">
        <v>139</v>
      </c>
      <c r="Q662" t="s">
        <v>139</v>
      </c>
      <c r="R662" t="s">
        <v>139</v>
      </c>
      <c r="S662" t="s">
        <v>139</v>
      </c>
      <c r="T662" t="s">
        <v>139</v>
      </c>
      <c r="U662" s="11">
        <v>564153</v>
      </c>
      <c r="V662" s="12">
        <v>231746.9</v>
      </c>
      <c r="W662" s="11">
        <v>332406.09999999998</v>
      </c>
      <c r="X662" s="11" t="s">
        <v>139</v>
      </c>
      <c r="Y662" s="11" t="s">
        <v>139</v>
      </c>
      <c r="Z662" s="11">
        <v>408585.8</v>
      </c>
      <c r="AA662" s="11" t="s">
        <v>139</v>
      </c>
      <c r="AB662" s="11" t="s">
        <v>139</v>
      </c>
      <c r="AC662" s="11" t="s">
        <v>139</v>
      </c>
      <c r="AD662" s="11">
        <v>283972.90000000002</v>
      </c>
      <c r="AE662" s="11" t="s">
        <v>139</v>
      </c>
      <c r="AF662" s="11">
        <v>87697.600000000006</v>
      </c>
      <c r="AG662" s="11">
        <v>594023.6</v>
      </c>
      <c r="AH662" s="13">
        <v>6222302.5999999996</v>
      </c>
      <c r="AI662" s="11">
        <v>3899175.7</v>
      </c>
      <c r="AJ662" s="11">
        <v>943147.2</v>
      </c>
      <c r="AK662" s="11" t="s">
        <v>139</v>
      </c>
      <c r="AL662" s="11">
        <v>1453710.6</v>
      </c>
      <c r="AM662" s="11" t="s">
        <v>139</v>
      </c>
      <c r="AN662" s="11">
        <v>481801.9</v>
      </c>
      <c r="AO662" s="13">
        <v>5954753.0999999996</v>
      </c>
      <c r="AP662" s="11">
        <v>267549.40000000002</v>
      </c>
      <c r="AQ662" s="11" t="s">
        <v>139</v>
      </c>
      <c r="AR662" s="11" t="s">
        <v>139</v>
      </c>
      <c r="AS662">
        <f t="shared" si="12"/>
        <v>4842322.9000000004</v>
      </c>
      <c r="AT662">
        <f t="shared" si="11"/>
        <v>1.284982998552203</v>
      </c>
    </row>
    <row r="663" spans="1:46" x14ac:dyDescent="0.4">
      <c r="A663" s="3" t="s">
        <v>794</v>
      </c>
      <c r="B663">
        <v>4949349</v>
      </c>
      <c r="C663">
        <v>1223580.5</v>
      </c>
      <c r="D663">
        <v>792086.8</v>
      </c>
      <c r="E663" t="s">
        <v>139</v>
      </c>
      <c r="F663" t="s">
        <v>139</v>
      </c>
      <c r="G663">
        <v>431493.7</v>
      </c>
      <c r="H663" t="s">
        <v>139</v>
      </c>
      <c r="I663" t="s">
        <v>139</v>
      </c>
      <c r="J663">
        <v>3725768.5</v>
      </c>
      <c r="K663">
        <v>1055858.2</v>
      </c>
      <c r="L663">
        <v>1703909.3</v>
      </c>
      <c r="M663" t="s">
        <v>139</v>
      </c>
      <c r="N663">
        <v>140432.79999999999</v>
      </c>
      <c r="O663" t="s">
        <v>139</v>
      </c>
      <c r="P663" t="s">
        <v>139</v>
      </c>
      <c r="Q663" t="s">
        <v>139</v>
      </c>
      <c r="R663" t="s">
        <v>139</v>
      </c>
      <c r="S663" t="s">
        <v>139</v>
      </c>
      <c r="T663" t="s">
        <v>139</v>
      </c>
      <c r="U663" s="11">
        <v>566727.4</v>
      </c>
      <c r="V663" s="12">
        <v>233757.4</v>
      </c>
      <c r="W663" s="11">
        <v>332969.90000000002</v>
      </c>
      <c r="X663" s="11" t="s">
        <v>139</v>
      </c>
      <c r="Y663" s="11" t="s">
        <v>139</v>
      </c>
      <c r="Z663" s="11">
        <v>399273.7</v>
      </c>
      <c r="AA663" s="11" t="s">
        <v>139</v>
      </c>
      <c r="AB663" s="11" t="s">
        <v>139</v>
      </c>
      <c r="AC663" s="11" t="s">
        <v>139</v>
      </c>
      <c r="AD663" s="11">
        <v>280935.3</v>
      </c>
      <c r="AE663" s="11" t="s">
        <v>139</v>
      </c>
      <c r="AF663" s="11">
        <v>90316.3</v>
      </c>
      <c r="AG663" s="11">
        <v>612200.19999999995</v>
      </c>
      <c r="AH663" s="13">
        <v>6252471.2999999998</v>
      </c>
      <c r="AI663" s="11">
        <v>3907861.7</v>
      </c>
      <c r="AJ663" s="11">
        <v>934910.1</v>
      </c>
      <c r="AK663" s="11" t="s">
        <v>139</v>
      </c>
      <c r="AL663" s="11">
        <v>1456015.9</v>
      </c>
      <c r="AM663" s="11" t="s">
        <v>139</v>
      </c>
      <c r="AN663" s="11">
        <v>497938.4</v>
      </c>
      <c r="AO663" s="13">
        <v>5976166.9000000004</v>
      </c>
      <c r="AP663" s="11">
        <v>276304.5</v>
      </c>
      <c r="AQ663" s="11" t="s">
        <v>139</v>
      </c>
      <c r="AR663" s="11" t="s">
        <v>139</v>
      </c>
      <c r="AS663">
        <f t="shared" si="12"/>
        <v>4842771.8</v>
      </c>
      <c r="AT663">
        <f t="shared" si="11"/>
        <v>1.2910935221023629</v>
      </c>
    </row>
    <row r="664" spans="1:46" x14ac:dyDescent="0.4">
      <c r="A664" s="3" t="s">
        <v>795</v>
      </c>
      <c r="B664">
        <v>5026770.5</v>
      </c>
      <c r="C664">
        <v>1239177.7</v>
      </c>
      <c r="D664">
        <v>805609.9</v>
      </c>
      <c r="E664" t="s">
        <v>139</v>
      </c>
      <c r="F664" t="s">
        <v>139</v>
      </c>
      <c r="G664">
        <v>433567.7</v>
      </c>
      <c r="H664" t="s">
        <v>139</v>
      </c>
      <c r="I664" t="s">
        <v>139</v>
      </c>
      <c r="J664">
        <v>3787592.8</v>
      </c>
      <c r="K664">
        <v>1059274.2</v>
      </c>
      <c r="L664">
        <v>1714161.5</v>
      </c>
      <c r="M664" t="s">
        <v>139</v>
      </c>
      <c r="N664">
        <v>143962.4</v>
      </c>
      <c r="O664" t="s">
        <v>139</v>
      </c>
      <c r="P664" t="s">
        <v>139</v>
      </c>
      <c r="Q664" t="s">
        <v>139</v>
      </c>
      <c r="R664" t="s">
        <v>139</v>
      </c>
      <c r="S664" t="s">
        <v>139</v>
      </c>
      <c r="T664" t="s">
        <v>139</v>
      </c>
      <c r="U664" s="11">
        <v>567191.5</v>
      </c>
      <c r="V664" s="12">
        <v>232893.4</v>
      </c>
      <c r="W664" s="11">
        <v>334298.09999999998</v>
      </c>
      <c r="X664" s="11" t="s">
        <v>139</v>
      </c>
      <c r="Y664" s="11" t="s">
        <v>139</v>
      </c>
      <c r="Z664" s="11">
        <v>446965.5</v>
      </c>
      <c r="AA664" s="11" t="s">
        <v>139</v>
      </c>
      <c r="AB664" s="11" t="s">
        <v>139</v>
      </c>
      <c r="AC664" s="11" t="s">
        <v>139</v>
      </c>
      <c r="AD664" s="11">
        <v>324511.2</v>
      </c>
      <c r="AE664" s="11" t="s">
        <v>139</v>
      </c>
      <c r="AF664" s="11">
        <v>93105.600000000006</v>
      </c>
      <c r="AG664" s="11">
        <v>666089</v>
      </c>
      <c r="AH664" s="13">
        <v>6474623.7000000002</v>
      </c>
      <c r="AI664" s="11">
        <v>4038806.1</v>
      </c>
      <c r="AJ664" s="11">
        <v>943467.8</v>
      </c>
      <c r="AK664" s="11" t="s">
        <v>139</v>
      </c>
      <c r="AL664" s="11">
        <v>1504362.4</v>
      </c>
      <c r="AM664" s="11" t="s">
        <v>139</v>
      </c>
      <c r="AN664" s="11">
        <v>531491.5</v>
      </c>
      <c r="AO664" s="13">
        <v>6190016.4000000004</v>
      </c>
      <c r="AP664" s="11">
        <v>284607.3</v>
      </c>
      <c r="AQ664" s="11" t="s">
        <v>139</v>
      </c>
      <c r="AR664" s="11" t="s">
        <v>139</v>
      </c>
      <c r="AS664">
        <f t="shared" si="12"/>
        <v>4982273.9000000004</v>
      </c>
      <c r="AT664">
        <f t="shared" si="11"/>
        <v>1.2995318663632682</v>
      </c>
    </row>
    <row r="665" spans="1:46" x14ac:dyDescent="0.4">
      <c r="A665" s="3" t="s">
        <v>796</v>
      </c>
      <c r="B665">
        <v>5002428.5999999996</v>
      </c>
      <c r="C665">
        <v>1258588.8</v>
      </c>
      <c r="D665">
        <v>823853.4</v>
      </c>
      <c r="E665" t="s">
        <v>139</v>
      </c>
      <c r="F665" t="s">
        <v>139</v>
      </c>
      <c r="G665">
        <v>434735.4</v>
      </c>
      <c r="H665" t="s">
        <v>139</v>
      </c>
      <c r="I665" t="s">
        <v>139</v>
      </c>
      <c r="J665">
        <v>3743839.7</v>
      </c>
      <c r="K665">
        <v>1044586.4</v>
      </c>
      <c r="L665">
        <v>1717227.7</v>
      </c>
      <c r="M665" t="s">
        <v>139</v>
      </c>
      <c r="N665">
        <v>147813.9</v>
      </c>
      <c r="O665" t="s">
        <v>139</v>
      </c>
      <c r="P665" t="s">
        <v>139</v>
      </c>
      <c r="Q665" t="s">
        <v>139</v>
      </c>
      <c r="R665" t="s">
        <v>139</v>
      </c>
      <c r="S665" t="s">
        <v>139</v>
      </c>
      <c r="T665" t="s">
        <v>139</v>
      </c>
      <c r="U665" s="11">
        <v>566487.19999999995</v>
      </c>
      <c r="V665" s="12">
        <v>233647.6</v>
      </c>
      <c r="W665" s="11">
        <v>332839.59999999998</v>
      </c>
      <c r="X665" s="11" t="s">
        <v>139</v>
      </c>
      <c r="Y665" s="11" t="s">
        <v>139</v>
      </c>
      <c r="Z665" s="11">
        <v>415538.4</v>
      </c>
      <c r="AA665" s="11" t="s">
        <v>139</v>
      </c>
      <c r="AB665" s="11" t="s">
        <v>139</v>
      </c>
      <c r="AC665" s="11" t="s">
        <v>139</v>
      </c>
      <c r="AD665" s="11">
        <v>302765</v>
      </c>
      <c r="AE665" s="11" t="s">
        <v>139</v>
      </c>
      <c r="AF665" s="11">
        <v>96034.2</v>
      </c>
      <c r="AG665" s="11">
        <v>689050.7</v>
      </c>
      <c r="AH665" s="13">
        <v>6387300.0999999996</v>
      </c>
      <c r="AI665" s="11">
        <v>3991432.1</v>
      </c>
      <c r="AJ665" s="11">
        <v>955768.8</v>
      </c>
      <c r="AK665" s="11" t="s">
        <v>139</v>
      </c>
      <c r="AL665" s="11">
        <v>1481331.1</v>
      </c>
      <c r="AM665" s="11" t="s">
        <v>139</v>
      </c>
      <c r="AN665" s="11">
        <v>508576.7</v>
      </c>
      <c r="AO665" s="13">
        <v>6079653.4000000004</v>
      </c>
      <c r="AP665" s="11">
        <v>307646.7</v>
      </c>
      <c r="AQ665" s="11" t="s">
        <v>139</v>
      </c>
      <c r="AR665" s="11" t="s">
        <v>139</v>
      </c>
      <c r="AS665">
        <f t="shared" si="12"/>
        <v>4947200.9000000004</v>
      </c>
      <c r="AT665">
        <f t="shared" si="11"/>
        <v>1.2910937374708189</v>
      </c>
    </row>
    <row r="666" spans="1:46" x14ac:dyDescent="0.4">
      <c r="A666" s="3" t="s">
        <v>797</v>
      </c>
      <c r="B666">
        <v>5031325.8</v>
      </c>
      <c r="C666">
        <v>1275382.2</v>
      </c>
      <c r="D666">
        <v>838239.4</v>
      </c>
      <c r="E666" t="s">
        <v>139</v>
      </c>
      <c r="F666" t="s">
        <v>139</v>
      </c>
      <c r="G666">
        <v>437142.8</v>
      </c>
      <c r="H666" t="s">
        <v>139</v>
      </c>
      <c r="I666" t="s">
        <v>139</v>
      </c>
      <c r="J666">
        <v>3755943.6</v>
      </c>
      <c r="K666">
        <v>1034044.9</v>
      </c>
      <c r="L666">
        <v>1739160.6</v>
      </c>
      <c r="M666" t="s">
        <v>139</v>
      </c>
      <c r="N666">
        <v>150526.6</v>
      </c>
      <c r="O666" t="s">
        <v>139</v>
      </c>
      <c r="P666" t="s">
        <v>139</v>
      </c>
      <c r="Q666" t="s">
        <v>139</v>
      </c>
      <c r="R666" t="s">
        <v>139</v>
      </c>
      <c r="S666" t="s">
        <v>139</v>
      </c>
      <c r="T666" t="s">
        <v>139</v>
      </c>
      <c r="U666" s="11">
        <v>571855.1</v>
      </c>
      <c r="V666" s="12">
        <v>239137</v>
      </c>
      <c r="W666" s="11">
        <v>332718</v>
      </c>
      <c r="X666" s="11" t="s">
        <v>139</v>
      </c>
      <c r="Y666" s="11" t="s">
        <v>139</v>
      </c>
      <c r="Z666" s="11">
        <v>410883</v>
      </c>
      <c r="AA666" s="11" t="s">
        <v>139</v>
      </c>
      <c r="AB666" s="11" t="s">
        <v>139</v>
      </c>
      <c r="AC666" s="11" t="s">
        <v>139</v>
      </c>
      <c r="AD666" s="11">
        <v>296649.3</v>
      </c>
      <c r="AE666" s="11" t="s">
        <v>139</v>
      </c>
      <c r="AF666" s="11">
        <v>95444.9</v>
      </c>
      <c r="AG666" s="11">
        <v>685886.3</v>
      </c>
      <c r="AH666" s="13">
        <v>6405046</v>
      </c>
      <c r="AI666" s="11">
        <v>4027286.8</v>
      </c>
      <c r="AJ666" s="11">
        <v>964165.6</v>
      </c>
      <c r="AK666" s="11" t="s">
        <v>139</v>
      </c>
      <c r="AL666" s="11">
        <v>1467847.8</v>
      </c>
      <c r="AM666" s="11" t="s">
        <v>139</v>
      </c>
      <c r="AN666" s="11">
        <v>508213.8</v>
      </c>
      <c r="AO666" s="13">
        <v>6095864</v>
      </c>
      <c r="AP666" s="11">
        <v>309182</v>
      </c>
      <c r="AQ666" s="11" t="s">
        <v>139</v>
      </c>
      <c r="AR666" s="11" t="s">
        <v>139</v>
      </c>
      <c r="AS666">
        <f t="shared" si="12"/>
        <v>4991452.3999999994</v>
      </c>
      <c r="AT666">
        <f t="shared" si="11"/>
        <v>1.2832028609548598</v>
      </c>
    </row>
    <row r="667" spans="1:46" x14ac:dyDescent="0.4">
      <c r="A667" s="3" t="s">
        <v>798</v>
      </c>
      <c r="B667">
        <v>5065687.8</v>
      </c>
      <c r="C667">
        <v>1302845</v>
      </c>
      <c r="D667">
        <v>859053.1</v>
      </c>
      <c r="E667" t="s">
        <v>139</v>
      </c>
      <c r="F667" t="s">
        <v>139</v>
      </c>
      <c r="G667">
        <v>443791.9</v>
      </c>
      <c r="H667" t="s">
        <v>139</v>
      </c>
      <c r="I667" t="s">
        <v>139</v>
      </c>
      <c r="J667">
        <v>3762842.8</v>
      </c>
      <c r="K667">
        <v>1021812.7</v>
      </c>
      <c r="L667">
        <v>1757879.4</v>
      </c>
      <c r="M667" t="s">
        <v>139</v>
      </c>
      <c r="N667">
        <v>153809.20000000001</v>
      </c>
      <c r="O667" t="s">
        <v>139</v>
      </c>
      <c r="P667" t="s">
        <v>139</v>
      </c>
      <c r="Q667" t="s">
        <v>139</v>
      </c>
      <c r="R667" t="s">
        <v>139</v>
      </c>
      <c r="S667" t="s">
        <v>139</v>
      </c>
      <c r="T667" t="s">
        <v>139</v>
      </c>
      <c r="U667" s="11">
        <v>574282.4</v>
      </c>
      <c r="V667" s="12">
        <v>241907.7</v>
      </c>
      <c r="W667" s="11">
        <v>332374.7</v>
      </c>
      <c r="X667" s="11" t="s">
        <v>139</v>
      </c>
      <c r="Y667" s="11" t="s">
        <v>139</v>
      </c>
      <c r="Z667" s="11">
        <v>408868.3</v>
      </c>
      <c r="AA667" s="11" t="s">
        <v>139</v>
      </c>
      <c r="AB667" s="11" t="s">
        <v>139</v>
      </c>
      <c r="AC667" s="11" t="s">
        <v>139</v>
      </c>
      <c r="AD667" s="11">
        <v>295437.90000000002</v>
      </c>
      <c r="AE667" s="11" t="s">
        <v>139</v>
      </c>
      <c r="AF667" s="11">
        <v>91793.8</v>
      </c>
      <c r="AG667" s="11">
        <v>656682.9</v>
      </c>
      <c r="AH667" s="13">
        <v>6393299.2999999998</v>
      </c>
      <c r="AI667" s="11">
        <v>4079055</v>
      </c>
      <c r="AJ667" s="11">
        <v>972099.5</v>
      </c>
      <c r="AK667" s="11" t="s">
        <v>139</v>
      </c>
      <c r="AL667" s="11">
        <v>1469724.7</v>
      </c>
      <c r="AM667" s="11" t="s">
        <v>139</v>
      </c>
      <c r="AN667" s="11">
        <v>471019.3</v>
      </c>
      <c r="AO667" s="13">
        <v>6098836.5999999996</v>
      </c>
      <c r="AP667" s="11">
        <v>294462.7</v>
      </c>
      <c r="AQ667" s="11" t="s">
        <v>139</v>
      </c>
      <c r="AR667" s="11" t="s">
        <v>139</v>
      </c>
      <c r="AS667">
        <f t="shared" si="12"/>
        <v>5051154.5</v>
      </c>
      <c r="AT667">
        <f t="shared" si="11"/>
        <v>1.2657105024207831</v>
      </c>
    </row>
    <row r="668" spans="1:46" x14ac:dyDescent="0.4">
      <c r="A668" s="3" t="s">
        <v>799</v>
      </c>
      <c r="B668">
        <v>5044231.7</v>
      </c>
      <c r="C668">
        <v>1300380.3</v>
      </c>
      <c r="D668">
        <v>845480.8</v>
      </c>
      <c r="E668" t="s">
        <v>139</v>
      </c>
      <c r="F668" t="s">
        <v>139</v>
      </c>
      <c r="G668">
        <v>454899.6</v>
      </c>
      <c r="H668" t="s">
        <v>139</v>
      </c>
      <c r="I668" t="s">
        <v>139</v>
      </c>
      <c r="J668">
        <v>3743851.3</v>
      </c>
      <c r="K668">
        <v>1012121.5</v>
      </c>
      <c r="L668">
        <v>1755695.3</v>
      </c>
      <c r="M668" t="s">
        <v>139</v>
      </c>
      <c r="N668">
        <v>157423.5</v>
      </c>
      <c r="O668" t="s">
        <v>139</v>
      </c>
      <c r="P668" t="s">
        <v>139</v>
      </c>
      <c r="Q668" t="s">
        <v>139</v>
      </c>
      <c r="R668" t="s">
        <v>139</v>
      </c>
      <c r="S668" t="s">
        <v>139</v>
      </c>
      <c r="T668" t="s">
        <v>139</v>
      </c>
      <c r="U668" s="11">
        <v>574272.69999999995</v>
      </c>
      <c r="V668" s="12">
        <v>241331.7</v>
      </c>
      <c r="W668" s="11">
        <v>332941</v>
      </c>
      <c r="X668" s="11" t="s">
        <v>139</v>
      </c>
      <c r="Y668" s="11" t="s">
        <v>139</v>
      </c>
      <c r="Z668" s="11">
        <v>401761.8</v>
      </c>
      <c r="AA668" s="11" t="s">
        <v>139</v>
      </c>
      <c r="AB668" s="11" t="s">
        <v>139</v>
      </c>
      <c r="AC668" s="11" t="s">
        <v>139</v>
      </c>
      <c r="AD668" s="11">
        <v>295501.90000000002</v>
      </c>
      <c r="AE668" s="11" t="s">
        <v>139</v>
      </c>
      <c r="AF668" s="11">
        <v>95320.2</v>
      </c>
      <c r="AG668" s="11">
        <v>660379.6</v>
      </c>
      <c r="AH668" s="13">
        <v>6383410.5</v>
      </c>
      <c r="AI668" s="11">
        <v>4093118.7</v>
      </c>
      <c r="AJ668" s="11">
        <v>981202.8</v>
      </c>
      <c r="AK668" s="11" t="s">
        <v>139</v>
      </c>
      <c r="AL668" s="11">
        <v>1474607.9</v>
      </c>
      <c r="AM668" s="11" t="s">
        <v>139</v>
      </c>
      <c r="AN668" s="11">
        <v>463042.7</v>
      </c>
      <c r="AO668" s="13">
        <v>6088692.0999999996</v>
      </c>
      <c r="AP668" s="11">
        <v>294718.40000000002</v>
      </c>
      <c r="AQ668" s="11" t="s">
        <v>139</v>
      </c>
      <c r="AR668" s="11" t="s">
        <v>139</v>
      </c>
      <c r="AS668">
        <f t="shared" si="12"/>
        <v>5074321.5</v>
      </c>
      <c r="AT668">
        <f t="shared" si="11"/>
        <v>1.2579830623660719</v>
      </c>
    </row>
    <row r="669" spans="1:46" x14ac:dyDescent="0.4">
      <c r="A669" s="3" t="s">
        <v>800</v>
      </c>
      <c r="B669">
        <v>5055182.2</v>
      </c>
      <c r="C669">
        <v>1299039.8</v>
      </c>
      <c r="D669">
        <v>835583.9</v>
      </c>
      <c r="E669" t="s">
        <v>139</v>
      </c>
      <c r="F669" t="s">
        <v>139</v>
      </c>
      <c r="G669">
        <v>463455.9</v>
      </c>
      <c r="H669" t="s">
        <v>139</v>
      </c>
      <c r="I669" t="s">
        <v>139</v>
      </c>
      <c r="J669">
        <v>3756142.4</v>
      </c>
      <c r="K669">
        <v>1016844.7</v>
      </c>
      <c r="L669">
        <v>1766641.1</v>
      </c>
      <c r="M669" t="s">
        <v>139</v>
      </c>
      <c r="N669">
        <v>161420.1</v>
      </c>
      <c r="O669" t="s">
        <v>139</v>
      </c>
      <c r="P669" t="s">
        <v>139</v>
      </c>
      <c r="Q669" t="s">
        <v>139</v>
      </c>
      <c r="R669" t="s">
        <v>139</v>
      </c>
      <c r="S669" t="s">
        <v>139</v>
      </c>
      <c r="T669" t="s">
        <v>139</v>
      </c>
      <c r="U669" s="11">
        <v>575841.9</v>
      </c>
      <c r="V669" s="12">
        <v>240609.4</v>
      </c>
      <c r="W669" s="11">
        <v>335232.5</v>
      </c>
      <c r="X669" s="11" t="s">
        <v>139</v>
      </c>
      <c r="Y669" s="11" t="s">
        <v>139</v>
      </c>
      <c r="Z669" s="11">
        <v>396814.7</v>
      </c>
      <c r="AA669" s="11" t="s">
        <v>139</v>
      </c>
      <c r="AB669" s="11" t="s">
        <v>139</v>
      </c>
      <c r="AC669" s="11" t="s">
        <v>139</v>
      </c>
      <c r="AD669" s="11">
        <v>297672.2</v>
      </c>
      <c r="AE669" s="11" t="s">
        <v>139</v>
      </c>
      <c r="AF669" s="11">
        <v>93716.1</v>
      </c>
      <c r="AG669" s="11">
        <v>650341.1</v>
      </c>
      <c r="AH669" s="13">
        <v>6379032.9000000004</v>
      </c>
      <c r="AI669" s="11">
        <v>4123651.1</v>
      </c>
      <c r="AJ669" s="11">
        <v>994060.4</v>
      </c>
      <c r="AK669" s="11" t="s">
        <v>139</v>
      </c>
      <c r="AL669" s="11">
        <v>1465323.8</v>
      </c>
      <c r="AM669" s="11" t="s">
        <v>139</v>
      </c>
      <c r="AN669" s="11">
        <v>442248.2</v>
      </c>
      <c r="AO669" s="13">
        <v>6088404.0999999996</v>
      </c>
      <c r="AP669" s="11">
        <v>290628.8</v>
      </c>
      <c r="AQ669" s="11" t="s">
        <v>139</v>
      </c>
      <c r="AR669" s="11" t="s">
        <v>139</v>
      </c>
      <c r="AS669">
        <f t="shared" si="12"/>
        <v>5117711.5</v>
      </c>
      <c r="AT669">
        <f t="shared" si="11"/>
        <v>1.2464619977112819</v>
      </c>
    </row>
    <row r="670" spans="1:46" x14ac:dyDescent="0.4">
      <c r="A670" s="3" t="s">
        <v>801</v>
      </c>
      <c r="B670">
        <v>5067988.2</v>
      </c>
      <c r="C670">
        <v>1316441.2</v>
      </c>
      <c r="D670">
        <v>850157.3</v>
      </c>
      <c r="E670" t="s">
        <v>139</v>
      </c>
      <c r="F670" t="s">
        <v>139</v>
      </c>
      <c r="G670">
        <v>466283.9</v>
      </c>
      <c r="H670" t="s">
        <v>139</v>
      </c>
      <c r="I670" t="s">
        <v>139</v>
      </c>
      <c r="J670">
        <v>3751546.9</v>
      </c>
      <c r="K670">
        <v>1011827.4</v>
      </c>
      <c r="L670">
        <v>1771606.1</v>
      </c>
      <c r="M670" t="s">
        <v>139</v>
      </c>
      <c r="N670">
        <v>165686.39999999999</v>
      </c>
      <c r="O670" t="s">
        <v>139</v>
      </c>
      <c r="P670" t="s">
        <v>139</v>
      </c>
      <c r="Q670" t="s">
        <v>139</v>
      </c>
      <c r="R670" t="s">
        <v>139</v>
      </c>
      <c r="S670" t="s">
        <v>139</v>
      </c>
      <c r="T670" t="s">
        <v>139</v>
      </c>
      <c r="U670" s="11">
        <v>575239.69999999995</v>
      </c>
      <c r="V670" s="12">
        <v>240353.9</v>
      </c>
      <c r="W670" s="11">
        <v>334885.8</v>
      </c>
      <c r="X670" s="11" t="s">
        <v>139</v>
      </c>
      <c r="Y670" s="11" t="s">
        <v>139</v>
      </c>
      <c r="Z670" s="11">
        <v>392873.8</v>
      </c>
      <c r="AA670" s="11" t="s">
        <v>139</v>
      </c>
      <c r="AB670" s="11" t="s">
        <v>139</v>
      </c>
      <c r="AC670" s="11" t="s">
        <v>139</v>
      </c>
      <c r="AD670" s="11">
        <v>296620.09999999998</v>
      </c>
      <c r="AE670" s="11" t="s">
        <v>139</v>
      </c>
      <c r="AF670" s="11">
        <v>90403.199999999997</v>
      </c>
      <c r="AG670" s="11">
        <v>616458.19999999995</v>
      </c>
      <c r="AH670" s="13">
        <v>6349557.7000000002</v>
      </c>
      <c r="AI670" s="11">
        <v>4141229.7</v>
      </c>
      <c r="AJ670" s="11">
        <v>1004494.9</v>
      </c>
      <c r="AK670" s="11" t="s">
        <v>139</v>
      </c>
      <c r="AL670" s="11">
        <v>1441115.1</v>
      </c>
      <c r="AM670" s="11" t="s">
        <v>139</v>
      </c>
      <c r="AN670" s="11">
        <v>428332.9</v>
      </c>
      <c r="AO670" s="13">
        <v>6062806.2000000002</v>
      </c>
      <c r="AP670" s="11">
        <v>286751.5</v>
      </c>
      <c r="AQ670" s="11" t="s">
        <v>139</v>
      </c>
      <c r="AR670" s="11" t="s">
        <v>139</v>
      </c>
      <c r="AS670">
        <f t="shared" si="12"/>
        <v>5145724.6000000006</v>
      </c>
      <c r="AT670">
        <f t="shared" si="11"/>
        <v>1.2339482179050156</v>
      </c>
    </row>
    <row r="671" spans="1:46" x14ac:dyDescent="0.4">
      <c r="A671" s="3" t="s">
        <v>802</v>
      </c>
      <c r="B671">
        <v>5076855.5999999996</v>
      </c>
      <c r="C671">
        <v>1323792.3999999999</v>
      </c>
      <c r="D671">
        <v>860784.2</v>
      </c>
      <c r="E671" t="s">
        <v>139</v>
      </c>
      <c r="F671" t="s">
        <v>139</v>
      </c>
      <c r="G671">
        <v>463008.1</v>
      </c>
      <c r="H671" t="s">
        <v>139</v>
      </c>
      <c r="I671" t="s">
        <v>139</v>
      </c>
      <c r="J671">
        <v>3753063.3</v>
      </c>
      <c r="K671">
        <v>1000265.9</v>
      </c>
      <c r="L671">
        <v>1782079.7</v>
      </c>
      <c r="M671" t="s">
        <v>139</v>
      </c>
      <c r="N671">
        <v>171561.2</v>
      </c>
      <c r="O671" t="s">
        <v>139</v>
      </c>
      <c r="P671" t="s">
        <v>139</v>
      </c>
      <c r="Q671" t="s">
        <v>139</v>
      </c>
      <c r="R671" t="s">
        <v>139</v>
      </c>
      <c r="S671" t="s">
        <v>139</v>
      </c>
      <c r="T671" t="s">
        <v>139</v>
      </c>
      <c r="U671" s="11">
        <v>580433.69999999995</v>
      </c>
      <c r="V671" s="12">
        <v>245823.3</v>
      </c>
      <c r="W671" s="11">
        <v>334610.40000000002</v>
      </c>
      <c r="X671" s="11" t="s">
        <v>139</v>
      </c>
      <c r="Y671" s="11" t="s">
        <v>139</v>
      </c>
      <c r="Z671" s="11">
        <v>390284</v>
      </c>
      <c r="AA671" s="11" t="s">
        <v>139</v>
      </c>
      <c r="AB671" s="11" t="s">
        <v>139</v>
      </c>
      <c r="AC671" s="11" t="s">
        <v>139</v>
      </c>
      <c r="AD671" s="11">
        <v>297695.59999999998</v>
      </c>
      <c r="AE671" s="11" t="s">
        <v>139</v>
      </c>
      <c r="AF671" s="11">
        <v>95714</v>
      </c>
      <c r="AG671" s="11">
        <v>621570.5</v>
      </c>
      <c r="AH671" s="13">
        <v>6377076.7999999998</v>
      </c>
      <c r="AI671" s="11">
        <v>4146779.1</v>
      </c>
      <c r="AJ671" s="11">
        <v>1016985.8</v>
      </c>
      <c r="AK671" s="11" t="s">
        <v>139</v>
      </c>
      <c r="AL671" s="11">
        <v>1436137.5</v>
      </c>
      <c r="AM671" s="11" t="s">
        <v>139</v>
      </c>
      <c r="AN671" s="11">
        <v>448979</v>
      </c>
      <c r="AO671" s="13">
        <v>6082899.9000000004</v>
      </c>
      <c r="AP671" s="11">
        <v>294176.90000000002</v>
      </c>
      <c r="AQ671" s="11" t="s">
        <v>139</v>
      </c>
      <c r="AR671" s="11" t="s">
        <v>139</v>
      </c>
      <c r="AS671">
        <f t="shared" si="12"/>
        <v>5163764.9000000004</v>
      </c>
      <c r="AT671">
        <f t="shared" si="11"/>
        <v>1.2349665260709293</v>
      </c>
    </row>
    <row r="672" spans="1:46" x14ac:dyDescent="0.4">
      <c r="A672" s="3" t="s">
        <v>803</v>
      </c>
      <c r="B672">
        <v>5084284.7</v>
      </c>
      <c r="C672">
        <v>1334628.2</v>
      </c>
      <c r="D672">
        <v>870236.4</v>
      </c>
      <c r="E672" t="s">
        <v>139</v>
      </c>
      <c r="F672" t="s">
        <v>139</v>
      </c>
      <c r="G672">
        <v>464391.7</v>
      </c>
      <c r="H672" t="s">
        <v>139</v>
      </c>
      <c r="I672" t="s">
        <v>139</v>
      </c>
      <c r="J672">
        <v>3749656.5</v>
      </c>
      <c r="K672">
        <v>990958.2</v>
      </c>
      <c r="L672">
        <v>1790739.6</v>
      </c>
      <c r="M672" t="s">
        <v>139</v>
      </c>
      <c r="N672">
        <v>177709.8</v>
      </c>
      <c r="O672" t="s">
        <v>139</v>
      </c>
      <c r="P672" t="s">
        <v>139</v>
      </c>
      <c r="Q672" t="s">
        <v>139</v>
      </c>
      <c r="R672" t="s">
        <v>139</v>
      </c>
      <c r="S672" t="s">
        <v>139</v>
      </c>
      <c r="T672" t="s">
        <v>139</v>
      </c>
      <c r="U672" s="11">
        <v>580831</v>
      </c>
      <c r="V672" s="12">
        <v>244887</v>
      </c>
      <c r="W672" s="11">
        <v>335944</v>
      </c>
      <c r="X672" s="11" t="s">
        <v>139</v>
      </c>
      <c r="Y672" s="11" t="s">
        <v>139</v>
      </c>
      <c r="Z672" s="11">
        <v>387127.8</v>
      </c>
      <c r="AA672" s="11" t="s">
        <v>139</v>
      </c>
      <c r="AB672" s="11" t="s">
        <v>139</v>
      </c>
      <c r="AC672" s="11" t="s">
        <v>139</v>
      </c>
      <c r="AD672" s="11">
        <v>299910.2</v>
      </c>
      <c r="AE672" s="11" t="s">
        <v>139</v>
      </c>
      <c r="AF672" s="11">
        <v>106801.8</v>
      </c>
      <c r="AG672" s="11">
        <v>621300.80000000005</v>
      </c>
      <c r="AH672" s="13">
        <v>6395667.5999999996</v>
      </c>
      <c r="AI672" s="11">
        <v>4167980</v>
      </c>
      <c r="AJ672" s="11">
        <v>1019765.5</v>
      </c>
      <c r="AK672" s="11" t="s">
        <v>139</v>
      </c>
      <c r="AL672" s="11">
        <v>1452426.8</v>
      </c>
      <c r="AM672" s="11" t="s">
        <v>139</v>
      </c>
      <c r="AN672" s="11">
        <v>464535.5</v>
      </c>
      <c r="AO672" s="13">
        <v>6105385.9000000004</v>
      </c>
      <c r="AP672" s="11">
        <v>290281.7</v>
      </c>
      <c r="AQ672" s="11" t="s">
        <v>139</v>
      </c>
      <c r="AR672" s="11" t="s">
        <v>139</v>
      </c>
      <c r="AS672">
        <f t="shared" si="12"/>
        <v>5187745.5</v>
      </c>
      <c r="AT672">
        <f t="shared" si="11"/>
        <v>1.2328414337210643</v>
      </c>
    </row>
    <row r="673" spans="1:46" x14ac:dyDescent="0.4">
      <c r="A673" s="3" t="s">
        <v>804</v>
      </c>
      <c r="B673">
        <v>5115272.9000000004</v>
      </c>
      <c r="C673">
        <v>1346021.7</v>
      </c>
      <c r="D673">
        <v>888422.3</v>
      </c>
      <c r="E673" t="s">
        <v>139</v>
      </c>
      <c r="F673" t="s">
        <v>139</v>
      </c>
      <c r="G673">
        <v>457599.4</v>
      </c>
      <c r="H673" t="s">
        <v>139</v>
      </c>
      <c r="I673" t="s">
        <v>139</v>
      </c>
      <c r="J673">
        <v>3769251.1</v>
      </c>
      <c r="K673">
        <v>984087.6</v>
      </c>
      <c r="L673">
        <v>1817176.8</v>
      </c>
      <c r="M673" t="s">
        <v>139</v>
      </c>
      <c r="N673">
        <v>183733.5</v>
      </c>
      <c r="O673" t="s">
        <v>139</v>
      </c>
      <c r="P673" t="s">
        <v>139</v>
      </c>
      <c r="Q673" t="s">
        <v>139</v>
      </c>
      <c r="R673" t="s">
        <v>139</v>
      </c>
      <c r="S673" t="s">
        <v>139</v>
      </c>
      <c r="T673" t="s">
        <v>139</v>
      </c>
      <c r="U673" s="11">
        <v>579127.4</v>
      </c>
      <c r="V673" s="12">
        <v>243277.3</v>
      </c>
      <c r="W673" s="11">
        <v>335850.1</v>
      </c>
      <c r="X673" s="11" t="s">
        <v>139</v>
      </c>
      <c r="Y673" s="11" t="s">
        <v>139</v>
      </c>
      <c r="Z673" s="11">
        <v>388859.4</v>
      </c>
      <c r="AA673" s="11" t="s">
        <v>139</v>
      </c>
      <c r="AB673" s="11" t="s">
        <v>139</v>
      </c>
      <c r="AC673" s="11" t="s">
        <v>139</v>
      </c>
      <c r="AD673" s="11">
        <v>301691.5</v>
      </c>
      <c r="AE673" s="11" t="s">
        <v>139</v>
      </c>
      <c r="AF673" s="11">
        <v>114456.9</v>
      </c>
      <c r="AG673" s="11">
        <v>621870.1</v>
      </c>
      <c r="AH673" s="13">
        <v>6430985.0999999996</v>
      </c>
      <c r="AI673" s="11">
        <v>4177225.4</v>
      </c>
      <c r="AJ673" s="11">
        <v>1014889</v>
      </c>
      <c r="AK673" s="11" t="s">
        <v>139</v>
      </c>
      <c r="AL673" s="11">
        <v>1445643.4</v>
      </c>
      <c r="AM673" s="11" t="s">
        <v>139</v>
      </c>
      <c r="AN673" s="11">
        <v>502027.2</v>
      </c>
      <c r="AO673" s="13">
        <v>6128023.2999999998</v>
      </c>
      <c r="AP673" s="11">
        <v>302961.8</v>
      </c>
      <c r="AQ673" s="11" t="s">
        <v>139</v>
      </c>
      <c r="AR673" s="11" t="s">
        <v>139</v>
      </c>
      <c r="AS673">
        <f t="shared" si="12"/>
        <v>5192114.4000000004</v>
      </c>
      <c r="AT673">
        <f t="shared" si="11"/>
        <v>1.2386062025135653</v>
      </c>
    </row>
    <row r="674" spans="1:46" x14ac:dyDescent="0.4">
      <c r="A674" s="3" t="s">
        <v>805</v>
      </c>
      <c r="B674">
        <v>5138140.3</v>
      </c>
      <c r="C674">
        <v>1357503.1</v>
      </c>
      <c r="D674">
        <v>907071.6</v>
      </c>
      <c r="E674" t="s">
        <v>139</v>
      </c>
      <c r="F674" t="s">
        <v>139</v>
      </c>
      <c r="G674">
        <v>450431.5</v>
      </c>
      <c r="H674" t="s">
        <v>139</v>
      </c>
      <c r="I674" t="s">
        <v>139</v>
      </c>
      <c r="J674">
        <v>3780637.2</v>
      </c>
      <c r="K674">
        <v>976680.4</v>
      </c>
      <c r="L674">
        <v>1836967.7</v>
      </c>
      <c r="M674" t="s">
        <v>139</v>
      </c>
      <c r="N674">
        <v>189972.6</v>
      </c>
      <c r="O674" t="s">
        <v>139</v>
      </c>
      <c r="P674" t="s">
        <v>139</v>
      </c>
      <c r="Q674" t="s">
        <v>139</v>
      </c>
      <c r="R674" t="s">
        <v>139</v>
      </c>
      <c r="S674" t="s">
        <v>139</v>
      </c>
      <c r="T674" t="s">
        <v>139</v>
      </c>
      <c r="U674" s="11">
        <v>578372.5</v>
      </c>
      <c r="V674" s="12">
        <v>239896.9</v>
      </c>
      <c r="W674" s="11">
        <v>338475.6</v>
      </c>
      <c r="X674" s="11" t="s">
        <v>139</v>
      </c>
      <c r="Y674" s="11" t="s">
        <v>139</v>
      </c>
      <c r="Z674" s="11">
        <v>388616.6</v>
      </c>
      <c r="AA674" s="11" t="s">
        <v>139</v>
      </c>
      <c r="AB674" s="11" t="s">
        <v>139</v>
      </c>
      <c r="AC674" s="11" t="s">
        <v>139</v>
      </c>
      <c r="AD674" s="11">
        <v>302388.5</v>
      </c>
      <c r="AE674" s="11" t="s">
        <v>139</v>
      </c>
      <c r="AF674" s="11">
        <v>112690.4</v>
      </c>
      <c r="AG674" s="11">
        <v>640137.30000000005</v>
      </c>
      <c r="AH674" s="13">
        <v>6473256.9000000004</v>
      </c>
      <c r="AI674" s="11">
        <v>4214037.7</v>
      </c>
      <c r="AJ674" s="11">
        <v>1024047</v>
      </c>
      <c r="AK674" s="11" t="s">
        <v>139</v>
      </c>
      <c r="AL674" s="11">
        <v>1453460.1</v>
      </c>
      <c r="AM674" s="11" t="s">
        <v>139</v>
      </c>
      <c r="AN674" s="11">
        <v>541592.1</v>
      </c>
      <c r="AO674" s="13">
        <v>6187739</v>
      </c>
      <c r="AP674" s="11">
        <v>285517.90000000002</v>
      </c>
      <c r="AQ674" s="11" t="s">
        <v>139</v>
      </c>
      <c r="AR674" s="11" t="s">
        <v>139</v>
      </c>
      <c r="AS674">
        <f t="shared" si="12"/>
        <v>5238084.7</v>
      </c>
      <c r="AT674">
        <f t="shared" si="11"/>
        <v>1.2358060762171335</v>
      </c>
    </row>
    <row r="675" spans="1:46" x14ac:dyDescent="0.4">
      <c r="A675" s="3" t="s">
        <v>806</v>
      </c>
      <c r="B675">
        <v>5199494.2</v>
      </c>
      <c r="C675">
        <v>1383087.9</v>
      </c>
      <c r="D675">
        <v>936136</v>
      </c>
      <c r="E675" t="s">
        <v>139</v>
      </c>
      <c r="F675" t="s">
        <v>139</v>
      </c>
      <c r="G675">
        <v>446951.8</v>
      </c>
      <c r="H675" t="s">
        <v>139</v>
      </c>
      <c r="I675" t="s">
        <v>139</v>
      </c>
      <c r="J675">
        <v>3816406.4</v>
      </c>
      <c r="K675">
        <v>972470</v>
      </c>
      <c r="L675">
        <v>1866917.2</v>
      </c>
      <c r="M675" t="s">
        <v>139</v>
      </c>
      <c r="N675">
        <v>194745.9</v>
      </c>
      <c r="O675" t="s">
        <v>139</v>
      </c>
      <c r="P675" t="s">
        <v>139</v>
      </c>
      <c r="Q675" t="s">
        <v>139</v>
      </c>
      <c r="R675" t="s">
        <v>139</v>
      </c>
      <c r="S675" t="s">
        <v>139</v>
      </c>
      <c r="T675" t="s">
        <v>139</v>
      </c>
      <c r="U675" s="11">
        <v>590682.6</v>
      </c>
      <c r="V675" s="12">
        <v>249804.6</v>
      </c>
      <c r="W675" s="11">
        <v>340878</v>
      </c>
      <c r="X675" s="11" t="s">
        <v>139</v>
      </c>
      <c r="Y675" s="11" t="s">
        <v>139</v>
      </c>
      <c r="Z675" s="11">
        <v>386336.5</v>
      </c>
      <c r="AA675" s="11" t="s">
        <v>139</v>
      </c>
      <c r="AB675" s="11" t="s">
        <v>139</v>
      </c>
      <c r="AC675" s="11" t="s">
        <v>139</v>
      </c>
      <c r="AD675" s="11">
        <v>313968.3</v>
      </c>
      <c r="AE675" s="11" t="s">
        <v>139</v>
      </c>
      <c r="AF675" s="11">
        <v>111767.5</v>
      </c>
      <c r="AG675" s="11">
        <v>667153.6</v>
      </c>
      <c r="AH675" s="13">
        <v>6591422.5999999996</v>
      </c>
      <c r="AI675" s="11">
        <v>4251498.9000000004</v>
      </c>
      <c r="AJ675" s="11">
        <v>1024740.2</v>
      </c>
      <c r="AK675" s="11" t="s">
        <v>139</v>
      </c>
      <c r="AL675" s="11">
        <v>1510541</v>
      </c>
      <c r="AM675" s="11" t="s">
        <v>139</v>
      </c>
      <c r="AN675" s="11">
        <v>558178.1</v>
      </c>
      <c r="AO675" s="13">
        <v>6297552.0999999996</v>
      </c>
      <c r="AP675" s="11">
        <v>293870.5</v>
      </c>
      <c r="AQ675" s="11" t="s">
        <v>139</v>
      </c>
      <c r="AR675" s="11" t="s">
        <v>139</v>
      </c>
      <c r="AS675">
        <f t="shared" si="12"/>
        <v>5276239.1000000006</v>
      </c>
      <c r="AT675">
        <f t="shared" si="11"/>
        <v>1.2492653337109001</v>
      </c>
    </row>
    <row r="676" spans="1:46" x14ac:dyDescent="0.4">
      <c r="A676" s="3" t="s">
        <v>807</v>
      </c>
      <c r="B676">
        <v>5256427.4000000004</v>
      </c>
      <c r="C676">
        <v>1400816.6</v>
      </c>
      <c r="D676">
        <v>957498.6</v>
      </c>
      <c r="E676" t="s">
        <v>139</v>
      </c>
      <c r="F676" t="s">
        <v>139</v>
      </c>
      <c r="G676">
        <v>443318</v>
      </c>
      <c r="H676" t="s">
        <v>139</v>
      </c>
      <c r="I676" t="s">
        <v>139</v>
      </c>
      <c r="J676">
        <v>3855610.8</v>
      </c>
      <c r="K676">
        <v>966311.8</v>
      </c>
      <c r="L676">
        <v>1901723.7</v>
      </c>
      <c r="M676" t="s">
        <v>139</v>
      </c>
      <c r="N676">
        <v>198958.8</v>
      </c>
      <c r="O676" t="s">
        <v>139</v>
      </c>
      <c r="P676" t="s">
        <v>139</v>
      </c>
      <c r="Q676" t="s">
        <v>139</v>
      </c>
      <c r="R676" t="s">
        <v>139</v>
      </c>
      <c r="S676" t="s">
        <v>139</v>
      </c>
      <c r="T676" t="s">
        <v>139</v>
      </c>
      <c r="U676" s="11">
        <v>598723.69999999995</v>
      </c>
      <c r="V676" s="12">
        <v>255537.5</v>
      </c>
      <c r="W676" s="11">
        <v>343186.2</v>
      </c>
      <c r="X676" s="11" t="s">
        <v>139</v>
      </c>
      <c r="Y676" s="11" t="s">
        <v>139</v>
      </c>
      <c r="Z676" s="11">
        <v>388851.6</v>
      </c>
      <c r="AA676" s="11" t="s">
        <v>139</v>
      </c>
      <c r="AB676" s="11" t="s">
        <v>139</v>
      </c>
      <c r="AC676" s="11" t="s">
        <v>139</v>
      </c>
      <c r="AD676" s="11">
        <v>310411</v>
      </c>
      <c r="AE676" s="11" t="s">
        <v>139</v>
      </c>
      <c r="AF676" s="11">
        <v>112829.6</v>
      </c>
      <c r="AG676" s="11">
        <v>673330.9</v>
      </c>
      <c r="AH676" s="13">
        <v>6662993.0999999996</v>
      </c>
      <c r="AI676" s="11">
        <v>4278157.3</v>
      </c>
      <c r="AJ676" s="11">
        <v>1025072.8</v>
      </c>
      <c r="AK676" s="11" t="s">
        <v>139</v>
      </c>
      <c r="AL676" s="11">
        <v>1532946.6</v>
      </c>
      <c r="AM676" s="11" t="s">
        <v>139</v>
      </c>
      <c r="AN676" s="11">
        <v>563665.9</v>
      </c>
      <c r="AO676" s="13">
        <v>6352250.7000000002</v>
      </c>
      <c r="AP676" s="11">
        <v>310742.40000000002</v>
      </c>
      <c r="AQ676" s="11" t="s">
        <v>139</v>
      </c>
      <c r="AR676" s="11" t="s">
        <v>139</v>
      </c>
      <c r="AS676">
        <f t="shared" si="12"/>
        <v>5303230.0999999996</v>
      </c>
      <c r="AT676">
        <f t="shared" si="11"/>
        <v>1.2564027911970104</v>
      </c>
    </row>
    <row r="677" spans="1:46" x14ac:dyDescent="0.4">
      <c r="A677" s="3" t="s">
        <v>808</v>
      </c>
      <c r="B677">
        <v>5335536.7</v>
      </c>
      <c r="C677">
        <v>1427685.6</v>
      </c>
      <c r="D677">
        <v>978773.6</v>
      </c>
      <c r="E677" t="s">
        <v>139</v>
      </c>
      <c r="F677" t="s">
        <v>139</v>
      </c>
      <c r="G677">
        <v>448912</v>
      </c>
      <c r="H677" t="s">
        <v>139</v>
      </c>
      <c r="I677" t="s">
        <v>139</v>
      </c>
      <c r="J677">
        <v>3907851</v>
      </c>
      <c r="K677">
        <v>962836.3</v>
      </c>
      <c r="L677">
        <v>1946940.4</v>
      </c>
      <c r="M677" t="s">
        <v>139</v>
      </c>
      <c r="N677">
        <v>204836.3</v>
      </c>
      <c r="O677" t="s">
        <v>139</v>
      </c>
      <c r="P677" t="s">
        <v>139</v>
      </c>
      <c r="Q677" t="s">
        <v>139</v>
      </c>
      <c r="R677" t="s">
        <v>139</v>
      </c>
      <c r="S677" t="s">
        <v>139</v>
      </c>
      <c r="T677" t="s">
        <v>139</v>
      </c>
      <c r="U677" s="11">
        <v>606254.69999999995</v>
      </c>
      <c r="V677" s="12">
        <v>255850</v>
      </c>
      <c r="W677" s="11">
        <v>350404.7</v>
      </c>
      <c r="X677" s="11" t="s">
        <v>139</v>
      </c>
      <c r="Y677" s="11" t="s">
        <v>139</v>
      </c>
      <c r="Z677" s="11">
        <v>391819.6</v>
      </c>
      <c r="AA677" s="11" t="s">
        <v>139</v>
      </c>
      <c r="AB677" s="11" t="s">
        <v>139</v>
      </c>
      <c r="AC677" s="11" t="s">
        <v>139</v>
      </c>
      <c r="AD677" s="11">
        <v>314812.90000000002</v>
      </c>
      <c r="AE677" s="11" t="s">
        <v>139</v>
      </c>
      <c r="AF677" s="11">
        <v>116919.5</v>
      </c>
      <c r="AG677" s="11">
        <v>671195.6</v>
      </c>
      <c r="AH677" s="13">
        <v>6755013.4000000004</v>
      </c>
      <c r="AI677" s="11">
        <v>4333791</v>
      </c>
      <c r="AJ677" s="11">
        <v>1024693.6</v>
      </c>
      <c r="AK677" s="11" t="s">
        <v>139</v>
      </c>
      <c r="AL677" s="11">
        <v>1560514</v>
      </c>
      <c r="AM677" s="11" t="s">
        <v>139</v>
      </c>
      <c r="AN677" s="11">
        <v>558082.5</v>
      </c>
      <c r="AO677" s="13">
        <v>6425969.5999999996</v>
      </c>
      <c r="AP677" s="11">
        <v>329043.8</v>
      </c>
      <c r="AQ677" s="11" t="s">
        <v>139</v>
      </c>
      <c r="AR677" s="11" t="s">
        <v>139</v>
      </c>
      <c r="AS677">
        <f t="shared" si="12"/>
        <v>5358484.5999999996</v>
      </c>
      <c r="AT677">
        <f t="shared" si="11"/>
        <v>1.2606201014368879</v>
      </c>
    </row>
    <row r="678" spans="1:46" x14ac:dyDescent="0.4">
      <c r="A678" s="3" t="s">
        <v>809</v>
      </c>
      <c r="B678">
        <v>5396797.9000000004</v>
      </c>
      <c r="C678">
        <v>1455346.9</v>
      </c>
      <c r="D678">
        <v>1003808.9</v>
      </c>
      <c r="E678" t="s">
        <v>139</v>
      </c>
      <c r="F678" t="s">
        <v>139</v>
      </c>
      <c r="G678">
        <v>451538</v>
      </c>
      <c r="H678" t="s">
        <v>139</v>
      </c>
      <c r="I678" t="s">
        <v>139</v>
      </c>
      <c r="J678">
        <v>3941451</v>
      </c>
      <c r="K678">
        <v>960548.3</v>
      </c>
      <c r="L678">
        <v>1980603.5</v>
      </c>
      <c r="M678" t="s">
        <v>139</v>
      </c>
      <c r="N678">
        <v>207603.5</v>
      </c>
      <c r="O678" t="s">
        <v>139</v>
      </c>
      <c r="P678" t="s">
        <v>139</v>
      </c>
      <c r="Q678" t="s">
        <v>139</v>
      </c>
      <c r="R678" t="s">
        <v>139</v>
      </c>
      <c r="S678" t="s">
        <v>139</v>
      </c>
      <c r="T678" t="s">
        <v>139</v>
      </c>
      <c r="U678" s="11">
        <v>605519.5</v>
      </c>
      <c r="V678" s="12">
        <v>252094.5</v>
      </c>
      <c r="W678" s="11">
        <v>353425</v>
      </c>
      <c r="X678" s="11" t="s">
        <v>139</v>
      </c>
      <c r="Y678" s="11" t="s">
        <v>139</v>
      </c>
      <c r="Z678" s="11">
        <v>394779.7</v>
      </c>
      <c r="AA678" s="11" t="s">
        <v>139</v>
      </c>
      <c r="AB678" s="11" t="s">
        <v>139</v>
      </c>
      <c r="AC678" s="11" t="s">
        <v>139</v>
      </c>
      <c r="AD678" s="11">
        <v>309978.59999999998</v>
      </c>
      <c r="AE678" s="11" t="s">
        <v>139</v>
      </c>
      <c r="AF678" s="11">
        <v>117706.3</v>
      </c>
      <c r="AG678" s="11">
        <v>693911</v>
      </c>
      <c r="AH678" s="13">
        <v>6842072.2999999998</v>
      </c>
      <c r="AI678" s="11">
        <v>4360186.3</v>
      </c>
      <c r="AJ678" s="11">
        <v>1018206.7</v>
      </c>
      <c r="AK678" s="11" t="s">
        <v>139</v>
      </c>
      <c r="AL678" s="11">
        <v>1596823</v>
      </c>
      <c r="AM678" s="11" t="s">
        <v>139</v>
      </c>
      <c r="AN678" s="11">
        <v>561314.1</v>
      </c>
      <c r="AO678" s="13">
        <v>6518168</v>
      </c>
      <c r="AP678" s="11">
        <v>323904.3</v>
      </c>
      <c r="AQ678" s="11" t="s">
        <v>139</v>
      </c>
      <c r="AR678" s="11" t="s">
        <v>139</v>
      </c>
      <c r="AS678">
        <f t="shared" si="12"/>
        <v>5378393</v>
      </c>
      <c r="AT678">
        <f t="shared" si="11"/>
        <v>1.2721406375473119</v>
      </c>
    </row>
    <row r="679" spans="1:46" x14ac:dyDescent="0.4">
      <c r="A679" s="3" t="s">
        <v>810</v>
      </c>
      <c r="B679">
        <v>5456532.7999999998</v>
      </c>
      <c r="C679">
        <v>1488212.3</v>
      </c>
      <c r="D679">
        <v>1028465.7</v>
      </c>
      <c r="E679" t="s">
        <v>139</v>
      </c>
      <c r="F679" t="s">
        <v>139</v>
      </c>
      <c r="G679">
        <v>459746.6</v>
      </c>
      <c r="H679" t="s">
        <v>139</v>
      </c>
      <c r="I679" t="s">
        <v>139</v>
      </c>
      <c r="J679">
        <v>3968320.5</v>
      </c>
      <c r="K679">
        <v>957844.8</v>
      </c>
      <c r="L679">
        <v>2009798</v>
      </c>
      <c r="M679" t="s">
        <v>139</v>
      </c>
      <c r="N679">
        <v>212430.4</v>
      </c>
      <c r="O679" t="s">
        <v>139</v>
      </c>
      <c r="P679" t="s">
        <v>139</v>
      </c>
      <c r="Q679" t="s">
        <v>139</v>
      </c>
      <c r="R679" t="s">
        <v>139</v>
      </c>
      <c r="S679" t="s">
        <v>139</v>
      </c>
      <c r="T679" t="s">
        <v>139</v>
      </c>
      <c r="U679" s="11">
        <v>610947.6</v>
      </c>
      <c r="V679" s="12">
        <v>254992</v>
      </c>
      <c r="W679" s="11">
        <v>355955.6</v>
      </c>
      <c r="X679" s="11" t="s">
        <v>139</v>
      </c>
      <c r="Y679" s="11" t="s">
        <v>139</v>
      </c>
      <c r="Z679" s="11">
        <v>389730.1</v>
      </c>
      <c r="AA679" s="11" t="s">
        <v>139</v>
      </c>
      <c r="AB679" s="11" t="s">
        <v>139</v>
      </c>
      <c r="AC679" s="11" t="s">
        <v>139</v>
      </c>
      <c r="AD679" s="11">
        <v>311046.2</v>
      </c>
      <c r="AE679" s="11" t="s">
        <v>139</v>
      </c>
      <c r="AF679" s="11">
        <v>119872.1</v>
      </c>
      <c r="AG679" s="11">
        <v>716388.7</v>
      </c>
      <c r="AH679" s="13">
        <v>6934427.7000000002</v>
      </c>
      <c r="AI679" s="11">
        <v>4351600.3</v>
      </c>
      <c r="AJ679" s="11">
        <v>993175.4</v>
      </c>
      <c r="AK679" s="11" t="s">
        <v>139</v>
      </c>
      <c r="AL679" s="11">
        <v>1624213.8</v>
      </c>
      <c r="AM679" s="11" t="s">
        <v>139</v>
      </c>
      <c r="AN679" s="11">
        <v>585816.4</v>
      </c>
      <c r="AO679" s="13">
        <v>6607436.9000000004</v>
      </c>
      <c r="AP679" s="11">
        <v>326990.8</v>
      </c>
      <c r="AQ679" s="11" t="s">
        <v>139</v>
      </c>
      <c r="AR679" s="11" t="s">
        <v>139</v>
      </c>
      <c r="AS679">
        <f t="shared" si="12"/>
        <v>5344775.7</v>
      </c>
      <c r="AT679">
        <f t="shared" si="11"/>
        <v>1.2974216485829331</v>
      </c>
    </row>
    <row r="680" spans="1:46" x14ac:dyDescent="0.4">
      <c r="A680" s="3" t="s">
        <v>811</v>
      </c>
      <c r="B680">
        <v>5469630.2000000002</v>
      </c>
      <c r="C680">
        <v>1491510</v>
      </c>
      <c r="D680">
        <v>1031255.7</v>
      </c>
      <c r="E680" t="s">
        <v>139</v>
      </c>
      <c r="F680" t="s">
        <v>139</v>
      </c>
      <c r="G680">
        <v>460254.3</v>
      </c>
      <c r="H680" t="s">
        <v>139</v>
      </c>
      <c r="I680" t="s">
        <v>139</v>
      </c>
      <c r="J680">
        <v>3978120.2</v>
      </c>
      <c r="K680">
        <v>950364.2</v>
      </c>
      <c r="L680">
        <v>2034113.2</v>
      </c>
      <c r="M680" t="s">
        <v>139</v>
      </c>
      <c r="N680">
        <v>217677</v>
      </c>
      <c r="O680" t="s">
        <v>139</v>
      </c>
      <c r="P680" t="s">
        <v>139</v>
      </c>
      <c r="Q680" t="s">
        <v>139</v>
      </c>
      <c r="R680" t="s">
        <v>139</v>
      </c>
      <c r="S680" t="s">
        <v>139</v>
      </c>
      <c r="T680" t="s">
        <v>139</v>
      </c>
      <c r="U680" s="11">
        <v>610198.19999999995</v>
      </c>
      <c r="V680" s="12">
        <v>251182.2</v>
      </c>
      <c r="W680" s="11">
        <v>359015.9</v>
      </c>
      <c r="X680" s="11" t="s">
        <v>139</v>
      </c>
      <c r="Y680" s="11" t="s">
        <v>139</v>
      </c>
      <c r="Z680" s="11">
        <v>383444.6</v>
      </c>
      <c r="AA680" s="11" t="s">
        <v>139</v>
      </c>
      <c r="AB680" s="11" t="s">
        <v>139</v>
      </c>
      <c r="AC680" s="11" t="s">
        <v>139</v>
      </c>
      <c r="AD680" s="11">
        <v>304683.5</v>
      </c>
      <c r="AE680" s="11" t="s">
        <v>139</v>
      </c>
      <c r="AF680" s="11">
        <v>98402.7</v>
      </c>
      <c r="AG680" s="11">
        <v>713128.8</v>
      </c>
      <c r="AH680" s="13">
        <v>6912952.9000000004</v>
      </c>
      <c r="AI680" s="11">
        <v>4378189.3</v>
      </c>
      <c r="AJ680" s="11">
        <v>1001595.7</v>
      </c>
      <c r="AK680" s="11" t="s">
        <v>139</v>
      </c>
      <c r="AL680" s="11">
        <v>1580999.7</v>
      </c>
      <c r="AM680" s="11" t="s">
        <v>139</v>
      </c>
      <c r="AN680" s="11">
        <v>599970.1</v>
      </c>
      <c r="AO680" s="13">
        <v>6599094.5999999996</v>
      </c>
      <c r="AP680" s="11">
        <v>313858.3</v>
      </c>
      <c r="AQ680" s="11" t="s">
        <v>139</v>
      </c>
      <c r="AR680" s="11" t="s">
        <v>139</v>
      </c>
      <c r="AS680">
        <f t="shared" si="12"/>
        <v>5379785</v>
      </c>
      <c r="AT680">
        <f t="shared" si="11"/>
        <v>1.2849868349757472</v>
      </c>
    </row>
    <row r="681" spans="1:46" x14ac:dyDescent="0.4">
      <c r="A681" s="3" t="s">
        <v>812</v>
      </c>
      <c r="B681">
        <v>5509688.5999999996</v>
      </c>
      <c r="C681">
        <v>1509059</v>
      </c>
      <c r="D681">
        <v>1049827</v>
      </c>
      <c r="E681" t="s">
        <v>139</v>
      </c>
      <c r="F681" t="s">
        <v>139</v>
      </c>
      <c r="G681">
        <v>459232</v>
      </c>
      <c r="H681" t="s">
        <v>139</v>
      </c>
      <c r="I681" t="s">
        <v>139</v>
      </c>
      <c r="J681">
        <v>4000629.5</v>
      </c>
      <c r="K681">
        <v>941636.7</v>
      </c>
      <c r="L681">
        <v>2067836.3</v>
      </c>
      <c r="M681" t="s">
        <v>139</v>
      </c>
      <c r="N681">
        <v>223311.1</v>
      </c>
      <c r="O681" t="s">
        <v>139</v>
      </c>
      <c r="P681" t="s">
        <v>139</v>
      </c>
      <c r="Q681" t="s">
        <v>139</v>
      </c>
      <c r="R681" t="s">
        <v>139</v>
      </c>
      <c r="S681" t="s">
        <v>139</v>
      </c>
      <c r="T681" t="s">
        <v>139</v>
      </c>
      <c r="U681" s="11">
        <v>608572.69999999995</v>
      </c>
      <c r="V681" s="12">
        <v>247057.2</v>
      </c>
      <c r="W681" s="11">
        <v>361515.5</v>
      </c>
      <c r="X681" s="11" t="s">
        <v>139</v>
      </c>
      <c r="Y681" s="11" t="s">
        <v>139</v>
      </c>
      <c r="Z681" s="11">
        <v>382583.8</v>
      </c>
      <c r="AA681" s="11" t="s">
        <v>139</v>
      </c>
      <c r="AB681" s="11" t="s">
        <v>139</v>
      </c>
      <c r="AC681" s="11" t="s">
        <v>139</v>
      </c>
      <c r="AD681" s="11">
        <v>310761.59999999998</v>
      </c>
      <c r="AE681" s="11" t="s">
        <v>139</v>
      </c>
      <c r="AF681" s="11">
        <v>101606.9</v>
      </c>
      <c r="AG681" s="11">
        <v>738310.6</v>
      </c>
      <c r="AH681" s="13">
        <v>6998778.7000000002</v>
      </c>
      <c r="AI681" s="11">
        <v>4417424</v>
      </c>
      <c r="AJ681" s="11">
        <v>1020590.7</v>
      </c>
      <c r="AK681" s="11" t="s">
        <v>139</v>
      </c>
      <c r="AL681" s="11">
        <v>1605357.4</v>
      </c>
      <c r="AM681" s="11" t="s">
        <v>139</v>
      </c>
      <c r="AN681" s="11">
        <v>611435.6</v>
      </c>
      <c r="AO681" s="13">
        <v>6670175.2999999998</v>
      </c>
      <c r="AP681" s="11">
        <v>328603.5</v>
      </c>
      <c r="AQ681" s="11" t="s">
        <v>139</v>
      </c>
      <c r="AR681" s="11" t="s">
        <v>139</v>
      </c>
      <c r="AS681">
        <f t="shared" si="12"/>
        <v>5438014.7000000002</v>
      </c>
      <c r="AT681">
        <f t="shared" si="11"/>
        <v>1.2870098898408642</v>
      </c>
    </row>
    <row r="682" spans="1:46" x14ac:dyDescent="0.4">
      <c r="A682" s="3" t="s">
        <v>813</v>
      </c>
      <c r="B682">
        <v>5537922.7999999998</v>
      </c>
      <c r="C682">
        <v>1523404.7</v>
      </c>
      <c r="D682">
        <v>1055845.1000000001</v>
      </c>
      <c r="E682" t="s">
        <v>139</v>
      </c>
      <c r="F682" t="s">
        <v>139</v>
      </c>
      <c r="G682">
        <v>467559.6</v>
      </c>
      <c r="H682" t="s">
        <v>139</v>
      </c>
      <c r="I682" t="s">
        <v>139</v>
      </c>
      <c r="J682">
        <v>4014518</v>
      </c>
      <c r="K682">
        <v>937513</v>
      </c>
      <c r="L682">
        <v>2083748</v>
      </c>
      <c r="M682" t="s">
        <v>139</v>
      </c>
      <c r="N682">
        <v>228368.4</v>
      </c>
      <c r="O682" t="s">
        <v>139</v>
      </c>
      <c r="P682" t="s">
        <v>139</v>
      </c>
      <c r="Q682" t="s">
        <v>139</v>
      </c>
      <c r="R682" t="s">
        <v>139</v>
      </c>
      <c r="S682" t="s">
        <v>139</v>
      </c>
      <c r="T682" t="s">
        <v>139</v>
      </c>
      <c r="U682" s="11">
        <v>603353.1</v>
      </c>
      <c r="V682" s="12">
        <v>243718.5</v>
      </c>
      <c r="W682" s="11">
        <v>359634.6</v>
      </c>
      <c r="X682" s="11" t="s">
        <v>139</v>
      </c>
      <c r="Y682" s="11" t="s">
        <v>139</v>
      </c>
      <c r="Z682" s="11">
        <v>389903.9</v>
      </c>
      <c r="AA682" s="11" t="s">
        <v>139</v>
      </c>
      <c r="AB682" s="11" t="s">
        <v>139</v>
      </c>
      <c r="AC682" s="11" t="s">
        <v>139</v>
      </c>
      <c r="AD682" s="11">
        <v>318474.90000000002</v>
      </c>
      <c r="AE682" s="11" t="s">
        <v>139</v>
      </c>
      <c r="AF682" s="11">
        <v>103623.7</v>
      </c>
      <c r="AG682" s="11">
        <v>727041</v>
      </c>
      <c r="AH682" s="13">
        <v>7042876.5999999996</v>
      </c>
      <c r="AI682" s="11">
        <v>4441386.3</v>
      </c>
      <c r="AJ682" s="11">
        <v>1022002.2</v>
      </c>
      <c r="AK682" s="11" t="s">
        <v>139</v>
      </c>
      <c r="AL682" s="11">
        <v>1643612</v>
      </c>
      <c r="AM682" s="11" t="s">
        <v>139</v>
      </c>
      <c r="AN682" s="11">
        <v>593439.30000000005</v>
      </c>
      <c r="AO682" s="13">
        <v>6714315.4000000004</v>
      </c>
      <c r="AP682" s="11">
        <v>328561.2</v>
      </c>
      <c r="AQ682" s="11" t="s">
        <v>139</v>
      </c>
      <c r="AR682" s="11" t="s">
        <v>139</v>
      </c>
      <c r="AS682">
        <f t="shared" si="12"/>
        <v>5463388.5</v>
      </c>
      <c r="AT682">
        <f t="shared" si="11"/>
        <v>1.2891041155136596</v>
      </c>
    </row>
    <row r="683" spans="1:46" x14ac:dyDescent="0.4">
      <c r="A683" s="3" t="s">
        <v>814</v>
      </c>
      <c r="B683">
        <v>5585250.2999999998</v>
      </c>
      <c r="C683">
        <v>1540110.7</v>
      </c>
      <c r="D683">
        <v>1077245.1000000001</v>
      </c>
      <c r="E683" t="s">
        <v>139</v>
      </c>
      <c r="F683" t="s">
        <v>139</v>
      </c>
      <c r="G683">
        <v>462865.6</v>
      </c>
      <c r="H683" t="s">
        <v>139</v>
      </c>
      <c r="I683" t="s">
        <v>139</v>
      </c>
      <c r="J683">
        <v>4045139.5</v>
      </c>
      <c r="K683">
        <v>935095.7</v>
      </c>
      <c r="L683">
        <v>2106737.2999999998</v>
      </c>
      <c r="M683" t="s">
        <v>139</v>
      </c>
      <c r="N683">
        <v>233024.7</v>
      </c>
      <c r="O683" t="s">
        <v>139</v>
      </c>
      <c r="P683" t="s">
        <v>139</v>
      </c>
      <c r="Q683" t="s">
        <v>139</v>
      </c>
      <c r="R683" t="s">
        <v>139</v>
      </c>
      <c r="S683" t="s">
        <v>139</v>
      </c>
      <c r="T683" t="s">
        <v>139</v>
      </c>
      <c r="U683" s="11">
        <v>602293.1</v>
      </c>
      <c r="V683" s="12">
        <v>239855.9</v>
      </c>
      <c r="W683" s="11">
        <v>362437.3</v>
      </c>
      <c r="X683" s="11" t="s">
        <v>139</v>
      </c>
      <c r="Y683" s="11" t="s">
        <v>139</v>
      </c>
      <c r="Z683" s="11">
        <v>401013.4</v>
      </c>
      <c r="AA683" s="11" t="s">
        <v>139</v>
      </c>
      <c r="AB683" s="11" t="s">
        <v>139</v>
      </c>
      <c r="AC683" s="11" t="s">
        <v>139</v>
      </c>
      <c r="AD683" s="11">
        <v>315579.09999999998</v>
      </c>
      <c r="AE683" s="11" t="s">
        <v>139</v>
      </c>
      <c r="AF683" s="11">
        <v>99805.4</v>
      </c>
      <c r="AG683" s="11">
        <v>716403.3</v>
      </c>
      <c r="AH683" s="13">
        <v>7068356.5</v>
      </c>
      <c r="AI683" s="11">
        <v>4453488.0999999996</v>
      </c>
      <c r="AJ683" s="11">
        <v>999835.7</v>
      </c>
      <c r="AK683" s="11" t="s">
        <v>139</v>
      </c>
      <c r="AL683" s="11">
        <v>1644193.1</v>
      </c>
      <c r="AM683" s="11" t="s">
        <v>139</v>
      </c>
      <c r="AN683" s="11">
        <v>572573.69999999995</v>
      </c>
      <c r="AO683" s="13">
        <v>6720037.2999999998</v>
      </c>
      <c r="AP683" s="11">
        <v>348319.2</v>
      </c>
      <c r="AQ683" s="11" t="s">
        <v>139</v>
      </c>
      <c r="AR683" s="11" t="s">
        <v>139</v>
      </c>
      <c r="AS683">
        <f t="shared" si="12"/>
        <v>5453323.7999999998</v>
      </c>
      <c r="AT683">
        <f t="shared" si="11"/>
        <v>1.2961556583161264</v>
      </c>
    </row>
    <row r="684" spans="1:46" x14ac:dyDescent="0.4">
      <c r="A684" s="3" t="s">
        <v>815</v>
      </c>
      <c r="B684">
        <v>5647947.9000000004</v>
      </c>
      <c r="C684">
        <v>1571989.4</v>
      </c>
      <c r="D684">
        <v>1110720.2</v>
      </c>
      <c r="E684" t="s">
        <v>139</v>
      </c>
      <c r="F684" t="s">
        <v>139</v>
      </c>
      <c r="G684">
        <v>461269.2</v>
      </c>
      <c r="H684" t="s">
        <v>139</v>
      </c>
      <c r="I684" t="s">
        <v>139</v>
      </c>
      <c r="J684">
        <v>4075958.6</v>
      </c>
      <c r="K684">
        <v>924069.4</v>
      </c>
      <c r="L684">
        <v>2131444.9</v>
      </c>
      <c r="M684" t="s">
        <v>139</v>
      </c>
      <c r="N684">
        <v>237579.2</v>
      </c>
      <c r="O684" t="s">
        <v>139</v>
      </c>
      <c r="P684" t="s">
        <v>139</v>
      </c>
      <c r="Q684" t="s">
        <v>139</v>
      </c>
      <c r="R684" t="s">
        <v>139</v>
      </c>
      <c r="S684" t="s">
        <v>139</v>
      </c>
      <c r="T684" t="s">
        <v>139</v>
      </c>
      <c r="U684" s="11">
        <v>613210</v>
      </c>
      <c r="V684" s="12">
        <v>248238</v>
      </c>
      <c r="W684" s="11">
        <v>364972</v>
      </c>
      <c r="X684" s="11" t="s">
        <v>139</v>
      </c>
      <c r="Y684" s="11" t="s">
        <v>139</v>
      </c>
      <c r="Z684" s="11">
        <v>407234.2</v>
      </c>
      <c r="AA684" s="11" t="s">
        <v>139</v>
      </c>
      <c r="AB684" s="11" t="s">
        <v>139</v>
      </c>
      <c r="AC684" s="11" t="s">
        <v>139</v>
      </c>
      <c r="AD684" s="11">
        <v>312593.59999999998</v>
      </c>
      <c r="AE684" s="11" t="s">
        <v>139</v>
      </c>
      <c r="AF684" s="11">
        <v>94015.9</v>
      </c>
      <c r="AG684" s="11">
        <v>759654.8</v>
      </c>
      <c r="AH684" s="13">
        <v>7196581.7999999998</v>
      </c>
      <c r="AI684" s="11">
        <v>4497039.5999999996</v>
      </c>
      <c r="AJ684" s="11">
        <v>1004498.2</v>
      </c>
      <c r="AK684" s="11" t="s">
        <v>139</v>
      </c>
      <c r="AL684" s="11">
        <v>1670395.4</v>
      </c>
      <c r="AM684" s="11" t="s">
        <v>139</v>
      </c>
      <c r="AN684" s="11">
        <v>625479.5</v>
      </c>
      <c r="AO684" s="13">
        <v>6833941.0999999996</v>
      </c>
      <c r="AP684" s="11">
        <v>362640.7</v>
      </c>
      <c r="AQ684" s="11" t="s">
        <v>139</v>
      </c>
      <c r="AR684" s="11" t="s">
        <v>139</v>
      </c>
      <c r="AS684">
        <f t="shared" si="12"/>
        <v>5501537.7999999998</v>
      </c>
      <c r="AT684">
        <f t="shared" si="11"/>
        <v>1.3081036723950166</v>
      </c>
    </row>
    <row r="685" spans="1:46" x14ac:dyDescent="0.4">
      <c r="A685" s="3" t="s">
        <v>816</v>
      </c>
      <c r="B685">
        <v>5694155.7000000002</v>
      </c>
      <c r="C685">
        <v>1600357.8</v>
      </c>
      <c r="D685">
        <v>1132105.1000000001</v>
      </c>
      <c r="E685" t="s">
        <v>139</v>
      </c>
      <c r="F685" t="s">
        <v>139</v>
      </c>
      <c r="G685">
        <v>468252.6</v>
      </c>
      <c r="H685" t="s">
        <v>139</v>
      </c>
      <c r="I685" t="s">
        <v>139</v>
      </c>
      <c r="J685">
        <v>4093797.9</v>
      </c>
      <c r="K685">
        <v>917377</v>
      </c>
      <c r="L685">
        <v>2150885.9</v>
      </c>
      <c r="M685" t="s">
        <v>139</v>
      </c>
      <c r="N685">
        <v>243283.9</v>
      </c>
      <c r="O685" t="s">
        <v>139</v>
      </c>
      <c r="P685" t="s">
        <v>139</v>
      </c>
      <c r="Q685" t="s">
        <v>139</v>
      </c>
      <c r="R685" t="s">
        <v>139</v>
      </c>
      <c r="S685" t="s">
        <v>139</v>
      </c>
      <c r="T685" t="s">
        <v>139</v>
      </c>
      <c r="U685" s="11">
        <v>613366.6</v>
      </c>
      <c r="V685" s="12">
        <v>245189.6</v>
      </c>
      <c r="W685" s="11">
        <v>368177</v>
      </c>
      <c r="X685" s="11" t="s">
        <v>139</v>
      </c>
      <c r="Y685" s="11" t="s">
        <v>139</v>
      </c>
      <c r="Z685" s="11">
        <v>412168.5</v>
      </c>
      <c r="AA685" s="11" t="s">
        <v>139</v>
      </c>
      <c r="AB685" s="11" t="s">
        <v>139</v>
      </c>
      <c r="AC685" s="11" t="s">
        <v>139</v>
      </c>
      <c r="AD685" s="11">
        <v>320403.59999999998</v>
      </c>
      <c r="AE685" s="11" t="s">
        <v>139</v>
      </c>
      <c r="AF685" s="11">
        <v>90659.1</v>
      </c>
      <c r="AG685" s="11">
        <v>773269.4</v>
      </c>
      <c r="AH685" s="13">
        <v>7280579.4000000004</v>
      </c>
      <c r="AI685" s="11">
        <v>4543072.9000000004</v>
      </c>
      <c r="AJ685" s="11">
        <v>1000405.1</v>
      </c>
      <c r="AK685" s="11" t="s">
        <v>139</v>
      </c>
      <c r="AL685" s="11">
        <v>1700209.6</v>
      </c>
      <c r="AM685" s="11" t="s">
        <v>139</v>
      </c>
      <c r="AN685" s="11">
        <v>628666</v>
      </c>
      <c r="AO685" s="13">
        <v>6910782.9000000004</v>
      </c>
      <c r="AP685" s="11">
        <v>369796.5</v>
      </c>
      <c r="AQ685" s="11" t="s">
        <v>139</v>
      </c>
      <c r="AR685" s="11" t="s">
        <v>139</v>
      </c>
      <c r="AS685">
        <f t="shared" si="12"/>
        <v>5543478</v>
      </c>
      <c r="AT685">
        <f t="shared" si="11"/>
        <v>1.3133594829816229</v>
      </c>
    </row>
    <row r="686" spans="1:46" x14ac:dyDescent="0.4">
      <c r="A686" s="3" t="s">
        <v>817</v>
      </c>
      <c r="B686">
        <v>5731688.5999999996</v>
      </c>
      <c r="C686">
        <v>1601651.7</v>
      </c>
      <c r="D686">
        <v>1100759.8</v>
      </c>
      <c r="E686" t="s">
        <v>139</v>
      </c>
      <c r="F686" t="s">
        <v>139</v>
      </c>
      <c r="G686">
        <v>500892</v>
      </c>
      <c r="H686" t="s">
        <v>139</v>
      </c>
      <c r="I686" t="s">
        <v>139</v>
      </c>
      <c r="J686">
        <v>4130036.9</v>
      </c>
      <c r="K686">
        <v>921508.2</v>
      </c>
      <c r="L686">
        <v>2177755.4</v>
      </c>
      <c r="M686" t="s">
        <v>139</v>
      </c>
      <c r="N686">
        <v>247841.7</v>
      </c>
      <c r="O686" t="s">
        <v>139</v>
      </c>
      <c r="P686" t="s">
        <v>139</v>
      </c>
      <c r="Q686" t="s">
        <v>139</v>
      </c>
      <c r="R686" t="s">
        <v>139</v>
      </c>
      <c r="S686" t="s">
        <v>139</v>
      </c>
      <c r="T686" t="s">
        <v>139</v>
      </c>
      <c r="U686" s="11">
        <v>617939.4</v>
      </c>
      <c r="V686" s="12">
        <v>245820.79999999999</v>
      </c>
      <c r="W686" s="11">
        <v>372118.6</v>
      </c>
      <c r="X686" s="11" t="s">
        <v>139</v>
      </c>
      <c r="Y686" s="11" t="s">
        <v>139</v>
      </c>
      <c r="Z686" s="11">
        <v>412833.9</v>
      </c>
      <c r="AA686" s="11" t="s">
        <v>139</v>
      </c>
      <c r="AB686" s="11" t="s">
        <v>139</v>
      </c>
      <c r="AC686" s="11" t="s">
        <v>139</v>
      </c>
      <c r="AD686" s="11">
        <v>322158.90000000002</v>
      </c>
      <c r="AE686" s="11" t="s">
        <v>139</v>
      </c>
      <c r="AF686" s="11">
        <v>87487.3</v>
      </c>
      <c r="AG686" s="11">
        <v>762794.9</v>
      </c>
      <c r="AH686" s="13">
        <v>7305766.2000000002</v>
      </c>
      <c r="AI686" s="11">
        <v>4585438.0999999996</v>
      </c>
      <c r="AJ686" s="11">
        <v>1004404.6</v>
      </c>
      <c r="AK686" s="11" t="s">
        <v>139</v>
      </c>
      <c r="AL686" s="11">
        <v>1728135.2</v>
      </c>
      <c r="AM686" s="11" t="s">
        <v>139</v>
      </c>
      <c r="AN686" s="11">
        <v>604857.4</v>
      </c>
      <c r="AO686" s="13">
        <v>6950692.0999999996</v>
      </c>
      <c r="AP686" s="11">
        <v>355074.1</v>
      </c>
      <c r="AQ686" s="11" t="s">
        <v>139</v>
      </c>
      <c r="AR686" s="11" t="s">
        <v>139</v>
      </c>
      <c r="AS686">
        <f t="shared" si="12"/>
        <v>5589842.6999999993</v>
      </c>
      <c r="AT686">
        <f t="shared" si="11"/>
        <v>1.3069716970747676</v>
      </c>
    </row>
    <row r="687" spans="1:46" x14ac:dyDescent="0.4">
      <c r="A687" s="3" t="s">
        <v>818</v>
      </c>
      <c r="B687">
        <v>5736891.5999999996</v>
      </c>
      <c r="C687">
        <v>1573560.3</v>
      </c>
      <c r="D687">
        <v>1068394.2</v>
      </c>
      <c r="E687" t="s">
        <v>139</v>
      </c>
      <c r="F687" t="s">
        <v>139</v>
      </c>
      <c r="G687">
        <v>505166.1</v>
      </c>
      <c r="H687" t="s">
        <v>139</v>
      </c>
      <c r="I687" t="s">
        <v>139</v>
      </c>
      <c r="J687">
        <v>4163331.3</v>
      </c>
      <c r="K687">
        <v>909697.9</v>
      </c>
      <c r="L687">
        <v>2221292.7000000002</v>
      </c>
      <c r="M687" t="s">
        <v>139</v>
      </c>
      <c r="N687">
        <v>252778.4</v>
      </c>
      <c r="O687" t="s">
        <v>139</v>
      </c>
      <c r="P687" t="s">
        <v>139</v>
      </c>
      <c r="Q687" t="s">
        <v>139</v>
      </c>
      <c r="R687" t="s">
        <v>139</v>
      </c>
      <c r="S687" t="s">
        <v>139</v>
      </c>
      <c r="T687" t="s">
        <v>139</v>
      </c>
      <c r="U687" s="11">
        <v>618795.1</v>
      </c>
      <c r="V687" s="12">
        <v>245567.6</v>
      </c>
      <c r="W687" s="11">
        <v>373227.5</v>
      </c>
      <c r="X687" s="11" t="s">
        <v>139</v>
      </c>
      <c r="Y687" s="11" t="s">
        <v>139</v>
      </c>
      <c r="Z687" s="11">
        <v>413545.6</v>
      </c>
      <c r="AA687" s="11" t="s">
        <v>139</v>
      </c>
      <c r="AB687" s="11" t="s">
        <v>139</v>
      </c>
      <c r="AC687" s="11" t="s">
        <v>139</v>
      </c>
      <c r="AD687" s="11">
        <v>331615.59999999998</v>
      </c>
      <c r="AE687" s="11" t="s">
        <v>139</v>
      </c>
      <c r="AF687" s="11">
        <v>90403.1</v>
      </c>
      <c r="AG687" s="11">
        <v>768049.5</v>
      </c>
      <c r="AH687" s="13">
        <v>7312927</v>
      </c>
      <c r="AI687" s="11">
        <v>4622242</v>
      </c>
      <c r="AJ687" s="11">
        <v>999275.7</v>
      </c>
      <c r="AK687" s="11" t="s">
        <v>139</v>
      </c>
      <c r="AL687" s="11">
        <v>1718821.6</v>
      </c>
      <c r="AM687" s="11" t="s">
        <v>139</v>
      </c>
      <c r="AN687" s="11">
        <v>579677.69999999995</v>
      </c>
      <c r="AO687" s="13">
        <v>6956933.4000000004</v>
      </c>
      <c r="AP687" s="11">
        <v>355993.59999999998</v>
      </c>
      <c r="AQ687" s="11" t="s">
        <v>139</v>
      </c>
      <c r="AR687" s="11" t="s">
        <v>139</v>
      </c>
      <c r="AS687">
        <f t="shared" si="12"/>
        <v>5621517.7000000002</v>
      </c>
      <c r="AT687">
        <f t="shared" si="11"/>
        <v>1.3008812548966981</v>
      </c>
    </row>
    <row r="688" spans="1:46" x14ac:dyDescent="0.4">
      <c r="A688" s="3" t="s">
        <v>819</v>
      </c>
      <c r="B688">
        <v>5731106.7999999998</v>
      </c>
      <c r="C688">
        <v>1569420.8</v>
      </c>
      <c r="D688">
        <v>1064478.2</v>
      </c>
      <c r="E688" t="s">
        <v>139</v>
      </c>
      <c r="F688" t="s">
        <v>139</v>
      </c>
      <c r="G688">
        <v>504942.6</v>
      </c>
      <c r="H688" t="s">
        <v>139</v>
      </c>
      <c r="I688" t="s">
        <v>139</v>
      </c>
      <c r="J688">
        <v>4161686</v>
      </c>
      <c r="K688">
        <v>899905.4</v>
      </c>
      <c r="L688">
        <v>2235139.6</v>
      </c>
      <c r="M688" t="s">
        <v>139</v>
      </c>
      <c r="N688">
        <v>258451.4</v>
      </c>
      <c r="O688" t="s">
        <v>139</v>
      </c>
      <c r="P688" t="s">
        <v>139</v>
      </c>
      <c r="Q688" t="s">
        <v>139</v>
      </c>
      <c r="R688" t="s">
        <v>139</v>
      </c>
      <c r="S688" t="s">
        <v>139</v>
      </c>
      <c r="T688" t="s">
        <v>139</v>
      </c>
      <c r="U688" s="11">
        <v>618248.5</v>
      </c>
      <c r="V688" s="12">
        <v>244047.2</v>
      </c>
      <c r="W688" s="11">
        <v>374201.3</v>
      </c>
      <c r="X688" s="11" t="s">
        <v>139</v>
      </c>
      <c r="Y688" s="11" t="s">
        <v>139</v>
      </c>
      <c r="Z688" s="11">
        <v>408392.6</v>
      </c>
      <c r="AA688" s="11" t="s">
        <v>139</v>
      </c>
      <c r="AB688" s="11" t="s">
        <v>139</v>
      </c>
      <c r="AC688" s="11" t="s">
        <v>139</v>
      </c>
      <c r="AD688" s="11">
        <v>317136.09999999998</v>
      </c>
      <c r="AE688" s="11" t="s">
        <v>139</v>
      </c>
      <c r="AF688" s="11">
        <v>76092</v>
      </c>
      <c r="AG688" s="11">
        <v>784999.4</v>
      </c>
      <c r="AH688" s="13">
        <v>7276578.5</v>
      </c>
      <c r="AI688" s="11">
        <v>4608239.5</v>
      </c>
      <c r="AJ688" s="11">
        <v>998797.9</v>
      </c>
      <c r="AK688" s="11" t="s">
        <v>139</v>
      </c>
      <c r="AL688" s="11">
        <v>1671447.3</v>
      </c>
      <c r="AM688" s="11" t="s">
        <v>139</v>
      </c>
      <c r="AN688" s="11">
        <v>592676.80000000005</v>
      </c>
      <c r="AO688" s="13">
        <v>6910878.0999999996</v>
      </c>
      <c r="AP688" s="11">
        <v>365700.4</v>
      </c>
      <c r="AQ688" s="11" t="s">
        <v>139</v>
      </c>
      <c r="AR688" s="11" t="s">
        <v>139</v>
      </c>
      <c r="AS688">
        <f t="shared" si="12"/>
        <v>5607037.4000000004</v>
      </c>
      <c r="AT688">
        <f t="shared" si="11"/>
        <v>1.2977581529953768</v>
      </c>
    </row>
    <row r="689" spans="1:46" x14ac:dyDescent="0.4">
      <c r="A689" s="3" t="s">
        <v>820</v>
      </c>
      <c r="B689">
        <v>5700817.5</v>
      </c>
      <c r="C689">
        <v>1580137.3</v>
      </c>
      <c r="D689">
        <v>1088369.8999999999</v>
      </c>
      <c r="E689" t="s">
        <v>139</v>
      </c>
      <c r="F689" t="s">
        <v>139</v>
      </c>
      <c r="G689">
        <v>491767.4</v>
      </c>
      <c r="H689" t="s">
        <v>139</v>
      </c>
      <c r="I689" t="s">
        <v>139</v>
      </c>
      <c r="J689">
        <v>4120680.2</v>
      </c>
      <c r="K689">
        <v>886948.8</v>
      </c>
      <c r="L689">
        <v>2213398.7999999998</v>
      </c>
      <c r="M689" t="s">
        <v>139</v>
      </c>
      <c r="N689">
        <v>264933.40000000002</v>
      </c>
      <c r="O689" t="s">
        <v>139</v>
      </c>
      <c r="P689" t="s">
        <v>139</v>
      </c>
      <c r="Q689" t="s">
        <v>139</v>
      </c>
      <c r="R689" t="s">
        <v>139</v>
      </c>
      <c r="S689" t="s">
        <v>139</v>
      </c>
      <c r="T689" t="s">
        <v>139</v>
      </c>
      <c r="U689" s="11">
        <v>617352.5</v>
      </c>
      <c r="V689" s="12">
        <v>241731.9</v>
      </c>
      <c r="W689" s="11">
        <v>375620.7</v>
      </c>
      <c r="X689" s="11" t="s">
        <v>139</v>
      </c>
      <c r="Y689" s="11" t="s">
        <v>139</v>
      </c>
      <c r="Z689" s="11">
        <v>402980.1</v>
      </c>
      <c r="AA689" s="11" t="s">
        <v>139</v>
      </c>
      <c r="AB689" s="11" t="s">
        <v>139</v>
      </c>
      <c r="AC689" s="11" t="s">
        <v>139</v>
      </c>
      <c r="AD689" s="11">
        <v>309781.3</v>
      </c>
      <c r="AE689" s="11" t="s">
        <v>139</v>
      </c>
      <c r="AF689" s="11">
        <v>88447.5</v>
      </c>
      <c r="AG689" s="11">
        <v>774980</v>
      </c>
      <c r="AH689" s="13">
        <v>7257715.4000000004</v>
      </c>
      <c r="AI689" s="11">
        <v>4578468.0999999996</v>
      </c>
      <c r="AJ689" s="11">
        <v>990574.5</v>
      </c>
      <c r="AK689" s="11" t="s">
        <v>139</v>
      </c>
      <c r="AL689" s="11">
        <v>1666243.4</v>
      </c>
      <c r="AM689" s="11" t="s">
        <v>139</v>
      </c>
      <c r="AN689" s="11">
        <v>595568.30000000005</v>
      </c>
      <c r="AO689" s="13">
        <v>6887707.2000000002</v>
      </c>
      <c r="AP689" s="11">
        <v>370008.2</v>
      </c>
      <c r="AQ689" s="11" t="s">
        <v>139</v>
      </c>
      <c r="AR689" s="11" t="s">
        <v>139</v>
      </c>
      <c r="AS689">
        <f t="shared" si="12"/>
        <v>5569042.5999999996</v>
      </c>
      <c r="AT689">
        <f t="shared" si="11"/>
        <v>1.3032249744327689</v>
      </c>
    </row>
    <row r="690" spans="1:46" x14ac:dyDescent="0.4">
      <c r="A690" s="3" t="s">
        <v>821</v>
      </c>
      <c r="B690">
        <v>5728082.5</v>
      </c>
      <c r="C690">
        <v>1601743.9</v>
      </c>
      <c r="D690">
        <v>1100597.8</v>
      </c>
      <c r="E690" t="s">
        <v>139</v>
      </c>
      <c r="F690" t="s">
        <v>139</v>
      </c>
      <c r="G690">
        <v>501146.1</v>
      </c>
      <c r="H690" t="s">
        <v>139</v>
      </c>
      <c r="I690" t="s">
        <v>139</v>
      </c>
      <c r="J690">
        <v>4126338.6</v>
      </c>
      <c r="K690">
        <v>881812.9</v>
      </c>
      <c r="L690">
        <v>2202485.6</v>
      </c>
      <c r="M690" t="s">
        <v>139</v>
      </c>
      <c r="N690">
        <v>271230</v>
      </c>
      <c r="O690" t="s">
        <v>139</v>
      </c>
      <c r="P690" t="s">
        <v>139</v>
      </c>
      <c r="Q690" t="s">
        <v>139</v>
      </c>
      <c r="R690" t="s">
        <v>139</v>
      </c>
      <c r="S690" t="s">
        <v>139</v>
      </c>
      <c r="T690" t="s">
        <v>139</v>
      </c>
      <c r="U690" s="11">
        <v>646436.80000000005</v>
      </c>
      <c r="V690" s="12">
        <v>271378.3</v>
      </c>
      <c r="W690" s="11">
        <v>375058.5</v>
      </c>
      <c r="X690" s="11" t="s">
        <v>139</v>
      </c>
      <c r="Y690" s="11" t="s">
        <v>139</v>
      </c>
      <c r="Z690" s="11">
        <v>395603.4</v>
      </c>
      <c r="AA690" s="11" t="s">
        <v>139</v>
      </c>
      <c r="AB690" s="11" t="s">
        <v>139</v>
      </c>
      <c r="AC690" s="11" t="s">
        <v>139</v>
      </c>
      <c r="AD690" s="11">
        <v>316154.2</v>
      </c>
      <c r="AE690" s="11" t="s">
        <v>139</v>
      </c>
      <c r="AF690" s="11">
        <v>87949.7</v>
      </c>
      <c r="AG690" s="11">
        <v>771673</v>
      </c>
      <c r="AH690" s="13">
        <v>7278273.2999999998</v>
      </c>
      <c r="AI690" s="11">
        <v>4605284.5</v>
      </c>
      <c r="AJ690" s="11">
        <v>998262.5</v>
      </c>
      <c r="AK690" s="11" t="s">
        <v>139</v>
      </c>
      <c r="AL690" s="11">
        <v>1659134.4</v>
      </c>
      <c r="AM690" s="11" t="s">
        <v>139</v>
      </c>
      <c r="AN690" s="11">
        <v>578839.30000000005</v>
      </c>
      <c r="AO690" s="13">
        <v>6909239.4000000004</v>
      </c>
      <c r="AP690" s="11">
        <v>369034</v>
      </c>
      <c r="AQ690" s="11" t="s">
        <v>139</v>
      </c>
      <c r="AR690" s="11" t="s">
        <v>139</v>
      </c>
      <c r="AS690">
        <f t="shared" si="12"/>
        <v>5603547</v>
      </c>
      <c r="AT690">
        <f t="shared" si="11"/>
        <v>1.2988689663886106</v>
      </c>
    </row>
    <row r="691" spans="1:46" x14ac:dyDescent="0.4">
      <c r="A691" s="3" t="s">
        <v>822</v>
      </c>
      <c r="B691">
        <v>5788748.2000000002</v>
      </c>
      <c r="C691">
        <v>1621085.2</v>
      </c>
      <c r="D691">
        <v>1113978.8999999999</v>
      </c>
      <c r="E691" t="s">
        <v>139</v>
      </c>
      <c r="F691" t="s">
        <v>139</v>
      </c>
      <c r="G691">
        <v>507106.3</v>
      </c>
      <c r="H691" t="s">
        <v>139</v>
      </c>
      <c r="I691" t="s">
        <v>139</v>
      </c>
      <c r="J691">
        <v>4167663</v>
      </c>
      <c r="K691">
        <v>883627</v>
      </c>
      <c r="L691">
        <v>2207400.1</v>
      </c>
      <c r="M691" t="s">
        <v>139</v>
      </c>
      <c r="N691">
        <v>278706.40000000002</v>
      </c>
      <c r="O691" t="s">
        <v>139</v>
      </c>
      <c r="P691" t="s">
        <v>139</v>
      </c>
      <c r="Q691" t="s">
        <v>139</v>
      </c>
      <c r="R691" t="s">
        <v>139</v>
      </c>
      <c r="S691" t="s">
        <v>139</v>
      </c>
      <c r="T691" t="s">
        <v>139</v>
      </c>
      <c r="U691" s="11">
        <v>664772.1</v>
      </c>
      <c r="V691" s="12">
        <v>280989.7</v>
      </c>
      <c r="W691" s="11">
        <v>383782.40000000002</v>
      </c>
      <c r="X691" s="11" t="s">
        <v>139</v>
      </c>
      <c r="Y691" s="11" t="s">
        <v>139</v>
      </c>
      <c r="Z691" s="11">
        <v>411863.8</v>
      </c>
      <c r="AA691" s="11" t="s">
        <v>139</v>
      </c>
      <c r="AB691" s="11" t="s">
        <v>139</v>
      </c>
      <c r="AC691" s="11" t="s">
        <v>139</v>
      </c>
      <c r="AD691" s="11">
        <v>304520</v>
      </c>
      <c r="AE691" s="11" t="s">
        <v>139</v>
      </c>
      <c r="AF691" s="11">
        <v>89567.2</v>
      </c>
      <c r="AG691" s="11">
        <v>782237.1</v>
      </c>
      <c r="AH691" s="13">
        <v>7314540.2000000002</v>
      </c>
      <c r="AI691" s="11">
        <v>4627716.5</v>
      </c>
      <c r="AJ691" s="11">
        <v>1004237.1</v>
      </c>
      <c r="AK691" s="11" t="s">
        <v>139</v>
      </c>
      <c r="AL691" s="11">
        <v>1686809.2</v>
      </c>
      <c r="AM691" s="11" t="s">
        <v>139</v>
      </c>
      <c r="AN691" s="11">
        <v>574903.69999999995</v>
      </c>
      <c r="AO691" s="13">
        <v>6930551.9000000004</v>
      </c>
      <c r="AP691" s="11">
        <v>383988.3</v>
      </c>
      <c r="AQ691" s="11" t="s">
        <v>139</v>
      </c>
      <c r="AR691" s="11" t="s">
        <v>139</v>
      </c>
      <c r="AS691">
        <f t="shared" si="12"/>
        <v>5631953.5999999996</v>
      </c>
      <c r="AT691">
        <f t="shared" si="11"/>
        <v>1.2987571843631667</v>
      </c>
    </row>
    <row r="692" spans="1:46" x14ac:dyDescent="0.4">
      <c r="A692" s="3" t="s">
        <v>823</v>
      </c>
      <c r="B692">
        <v>5817180.7000000002</v>
      </c>
      <c r="C692">
        <v>1616567</v>
      </c>
      <c r="D692">
        <v>1108625.3999999999</v>
      </c>
      <c r="E692" t="s">
        <v>139</v>
      </c>
      <c r="F692" t="s">
        <v>139</v>
      </c>
      <c r="G692">
        <v>507941.6</v>
      </c>
      <c r="H692" t="s">
        <v>139</v>
      </c>
      <c r="I692" t="s">
        <v>139</v>
      </c>
      <c r="J692">
        <v>4200613.7</v>
      </c>
      <c r="K692">
        <v>876401.4</v>
      </c>
      <c r="L692">
        <v>2224678.6</v>
      </c>
      <c r="M692" t="s">
        <v>139</v>
      </c>
      <c r="N692">
        <v>289190.5</v>
      </c>
      <c r="O692" t="s">
        <v>139</v>
      </c>
      <c r="P692" t="s">
        <v>139</v>
      </c>
      <c r="Q692" t="s">
        <v>139</v>
      </c>
      <c r="R692" t="s">
        <v>139</v>
      </c>
      <c r="S692" t="s">
        <v>139</v>
      </c>
      <c r="T692" t="s">
        <v>139</v>
      </c>
      <c r="U692" s="11">
        <v>671934.4</v>
      </c>
      <c r="V692" s="12">
        <v>283276.59999999998</v>
      </c>
      <c r="W692" s="11">
        <v>388657.8</v>
      </c>
      <c r="X692" s="11" t="s">
        <v>139</v>
      </c>
      <c r="Y692" s="11" t="s">
        <v>139</v>
      </c>
      <c r="Z692" s="11">
        <v>427599.4</v>
      </c>
      <c r="AA692" s="11" t="s">
        <v>139</v>
      </c>
      <c r="AB692" s="11" t="s">
        <v>139</v>
      </c>
      <c r="AC692" s="11" t="s">
        <v>139</v>
      </c>
      <c r="AD692" s="11">
        <v>313578</v>
      </c>
      <c r="AE692" s="11" t="s">
        <v>139</v>
      </c>
      <c r="AF692" s="11">
        <v>103440</v>
      </c>
      <c r="AG692" s="11">
        <v>788498.8</v>
      </c>
      <c r="AH692" s="13">
        <v>7402153</v>
      </c>
      <c r="AI692" s="11">
        <v>4660843.5999999996</v>
      </c>
      <c r="AJ692" s="11">
        <v>1023513.8</v>
      </c>
      <c r="AK692" s="11" t="s">
        <v>139</v>
      </c>
      <c r="AL692" s="11">
        <v>1753231.4</v>
      </c>
      <c r="AM692" s="11" t="s">
        <v>139</v>
      </c>
      <c r="AN692" s="11">
        <v>588141.5</v>
      </c>
      <c r="AO692" s="13">
        <v>7023084</v>
      </c>
      <c r="AP692" s="11">
        <v>379068.9</v>
      </c>
      <c r="AQ692" s="11" t="s">
        <v>139</v>
      </c>
      <c r="AR692" s="11" t="s">
        <v>139</v>
      </c>
      <c r="AS692">
        <f t="shared" si="12"/>
        <v>5684357.3999999994</v>
      </c>
      <c r="AT692">
        <f t="shared" si="11"/>
        <v>1.3021969730474725</v>
      </c>
    </row>
    <row r="693" spans="1:46" x14ac:dyDescent="0.4">
      <c r="A693" s="3" t="s">
        <v>824</v>
      </c>
      <c r="B693">
        <v>5902679.5</v>
      </c>
      <c r="C693">
        <v>1671293</v>
      </c>
      <c r="D693">
        <v>1155678.5</v>
      </c>
      <c r="E693" t="s">
        <v>139</v>
      </c>
      <c r="F693" t="s">
        <v>139</v>
      </c>
      <c r="G693">
        <v>515614.5</v>
      </c>
      <c r="H693" t="s">
        <v>139</v>
      </c>
      <c r="I693" t="s">
        <v>139</v>
      </c>
      <c r="J693">
        <v>4231386.5</v>
      </c>
      <c r="K693">
        <v>874566.8</v>
      </c>
      <c r="L693">
        <v>2252014.2000000002</v>
      </c>
      <c r="M693" t="s">
        <v>139</v>
      </c>
      <c r="N693">
        <v>297587.90000000002</v>
      </c>
      <c r="O693" t="s">
        <v>139</v>
      </c>
      <c r="P693" t="s">
        <v>139</v>
      </c>
      <c r="Q693" t="s">
        <v>139</v>
      </c>
      <c r="R693" t="s">
        <v>139</v>
      </c>
      <c r="S693" t="s">
        <v>139</v>
      </c>
      <c r="T693" t="s">
        <v>139</v>
      </c>
      <c r="U693" s="11">
        <v>671297.8</v>
      </c>
      <c r="V693" s="12">
        <v>281560.2</v>
      </c>
      <c r="W693" s="11">
        <v>389737.6</v>
      </c>
      <c r="X693" s="11" t="s">
        <v>139</v>
      </c>
      <c r="Y693" s="11" t="s">
        <v>139</v>
      </c>
      <c r="Z693" s="11">
        <v>433507.7</v>
      </c>
      <c r="AA693" s="11" t="s">
        <v>139</v>
      </c>
      <c r="AB693" s="11" t="s">
        <v>139</v>
      </c>
      <c r="AC693" s="11" t="s">
        <v>139</v>
      </c>
      <c r="AD693" s="11">
        <v>318115.40000000002</v>
      </c>
      <c r="AE693" s="11" t="s">
        <v>139</v>
      </c>
      <c r="AF693" s="11">
        <v>117478.6</v>
      </c>
      <c r="AG693" s="11">
        <v>776935.8</v>
      </c>
      <c r="AH693" s="13">
        <v>7520614.7999999998</v>
      </c>
      <c r="AI693" s="11">
        <v>4713380.5999999996</v>
      </c>
      <c r="AJ693" s="11">
        <v>1035898.3</v>
      </c>
      <c r="AK693" s="11" t="s">
        <v>139</v>
      </c>
      <c r="AL693" s="11">
        <v>1809839.7</v>
      </c>
      <c r="AM693" s="11" t="s">
        <v>139</v>
      </c>
      <c r="AN693" s="11">
        <v>594439.69999999995</v>
      </c>
      <c r="AO693" s="13">
        <v>7130441.0999999996</v>
      </c>
      <c r="AP693" s="11">
        <v>390173.8</v>
      </c>
      <c r="AQ693" s="11" t="s">
        <v>139</v>
      </c>
      <c r="AR693" s="11" t="s">
        <v>139</v>
      </c>
      <c r="AS693">
        <f t="shared" si="12"/>
        <v>5749278.8999999994</v>
      </c>
      <c r="AT693">
        <f t="shared" si="11"/>
        <v>1.3080970554411615</v>
      </c>
    </row>
    <row r="694" spans="1:46" x14ac:dyDescent="0.4">
      <c r="A694" s="3" t="s">
        <v>825</v>
      </c>
      <c r="B694">
        <v>5978238.4000000004</v>
      </c>
      <c r="C694">
        <v>1712036.4</v>
      </c>
      <c r="D694">
        <v>1188472.2</v>
      </c>
      <c r="E694" t="s">
        <v>139</v>
      </c>
      <c r="F694" t="s">
        <v>139</v>
      </c>
      <c r="G694">
        <v>523564.1</v>
      </c>
      <c r="H694" t="s">
        <v>139</v>
      </c>
      <c r="I694" t="s">
        <v>139</v>
      </c>
      <c r="J694">
        <v>4266202</v>
      </c>
      <c r="K694">
        <v>869375.4</v>
      </c>
      <c r="L694">
        <v>2288972.9</v>
      </c>
      <c r="M694" t="s">
        <v>139</v>
      </c>
      <c r="N694">
        <v>306454.8</v>
      </c>
      <c r="O694" t="s">
        <v>139</v>
      </c>
      <c r="P694" t="s">
        <v>139</v>
      </c>
      <c r="Q694" t="s">
        <v>139</v>
      </c>
      <c r="R694" t="s">
        <v>139</v>
      </c>
      <c r="S694" t="s">
        <v>139</v>
      </c>
      <c r="T694" t="s">
        <v>139</v>
      </c>
      <c r="U694" s="11">
        <v>669655.6</v>
      </c>
      <c r="V694" s="12">
        <v>279474.5</v>
      </c>
      <c r="W694" s="11">
        <v>390181.1</v>
      </c>
      <c r="X694" s="11" t="s">
        <v>139</v>
      </c>
      <c r="Y694" s="11" t="s">
        <v>139</v>
      </c>
      <c r="Z694" s="11">
        <v>438198</v>
      </c>
      <c r="AA694" s="11" t="s">
        <v>139</v>
      </c>
      <c r="AB694" s="11" t="s">
        <v>139</v>
      </c>
      <c r="AC694" s="11" t="s">
        <v>139</v>
      </c>
      <c r="AD694" s="11">
        <v>318930.09999999998</v>
      </c>
      <c r="AE694" s="11" t="s">
        <v>139</v>
      </c>
      <c r="AF694" s="11">
        <v>92425.8</v>
      </c>
      <c r="AG694" s="11">
        <v>783064.8</v>
      </c>
      <c r="AH694" s="13">
        <v>7551555.2999999998</v>
      </c>
      <c r="AI694" s="11">
        <v>4773560.8</v>
      </c>
      <c r="AJ694" s="11">
        <v>1054998</v>
      </c>
      <c r="AK694" s="11" t="s">
        <v>139</v>
      </c>
      <c r="AL694" s="11">
        <v>1785739.6</v>
      </c>
      <c r="AM694" s="11" t="s">
        <v>139</v>
      </c>
      <c r="AN694" s="11">
        <v>590211.19999999995</v>
      </c>
      <c r="AO694" s="13">
        <v>7160907.0999999996</v>
      </c>
      <c r="AP694" s="11">
        <v>390648.1</v>
      </c>
      <c r="AQ694" s="11" t="s">
        <v>139</v>
      </c>
      <c r="AR694" s="11" t="s">
        <v>139</v>
      </c>
      <c r="AS694">
        <f t="shared" si="12"/>
        <v>5828558.7999999998</v>
      </c>
      <c r="AT694">
        <f t="shared" si="11"/>
        <v>1.2956127851022108</v>
      </c>
    </row>
    <row r="695" spans="1:46" x14ac:dyDescent="0.4">
      <c r="A695" s="3" t="s">
        <v>826</v>
      </c>
      <c r="B695">
        <v>6033947.2999999998</v>
      </c>
      <c r="C695">
        <v>1711868.9</v>
      </c>
      <c r="D695">
        <v>1188117.5</v>
      </c>
      <c r="E695" t="s">
        <v>139</v>
      </c>
      <c r="F695" t="s">
        <v>139</v>
      </c>
      <c r="G695">
        <v>523751.5</v>
      </c>
      <c r="H695" t="s">
        <v>139</v>
      </c>
      <c r="I695" t="s">
        <v>139</v>
      </c>
      <c r="J695">
        <v>4322078.4000000004</v>
      </c>
      <c r="K695">
        <v>864495.8</v>
      </c>
      <c r="L695">
        <v>2343098.9</v>
      </c>
      <c r="M695" t="s">
        <v>139</v>
      </c>
      <c r="N695">
        <v>316622.2</v>
      </c>
      <c r="O695" t="s">
        <v>139</v>
      </c>
      <c r="P695" t="s">
        <v>139</v>
      </c>
      <c r="Q695" t="s">
        <v>139</v>
      </c>
      <c r="R695" t="s">
        <v>139</v>
      </c>
      <c r="S695" t="s">
        <v>139</v>
      </c>
      <c r="T695" t="s">
        <v>139</v>
      </c>
      <c r="U695" s="11">
        <v>672082.9</v>
      </c>
      <c r="V695" s="12">
        <v>281049.09999999998</v>
      </c>
      <c r="W695" s="11">
        <v>391033.8</v>
      </c>
      <c r="X695" s="11" t="s">
        <v>139</v>
      </c>
      <c r="Y695" s="11" t="s">
        <v>139</v>
      </c>
      <c r="Z695" s="11">
        <v>442400.7</v>
      </c>
      <c r="AA695" s="11" t="s">
        <v>139</v>
      </c>
      <c r="AB695" s="11" t="s">
        <v>139</v>
      </c>
      <c r="AC695" s="11" t="s">
        <v>139</v>
      </c>
      <c r="AD695" s="11">
        <v>327202.59999999998</v>
      </c>
      <c r="AE695" s="11" t="s">
        <v>139</v>
      </c>
      <c r="AF695" s="11">
        <v>124047.4</v>
      </c>
      <c r="AG695" s="11">
        <v>787028.8</v>
      </c>
      <c r="AH695" s="13">
        <v>7638298.5</v>
      </c>
      <c r="AI695" s="11">
        <v>4824000.4000000004</v>
      </c>
      <c r="AJ695" s="11">
        <v>1067008.6000000001</v>
      </c>
      <c r="AK695" s="11" t="s">
        <v>139</v>
      </c>
      <c r="AL695" s="11">
        <v>1805200.7</v>
      </c>
      <c r="AM695" s="11" t="s">
        <v>139</v>
      </c>
      <c r="AN695" s="11">
        <v>553978</v>
      </c>
      <c r="AO695" s="13">
        <v>7202602.0999999996</v>
      </c>
      <c r="AP695" s="11">
        <v>435696.3</v>
      </c>
      <c r="AQ695" s="11" t="s">
        <v>139</v>
      </c>
      <c r="AR695" s="11" t="s">
        <v>139</v>
      </c>
      <c r="AS695">
        <f t="shared" si="12"/>
        <v>5891009</v>
      </c>
      <c r="AT695">
        <f t="shared" si="11"/>
        <v>1.2966027551477175</v>
      </c>
    </row>
    <row r="696" spans="1:46" x14ac:dyDescent="0.4">
      <c r="A696" s="3" t="s">
        <v>827</v>
      </c>
      <c r="B696">
        <v>6066598.4000000004</v>
      </c>
      <c r="C696">
        <v>1694588.1</v>
      </c>
      <c r="D696">
        <v>1178672.5</v>
      </c>
      <c r="E696" t="s">
        <v>139</v>
      </c>
      <c r="F696" t="s">
        <v>139</v>
      </c>
      <c r="G696">
        <v>515915.7</v>
      </c>
      <c r="H696" t="s">
        <v>139</v>
      </c>
      <c r="I696" t="s">
        <v>139</v>
      </c>
      <c r="J696">
        <v>4372010.3</v>
      </c>
      <c r="K696">
        <v>862844.8</v>
      </c>
      <c r="L696">
        <v>2383958.1</v>
      </c>
      <c r="M696" t="s">
        <v>139</v>
      </c>
      <c r="N696">
        <v>327467.90000000002</v>
      </c>
      <c r="O696" t="s">
        <v>139</v>
      </c>
      <c r="P696" t="s">
        <v>139</v>
      </c>
      <c r="Q696" t="s">
        <v>139</v>
      </c>
      <c r="R696" t="s">
        <v>139</v>
      </c>
      <c r="S696" t="s">
        <v>139</v>
      </c>
      <c r="T696" t="s">
        <v>139</v>
      </c>
      <c r="U696" s="11">
        <v>677176.8</v>
      </c>
      <c r="V696" s="12">
        <v>284903.90000000002</v>
      </c>
      <c r="W696" s="11">
        <v>392272.9</v>
      </c>
      <c r="X696" s="11" t="s">
        <v>139</v>
      </c>
      <c r="Y696" s="11" t="s">
        <v>139</v>
      </c>
      <c r="Z696" s="11">
        <v>448030.6</v>
      </c>
      <c r="AA696" s="11" t="s">
        <v>139</v>
      </c>
      <c r="AB696" s="11" t="s">
        <v>139</v>
      </c>
      <c r="AC696" s="11" t="s">
        <v>139</v>
      </c>
      <c r="AD696" s="11">
        <v>330834.3</v>
      </c>
      <c r="AE696" s="11" t="s">
        <v>139</v>
      </c>
      <c r="AF696" s="11">
        <v>122286.5</v>
      </c>
      <c r="AG696" s="11">
        <v>794850.3</v>
      </c>
      <c r="AH696" s="13">
        <v>7664792.2999999998</v>
      </c>
      <c r="AI696" s="11">
        <v>4907152.5999999996</v>
      </c>
      <c r="AJ696" s="11">
        <v>1093517.1000000001</v>
      </c>
      <c r="AK696" s="11" t="s">
        <v>139</v>
      </c>
      <c r="AL696" s="11">
        <v>1780597.2</v>
      </c>
      <c r="AM696" s="11" t="s">
        <v>139</v>
      </c>
      <c r="AN696" s="11">
        <v>537641.80000000005</v>
      </c>
      <c r="AO696" s="13">
        <v>7233687.2000000002</v>
      </c>
      <c r="AP696" s="11">
        <v>431105.1</v>
      </c>
      <c r="AQ696" s="11" t="s">
        <v>139</v>
      </c>
      <c r="AR696" s="11" t="s">
        <v>139</v>
      </c>
      <c r="AS696">
        <f t="shared" si="12"/>
        <v>6000669.6999999993</v>
      </c>
      <c r="AT696">
        <f t="shared" si="11"/>
        <v>1.2773228128187093</v>
      </c>
    </row>
    <row r="697" spans="1:46" x14ac:dyDescent="0.4">
      <c r="A697" s="3" t="s">
        <v>828</v>
      </c>
      <c r="B697">
        <v>6107703.2000000002</v>
      </c>
      <c r="C697">
        <v>1701937.1</v>
      </c>
      <c r="D697">
        <v>1180685.8</v>
      </c>
      <c r="E697" t="s">
        <v>139</v>
      </c>
      <c r="F697" t="s">
        <v>139</v>
      </c>
      <c r="G697">
        <v>521251.3</v>
      </c>
      <c r="H697" t="s">
        <v>139</v>
      </c>
      <c r="I697" t="s">
        <v>139</v>
      </c>
      <c r="J697">
        <v>4405766.0999999996</v>
      </c>
      <c r="K697">
        <v>869158.5</v>
      </c>
      <c r="L697">
        <v>2409802.7000000002</v>
      </c>
      <c r="M697">
        <v>1406891.5</v>
      </c>
      <c r="N697">
        <v>336426.2</v>
      </c>
      <c r="O697">
        <v>1070465.3999999999</v>
      </c>
      <c r="P697">
        <v>1002911.2</v>
      </c>
      <c r="Q697" t="s">
        <v>139</v>
      </c>
      <c r="R697" t="s">
        <v>139</v>
      </c>
      <c r="S697" t="s">
        <v>139</v>
      </c>
      <c r="T697" t="s">
        <v>139</v>
      </c>
      <c r="U697" s="11">
        <v>679977.5</v>
      </c>
      <c r="V697" s="12">
        <v>287433.59999999998</v>
      </c>
      <c r="W697" s="11">
        <v>392543.9</v>
      </c>
      <c r="X697" s="11" t="s">
        <v>139</v>
      </c>
      <c r="Y697" s="11" t="s">
        <v>139</v>
      </c>
      <c r="Z697" s="11">
        <v>446827.4</v>
      </c>
      <c r="AA697" s="11" t="s">
        <v>139</v>
      </c>
      <c r="AB697" s="11" t="s">
        <v>139</v>
      </c>
      <c r="AC697" s="11" t="s">
        <v>139</v>
      </c>
      <c r="AD697" s="11">
        <v>328942.5</v>
      </c>
      <c r="AE697" s="11" t="s">
        <v>139</v>
      </c>
      <c r="AF697" s="11">
        <v>123608.9</v>
      </c>
      <c r="AG697" s="11">
        <v>803398.1</v>
      </c>
      <c r="AH697" s="13">
        <v>7742339</v>
      </c>
      <c r="AI697" s="11">
        <v>4940621.4000000004</v>
      </c>
      <c r="AJ697" s="11">
        <v>1119960.1000000001</v>
      </c>
      <c r="AK697" s="11" t="s">
        <v>139</v>
      </c>
      <c r="AL697" s="11">
        <v>1826101.2</v>
      </c>
      <c r="AM697" s="11">
        <v>44479.5</v>
      </c>
      <c r="AN697" s="11">
        <v>520342.1</v>
      </c>
      <c r="AO697" s="13">
        <v>7331544.0999999996</v>
      </c>
      <c r="AP697" s="11">
        <v>410794.9</v>
      </c>
      <c r="AQ697" s="11" t="s">
        <v>139</v>
      </c>
      <c r="AR697" s="11" t="s">
        <v>139</v>
      </c>
      <c r="AS697">
        <f t="shared" si="12"/>
        <v>6060581.5</v>
      </c>
      <c r="AT697">
        <f t="shared" si="11"/>
        <v>1.2774911120327315</v>
      </c>
    </row>
    <row r="698" spans="1:46" x14ac:dyDescent="0.4">
      <c r="A698" s="3" t="s">
        <v>829</v>
      </c>
      <c r="B698">
        <v>6135178.5</v>
      </c>
      <c r="C698">
        <v>1702420</v>
      </c>
      <c r="D698">
        <v>1179549.8999999999</v>
      </c>
      <c r="E698" t="s">
        <v>139</v>
      </c>
      <c r="F698" t="s">
        <v>139</v>
      </c>
      <c r="G698">
        <v>522870.1</v>
      </c>
      <c r="H698" t="s">
        <v>139</v>
      </c>
      <c r="I698" t="s">
        <v>139</v>
      </c>
      <c r="J698">
        <v>4432758.5</v>
      </c>
      <c r="K698">
        <v>878132.3</v>
      </c>
      <c r="L698">
        <v>2413656</v>
      </c>
      <c r="M698">
        <v>1400378.7</v>
      </c>
      <c r="N698">
        <v>345451.6</v>
      </c>
      <c r="O698">
        <v>1054927.1000000001</v>
      </c>
      <c r="P698">
        <v>1013277.2</v>
      </c>
      <c r="Q698" t="s">
        <v>139</v>
      </c>
      <c r="R698" t="s">
        <v>139</v>
      </c>
      <c r="S698" t="s">
        <v>139</v>
      </c>
      <c r="T698" t="s">
        <v>139</v>
      </c>
      <c r="U698" s="11">
        <v>680087</v>
      </c>
      <c r="V698" s="12">
        <v>287878.59999999998</v>
      </c>
      <c r="W698" s="11">
        <v>392208.4</v>
      </c>
      <c r="X698" s="11" t="s">
        <v>139</v>
      </c>
      <c r="Y698" s="11" t="s">
        <v>139</v>
      </c>
      <c r="Z698" s="11">
        <v>460883.1</v>
      </c>
      <c r="AA698" s="11" t="s">
        <v>139</v>
      </c>
      <c r="AB698" s="11" t="s">
        <v>139</v>
      </c>
      <c r="AC698" s="11" t="s">
        <v>139</v>
      </c>
      <c r="AD698" s="11">
        <v>326447.40000000002</v>
      </c>
      <c r="AE698" s="11" t="s">
        <v>139</v>
      </c>
      <c r="AF698" s="11">
        <v>129698</v>
      </c>
      <c r="AG698" s="11">
        <v>829761.6</v>
      </c>
      <c r="AH698" s="13">
        <v>7845745.7000000002</v>
      </c>
      <c r="AI698" s="11">
        <v>4991184.8</v>
      </c>
      <c r="AJ698" s="11">
        <v>1165780.5</v>
      </c>
      <c r="AK698" s="11" t="s">
        <v>139</v>
      </c>
      <c r="AL698" s="11">
        <v>1863073.3</v>
      </c>
      <c r="AM698" s="11">
        <v>31769.200000000001</v>
      </c>
      <c r="AN698" s="11">
        <v>547341.5</v>
      </c>
      <c r="AO698" s="13">
        <v>7433368.7999999998</v>
      </c>
      <c r="AP698" s="11">
        <v>412376.9</v>
      </c>
      <c r="AQ698" s="11" t="s">
        <v>139</v>
      </c>
      <c r="AR698" s="11" t="s">
        <v>139</v>
      </c>
      <c r="AS698">
        <f t="shared" si="12"/>
        <v>6156965.2999999998</v>
      </c>
      <c r="AT698">
        <f t="shared" si="11"/>
        <v>1.2742877891483326</v>
      </c>
    </row>
    <row r="699" spans="1:46" x14ac:dyDescent="0.4">
      <c r="A699" s="3" t="s">
        <v>830</v>
      </c>
      <c r="B699">
        <v>6169835.5999999996</v>
      </c>
      <c r="C699">
        <v>1705019.5</v>
      </c>
      <c r="D699">
        <v>1179525.3999999999</v>
      </c>
      <c r="E699" t="s">
        <v>139</v>
      </c>
      <c r="F699" t="s">
        <v>139</v>
      </c>
      <c r="G699">
        <v>525494.1</v>
      </c>
      <c r="H699" t="s">
        <v>139</v>
      </c>
      <c r="I699" t="s">
        <v>139</v>
      </c>
      <c r="J699">
        <v>4464816.0999999996</v>
      </c>
      <c r="K699">
        <v>883042.4</v>
      </c>
      <c r="L699">
        <v>2437303.6</v>
      </c>
      <c r="M699">
        <v>1411114.4</v>
      </c>
      <c r="N699">
        <v>357132.7</v>
      </c>
      <c r="O699">
        <v>1053981.7</v>
      </c>
      <c r="P699">
        <v>1026189.2</v>
      </c>
      <c r="Q699" t="s">
        <v>139</v>
      </c>
      <c r="R699" t="s">
        <v>139</v>
      </c>
      <c r="S699" t="s">
        <v>139</v>
      </c>
      <c r="T699" t="s">
        <v>139</v>
      </c>
      <c r="U699" s="11">
        <v>683613.5</v>
      </c>
      <c r="V699" s="12">
        <v>290661.3</v>
      </c>
      <c r="W699" s="11">
        <v>392952.2</v>
      </c>
      <c r="X699" s="11" t="s">
        <v>139</v>
      </c>
      <c r="Y699" s="11" t="s">
        <v>139</v>
      </c>
      <c r="Z699" s="11">
        <v>460856.7</v>
      </c>
      <c r="AA699" s="11" t="s">
        <v>139</v>
      </c>
      <c r="AB699" s="11" t="s">
        <v>139</v>
      </c>
      <c r="AC699" s="11" t="s">
        <v>139</v>
      </c>
      <c r="AD699" s="11">
        <v>323509.7</v>
      </c>
      <c r="AE699" s="11" t="s">
        <v>139</v>
      </c>
      <c r="AF699" s="11">
        <v>125962.1</v>
      </c>
      <c r="AG699" s="11">
        <v>845166.2</v>
      </c>
      <c r="AH699" s="13">
        <v>7877132.4000000004</v>
      </c>
      <c r="AI699" s="11">
        <v>5010058.4000000004</v>
      </c>
      <c r="AJ699" s="11">
        <v>1158995.3999999999</v>
      </c>
      <c r="AK699" s="11" t="s">
        <v>139</v>
      </c>
      <c r="AL699" s="11">
        <v>1838850.5</v>
      </c>
      <c r="AM699" s="11">
        <v>36321.4</v>
      </c>
      <c r="AN699" s="11">
        <v>560140.6</v>
      </c>
      <c r="AO699" s="13">
        <v>7445370.7999999998</v>
      </c>
      <c r="AP699" s="11">
        <v>431761.6</v>
      </c>
      <c r="AQ699" s="11" t="s">
        <v>139</v>
      </c>
      <c r="AR699" s="11" t="s">
        <v>139</v>
      </c>
      <c r="AS699">
        <f t="shared" si="12"/>
        <v>6169053.8000000007</v>
      </c>
      <c r="AT699">
        <f t="shared" si="11"/>
        <v>1.2768785384883496</v>
      </c>
    </row>
    <row r="700" spans="1:46" x14ac:dyDescent="0.4">
      <c r="A700" s="3" t="s">
        <v>831</v>
      </c>
      <c r="B700">
        <v>6230151.9000000004</v>
      </c>
      <c r="C700">
        <v>1723268.3</v>
      </c>
      <c r="D700">
        <v>1178549.1000000001</v>
      </c>
      <c r="E700" t="s">
        <v>139</v>
      </c>
      <c r="F700" t="s">
        <v>139</v>
      </c>
      <c r="G700">
        <v>544719.1</v>
      </c>
      <c r="H700" t="s">
        <v>139</v>
      </c>
      <c r="I700" t="s">
        <v>139</v>
      </c>
      <c r="J700">
        <v>4506883.7</v>
      </c>
      <c r="K700">
        <v>886831.5</v>
      </c>
      <c r="L700">
        <v>2466440.9</v>
      </c>
      <c r="M700">
        <v>1426620.2</v>
      </c>
      <c r="N700">
        <v>368796</v>
      </c>
      <c r="O700">
        <v>1057824.2</v>
      </c>
      <c r="P700">
        <v>1039820.6</v>
      </c>
      <c r="Q700" t="s">
        <v>139</v>
      </c>
      <c r="R700" t="s">
        <v>139</v>
      </c>
      <c r="S700" t="s">
        <v>139</v>
      </c>
      <c r="T700" t="s">
        <v>139</v>
      </c>
      <c r="U700" s="11">
        <v>686419.5</v>
      </c>
      <c r="V700" s="12">
        <v>294299.2</v>
      </c>
      <c r="W700" s="11">
        <v>392120.3</v>
      </c>
      <c r="X700" s="11" t="s">
        <v>139</v>
      </c>
      <c r="Y700" s="11" t="s">
        <v>139</v>
      </c>
      <c r="Z700" s="11">
        <v>467191.8</v>
      </c>
      <c r="AA700" s="11" t="s">
        <v>139</v>
      </c>
      <c r="AB700" s="11" t="s">
        <v>139</v>
      </c>
      <c r="AC700" s="11" t="s">
        <v>139</v>
      </c>
      <c r="AD700" s="11">
        <v>322236.79999999999</v>
      </c>
      <c r="AE700" s="11" t="s">
        <v>139</v>
      </c>
      <c r="AF700" s="11">
        <v>121820.3</v>
      </c>
      <c r="AG700" s="11">
        <v>860277.9</v>
      </c>
      <c r="AH700" s="13">
        <v>7960883.2999999998</v>
      </c>
      <c r="AI700" s="11">
        <v>5042920.7</v>
      </c>
      <c r="AJ700" s="11">
        <v>1159532.1000000001</v>
      </c>
      <c r="AK700" s="11" t="s">
        <v>139</v>
      </c>
      <c r="AL700" s="11">
        <v>1855448.7</v>
      </c>
      <c r="AM700" s="11">
        <v>33784.9</v>
      </c>
      <c r="AN700" s="11">
        <v>566035</v>
      </c>
      <c r="AO700" s="13">
        <v>7498189.2999999998</v>
      </c>
      <c r="AP700" s="11">
        <v>462694</v>
      </c>
      <c r="AQ700" s="11" t="s">
        <v>139</v>
      </c>
      <c r="AR700" s="11" t="s">
        <v>139</v>
      </c>
      <c r="AS700">
        <f t="shared" si="12"/>
        <v>6202452.8000000007</v>
      </c>
      <c r="AT700">
        <f t="shared" si="11"/>
        <v>1.2835056640817966</v>
      </c>
    </row>
    <row r="701" spans="1:46" x14ac:dyDescent="0.4">
      <c r="A701" s="3" t="s">
        <v>832</v>
      </c>
      <c r="B701">
        <v>6260154.4000000004</v>
      </c>
      <c r="C701">
        <v>1720985.2</v>
      </c>
      <c r="D701">
        <v>1161295.7</v>
      </c>
      <c r="E701" t="s">
        <v>139</v>
      </c>
      <c r="F701" t="s">
        <v>139</v>
      </c>
      <c r="G701">
        <v>559689.5</v>
      </c>
      <c r="H701" t="s">
        <v>139</v>
      </c>
      <c r="I701" t="s">
        <v>139</v>
      </c>
      <c r="J701">
        <v>4539169.2</v>
      </c>
      <c r="K701">
        <v>889304.4</v>
      </c>
      <c r="L701">
        <v>2495946.7000000002</v>
      </c>
      <c r="M701">
        <v>1443062.4</v>
      </c>
      <c r="N701">
        <v>381560.9</v>
      </c>
      <c r="O701">
        <v>1061501.5</v>
      </c>
      <c r="P701">
        <v>1052884.3</v>
      </c>
      <c r="Q701" t="s">
        <v>139</v>
      </c>
      <c r="R701" t="s">
        <v>139</v>
      </c>
      <c r="S701" t="s">
        <v>139</v>
      </c>
      <c r="T701" t="s">
        <v>139</v>
      </c>
      <c r="U701" s="11">
        <v>684346.8</v>
      </c>
      <c r="V701" s="12">
        <v>291309</v>
      </c>
      <c r="W701" s="11">
        <v>393037.8</v>
      </c>
      <c r="X701" s="11" t="s">
        <v>139</v>
      </c>
      <c r="Y701" s="11" t="s">
        <v>139</v>
      </c>
      <c r="Z701" s="11">
        <v>469571.4</v>
      </c>
      <c r="AA701" s="11" t="s">
        <v>139</v>
      </c>
      <c r="AB701" s="11" t="s">
        <v>139</v>
      </c>
      <c r="AC701" s="11" t="s">
        <v>139</v>
      </c>
      <c r="AD701" s="11">
        <v>320300.2</v>
      </c>
      <c r="AE701" s="11" t="s">
        <v>139</v>
      </c>
      <c r="AF701" s="11">
        <v>125201.7</v>
      </c>
      <c r="AG701" s="11">
        <v>860879.1</v>
      </c>
      <c r="AH701" s="13">
        <v>7973739.5999999996</v>
      </c>
      <c r="AI701" s="11">
        <v>5073483.7</v>
      </c>
      <c r="AJ701" s="11">
        <v>1167821.8999999999</v>
      </c>
      <c r="AK701" s="11" t="s">
        <v>139</v>
      </c>
      <c r="AL701" s="11">
        <v>1855242.1</v>
      </c>
      <c r="AM701" s="11">
        <v>16490.3</v>
      </c>
      <c r="AN701" s="11">
        <v>548033</v>
      </c>
      <c r="AO701" s="13">
        <v>7493249</v>
      </c>
      <c r="AP701" s="11">
        <v>480490.6</v>
      </c>
      <c r="AQ701" s="11" t="s">
        <v>139</v>
      </c>
      <c r="AR701" s="11" t="s">
        <v>139</v>
      </c>
      <c r="AS701">
        <f t="shared" si="12"/>
        <v>6241305.5999999996</v>
      </c>
      <c r="AT701">
        <f t="shared" si="11"/>
        <v>1.2775755764947643</v>
      </c>
    </row>
    <row r="702" spans="1:46" x14ac:dyDescent="0.4">
      <c r="A702" s="3" t="s">
        <v>833</v>
      </c>
      <c r="B702">
        <v>6301976.9000000004</v>
      </c>
      <c r="C702">
        <v>1720611.4</v>
      </c>
      <c r="D702">
        <v>1156089.8999999999</v>
      </c>
      <c r="E702" t="s">
        <v>139</v>
      </c>
      <c r="F702" t="s">
        <v>139</v>
      </c>
      <c r="G702">
        <v>564521.5</v>
      </c>
      <c r="H702" t="s">
        <v>139</v>
      </c>
      <c r="I702" t="s">
        <v>139</v>
      </c>
      <c r="J702">
        <v>4581365.5</v>
      </c>
      <c r="K702">
        <v>897653</v>
      </c>
      <c r="L702">
        <v>2526237.7000000002</v>
      </c>
      <c r="M702">
        <v>1458948.4</v>
      </c>
      <c r="N702">
        <v>389432.9</v>
      </c>
      <c r="O702">
        <v>1069515.5</v>
      </c>
      <c r="P702">
        <v>1067289.2</v>
      </c>
      <c r="Q702" t="s">
        <v>139</v>
      </c>
      <c r="R702" t="s">
        <v>139</v>
      </c>
      <c r="S702" t="s">
        <v>139</v>
      </c>
      <c r="T702" t="s">
        <v>139</v>
      </c>
      <c r="U702" s="11">
        <v>680706.3</v>
      </c>
      <c r="V702" s="12">
        <v>287768.8</v>
      </c>
      <c r="W702" s="11">
        <v>392937.6</v>
      </c>
      <c r="X702" s="11" t="s">
        <v>139</v>
      </c>
      <c r="Y702" s="11" t="s">
        <v>139</v>
      </c>
      <c r="Z702" s="11">
        <v>476768.5</v>
      </c>
      <c r="AA702" s="11" t="s">
        <v>139</v>
      </c>
      <c r="AB702" s="11" t="s">
        <v>139</v>
      </c>
      <c r="AC702" s="11" t="s">
        <v>139</v>
      </c>
      <c r="AD702" s="11">
        <v>319709.3</v>
      </c>
      <c r="AE702" s="11" t="s">
        <v>139</v>
      </c>
      <c r="AF702" s="11">
        <v>106455.2</v>
      </c>
      <c r="AG702" s="11">
        <v>867384.6</v>
      </c>
      <c r="AH702" s="13">
        <v>8009666.5</v>
      </c>
      <c r="AI702" s="11">
        <v>5127547.8</v>
      </c>
      <c r="AJ702" s="11">
        <v>1185593.6000000001</v>
      </c>
      <c r="AK702" s="11" t="s">
        <v>139</v>
      </c>
      <c r="AL702" s="11">
        <v>1840779.5</v>
      </c>
      <c r="AM702" s="11">
        <v>-464</v>
      </c>
      <c r="AN702" s="11">
        <v>569916.19999999995</v>
      </c>
      <c r="AO702" s="13">
        <v>7537779.5</v>
      </c>
      <c r="AP702" s="11">
        <v>471887</v>
      </c>
      <c r="AQ702" s="11" t="s">
        <v>139</v>
      </c>
      <c r="AR702" s="11" t="s">
        <v>139</v>
      </c>
      <c r="AS702">
        <f t="shared" si="12"/>
        <v>6313141.4000000004</v>
      </c>
      <c r="AT702">
        <f t="shared" si="11"/>
        <v>1.2687291464753188</v>
      </c>
    </row>
    <row r="703" spans="1:46" x14ac:dyDescent="0.4">
      <c r="A703" s="3" t="s">
        <v>834</v>
      </c>
      <c r="B703">
        <v>6373479.9000000004</v>
      </c>
      <c r="C703">
        <v>1745214.3</v>
      </c>
      <c r="D703">
        <v>1172261.8999999999</v>
      </c>
      <c r="E703" t="s">
        <v>139</v>
      </c>
      <c r="F703" t="s">
        <v>139</v>
      </c>
      <c r="G703">
        <v>572952.4</v>
      </c>
      <c r="H703" t="s">
        <v>139</v>
      </c>
      <c r="I703" t="s">
        <v>139</v>
      </c>
      <c r="J703">
        <v>4628265.5999999996</v>
      </c>
      <c r="K703">
        <v>906435.4</v>
      </c>
      <c r="L703">
        <v>2552724.7999999998</v>
      </c>
      <c r="M703">
        <v>1472880.9</v>
      </c>
      <c r="N703">
        <v>395357.6</v>
      </c>
      <c r="O703">
        <v>1077523.3999999999</v>
      </c>
      <c r="P703">
        <v>1079843.8999999999</v>
      </c>
      <c r="Q703" t="s">
        <v>139</v>
      </c>
      <c r="R703" t="s">
        <v>139</v>
      </c>
      <c r="S703" t="s">
        <v>139</v>
      </c>
      <c r="T703" t="s">
        <v>139</v>
      </c>
      <c r="U703" s="11">
        <v>691415</v>
      </c>
      <c r="V703" s="12">
        <v>296868.7</v>
      </c>
      <c r="W703" s="11">
        <v>394546.3</v>
      </c>
      <c r="X703" s="11" t="s">
        <v>139</v>
      </c>
      <c r="Y703" s="11" t="s">
        <v>139</v>
      </c>
      <c r="Z703" s="11">
        <v>477690.4</v>
      </c>
      <c r="AA703" s="11" t="s">
        <v>139</v>
      </c>
      <c r="AB703" s="11" t="s">
        <v>139</v>
      </c>
      <c r="AC703" s="11" t="s">
        <v>139</v>
      </c>
      <c r="AD703" s="11">
        <v>314041.8</v>
      </c>
      <c r="AE703" s="11" t="s">
        <v>139</v>
      </c>
      <c r="AF703" s="11">
        <v>82163.7</v>
      </c>
      <c r="AG703" s="11">
        <v>879955.5</v>
      </c>
      <c r="AH703" s="13">
        <v>8038937.7999999998</v>
      </c>
      <c r="AI703" s="11">
        <v>5155032.3</v>
      </c>
      <c r="AJ703" s="11">
        <v>1203117.3999999999</v>
      </c>
      <c r="AK703" s="11" t="s">
        <v>139</v>
      </c>
      <c r="AL703" s="11">
        <v>1813118</v>
      </c>
      <c r="AM703" s="11">
        <v>-3363.9</v>
      </c>
      <c r="AN703" s="11">
        <v>583866.80000000005</v>
      </c>
      <c r="AO703" s="13">
        <v>7548653.0999999996</v>
      </c>
      <c r="AP703" s="11">
        <v>490284.7</v>
      </c>
      <c r="AQ703" s="11" t="s">
        <v>139</v>
      </c>
      <c r="AR703" s="11" t="s">
        <v>139</v>
      </c>
      <c r="AS703">
        <f t="shared" si="12"/>
        <v>6358149.6999999993</v>
      </c>
      <c r="AT703">
        <f t="shared" si="11"/>
        <v>1.2643517657346131</v>
      </c>
    </row>
    <row r="704" spans="1:46" x14ac:dyDescent="0.4">
      <c r="A704" s="3" t="s">
        <v>835</v>
      </c>
      <c r="B704">
        <v>6492188.0999999996</v>
      </c>
      <c r="C704">
        <v>1812000.4</v>
      </c>
      <c r="D704">
        <v>1193501.6000000001</v>
      </c>
      <c r="E704" t="s">
        <v>139</v>
      </c>
      <c r="F704" t="s">
        <v>139</v>
      </c>
      <c r="G704">
        <v>618498.80000000005</v>
      </c>
      <c r="H704" t="s">
        <v>139</v>
      </c>
      <c r="I704" t="s">
        <v>139</v>
      </c>
      <c r="J704">
        <v>4680187.5999999996</v>
      </c>
      <c r="K704">
        <v>921448.5</v>
      </c>
      <c r="L704">
        <v>2576173.6</v>
      </c>
      <c r="M704">
        <v>1481424.6</v>
      </c>
      <c r="N704">
        <v>402563.8</v>
      </c>
      <c r="O704">
        <v>1078860.7</v>
      </c>
      <c r="P704">
        <v>1094749</v>
      </c>
      <c r="Q704" t="s">
        <v>139</v>
      </c>
      <c r="R704" t="s">
        <v>139</v>
      </c>
      <c r="S704" t="s">
        <v>139</v>
      </c>
      <c r="T704" t="s">
        <v>139</v>
      </c>
      <c r="U704" s="11">
        <v>693794.9</v>
      </c>
      <c r="V704" s="12">
        <v>303790.40000000002</v>
      </c>
      <c r="W704" s="11">
        <v>390004.5</v>
      </c>
      <c r="X704" s="11" t="s">
        <v>139</v>
      </c>
      <c r="Y704" s="11" t="s">
        <v>139</v>
      </c>
      <c r="Z704" s="11">
        <v>488770.7</v>
      </c>
      <c r="AA704" s="11" t="s">
        <v>139</v>
      </c>
      <c r="AB704" s="11" t="s">
        <v>139</v>
      </c>
      <c r="AC704" s="11" t="s">
        <v>139</v>
      </c>
      <c r="AD704" s="11">
        <v>317534.5</v>
      </c>
      <c r="AE704" s="11" t="s">
        <v>139</v>
      </c>
      <c r="AF704" s="11">
        <v>69718.7</v>
      </c>
      <c r="AG704" s="11">
        <v>862463.4</v>
      </c>
      <c r="AH704" s="13">
        <v>8095843.0999999996</v>
      </c>
      <c r="AI704" s="11">
        <v>5193577.2</v>
      </c>
      <c r="AJ704" s="11">
        <v>1231317.2</v>
      </c>
      <c r="AK704" s="11" t="s">
        <v>139</v>
      </c>
      <c r="AL704" s="11">
        <v>1810359.9</v>
      </c>
      <c r="AM704" s="11">
        <v>24575.7</v>
      </c>
      <c r="AN704" s="11">
        <v>579083.6</v>
      </c>
      <c r="AO704" s="13">
        <v>7607596.5</v>
      </c>
      <c r="AP704" s="11">
        <v>488246.6</v>
      </c>
      <c r="AQ704" s="11" t="s">
        <v>139</v>
      </c>
      <c r="AR704" s="11" t="s">
        <v>139</v>
      </c>
      <c r="AS704">
        <f t="shared" si="12"/>
        <v>6424894.4000000004</v>
      </c>
      <c r="AT704">
        <f t="shared" si="11"/>
        <v>1.2600741111013434</v>
      </c>
    </row>
    <row r="705" spans="1:46" x14ac:dyDescent="0.4">
      <c r="A705" s="3" t="s">
        <v>836</v>
      </c>
      <c r="B705">
        <v>6555585.7000000002</v>
      </c>
      <c r="C705">
        <v>1838076.7</v>
      </c>
      <c r="D705">
        <v>1209980</v>
      </c>
      <c r="E705" t="s">
        <v>139</v>
      </c>
      <c r="F705" t="s">
        <v>139</v>
      </c>
      <c r="G705">
        <v>628096.69999999995</v>
      </c>
      <c r="H705" t="s">
        <v>139</v>
      </c>
      <c r="I705" t="s">
        <v>139</v>
      </c>
      <c r="J705">
        <v>4717509</v>
      </c>
      <c r="K705">
        <v>931850.6</v>
      </c>
      <c r="L705">
        <v>2605761.6</v>
      </c>
      <c r="M705">
        <v>1499025.2</v>
      </c>
      <c r="N705">
        <v>408308</v>
      </c>
      <c r="O705">
        <v>1090717.2</v>
      </c>
      <c r="P705">
        <v>1106736.3999999999</v>
      </c>
      <c r="Q705" t="s">
        <v>139</v>
      </c>
      <c r="R705" t="s">
        <v>139</v>
      </c>
      <c r="S705" t="s">
        <v>139</v>
      </c>
      <c r="T705" t="s">
        <v>139</v>
      </c>
      <c r="U705" s="11">
        <v>690746.4</v>
      </c>
      <c r="V705" s="12">
        <v>299128.90000000002</v>
      </c>
      <c r="W705" s="11">
        <v>391617.4</v>
      </c>
      <c r="X705" s="11" t="s">
        <v>139</v>
      </c>
      <c r="Y705" s="11" t="s">
        <v>139</v>
      </c>
      <c r="Z705" s="11">
        <v>489150.4</v>
      </c>
      <c r="AA705" s="11" t="s">
        <v>139</v>
      </c>
      <c r="AB705" s="11" t="s">
        <v>139</v>
      </c>
      <c r="AC705" s="11" t="s">
        <v>139</v>
      </c>
      <c r="AD705" s="11">
        <v>313802.59999999998</v>
      </c>
      <c r="AE705" s="11" t="s">
        <v>139</v>
      </c>
      <c r="AF705" s="11">
        <v>74841.3</v>
      </c>
      <c r="AG705" s="11">
        <v>857963.7</v>
      </c>
      <c r="AH705" s="13">
        <v>8174029.5</v>
      </c>
      <c r="AI705" s="11">
        <v>5222570.4000000004</v>
      </c>
      <c r="AJ705" s="11">
        <v>1239618.3999999999</v>
      </c>
      <c r="AK705" s="11" t="s">
        <v>139</v>
      </c>
      <c r="AL705" s="11">
        <v>1820372.6</v>
      </c>
      <c r="AM705" s="11">
        <v>32981.599999999999</v>
      </c>
      <c r="AN705" s="11">
        <v>585989.30000000005</v>
      </c>
      <c r="AO705" s="13">
        <v>7661914</v>
      </c>
      <c r="AP705" s="11">
        <v>512115.5</v>
      </c>
      <c r="AQ705" s="11" t="s">
        <v>139</v>
      </c>
      <c r="AR705" s="11" t="s">
        <v>139</v>
      </c>
      <c r="AS705">
        <f t="shared" si="12"/>
        <v>6462188.8000000007</v>
      </c>
      <c r="AT705">
        <f t="shared" ref="AT705:AT768" si="13">AH705/AS705</f>
        <v>1.2649010657194044</v>
      </c>
    </row>
    <row r="706" spans="1:46" x14ac:dyDescent="0.4">
      <c r="A706" s="3" t="s">
        <v>837</v>
      </c>
      <c r="B706">
        <v>6625808.7999999998</v>
      </c>
      <c r="C706">
        <v>1847100.3</v>
      </c>
      <c r="D706">
        <v>1205234.2</v>
      </c>
      <c r="E706" t="s">
        <v>139</v>
      </c>
      <c r="F706" t="s">
        <v>139</v>
      </c>
      <c r="G706">
        <v>641866.1</v>
      </c>
      <c r="H706" t="s">
        <v>139</v>
      </c>
      <c r="I706" t="s">
        <v>139</v>
      </c>
      <c r="J706">
        <v>4778708.4000000004</v>
      </c>
      <c r="K706">
        <v>945831.3</v>
      </c>
      <c r="L706">
        <v>2650142.1</v>
      </c>
      <c r="M706">
        <v>1530687.2</v>
      </c>
      <c r="N706">
        <v>415424.4</v>
      </c>
      <c r="O706">
        <v>1115262.8</v>
      </c>
      <c r="P706">
        <v>1119454.8</v>
      </c>
      <c r="Q706" t="s">
        <v>139</v>
      </c>
      <c r="R706" t="s">
        <v>139</v>
      </c>
      <c r="S706" t="s">
        <v>139</v>
      </c>
      <c r="T706" t="s">
        <v>139</v>
      </c>
      <c r="U706" s="11">
        <v>693057.9</v>
      </c>
      <c r="V706" s="12">
        <v>299727.2</v>
      </c>
      <c r="W706" s="11">
        <v>393330.7</v>
      </c>
      <c r="X706" s="11" t="s">
        <v>139</v>
      </c>
      <c r="Y706" s="11" t="s">
        <v>139</v>
      </c>
      <c r="Z706" s="11">
        <v>489677.2</v>
      </c>
      <c r="AA706" s="11" t="s">
        <v>139</v>
      </c>
      <c r="AB706" s="11" t="s">
        <v>139</v>
      </c>
      <c r="AC706" s="11" t="s">
        <v>139</v>
      </c>
      <c r="AD706" s="11">
        <v>328948.7</v>
      </c>
      <c r="AE706" s="11" t="s">
        <v>139</v>
      </c>
      <c r="AF706" s="11">
        <v>74367.899999999994</v>
      </c>
      <c r="AG706" s="11">
        <v>875305.3</v>
      </c>
      <c r="AH706" s="13">
        <v>8268615.9000000004</v>
      </c>
      <c r="AI706" s="11">
        <v>5249645.7</v>
      </c>
      <c r="AJ706" s="11">
        <v>1250308.2</v>
      </c>
      <c r="AK706" s="11" t="s">
        <v>139</v>
      </c>
      <c r="AL706" s="11">
        <v>1843400</v>
      </c>
      <c r="AM706" s="11">
        <v>51363.4</v>
      </c>
      <c r="AN706" s="11">
        <v>602103.19999999995</v>
      </c>
      <c r="AO706" s="13">
        <v>7746512.2000000002</v>
      </c>
      <c r="AP706" s="11">
        <v>522103.6</v>
      </c>
      <c r="AQ706" s="11" t="s">
        <v>139</v>
      </c>
      <c r="AR706" s="11" t="s">
        <v>139</v>
      </c>
      <c r="AS706">
        <f t="shared" si="12"/>
        <v>6499953.9000000004</v>
      </c>
      <c r="AT706">
        <f t="shared" si="13"/>
        <v>1.2721037759975498</v>
      </c>
    </row>
    <row r="707" spans="1:46" x14ac:dyDescent="0.4">
      <c r="A707" s="3" t="s">
        <v>838</v>
      </c>
      <c r="B707">
        <v>6660073</v>
      </c>
      <c r="C707">
        <v>1837731.2</v>
      </c>
      <c r="D707">
        <v>1190948.8</v>
      </c>
      <c r="E707" t="s">
        <v>139</v>
      </c>
      <c r="F707" t="s">
        <v>139</v>
      </c>
      <c r="G707">
        <v>646782.4</v>
      </c>
      <c r="H707" t="s">
        <v>139</v>
      </c>
      <c r="I707" t="s">
        <v>139</v>
      </c>
      <c r="J707">
        <v>4822341.8</v>
      </c>
      <c r="K707">
        <v>958561.2</v>
      </c>
      <c r="L707">
        <v>2681382.6</v>
      </c>
      <c r="M707">
        <v>1547953.3</v>
      </c>
      <c r="N707">
        <v>421121.2</v>
      </c>
      <c r="O707">
        <v>1126832.1000000001</v>
      </c>
      <c r="P707">
        <v>1133429.3999999999</v>
      </c>
      <c r="Q707" t="s">
        <v>139</v>
      </c>
      <c r="R707" t="s">
        <v>139</v>
      </c>
      <c r="S707" t="s">
        <v>139</v>
      </c>
      <c r="T707" t="s">
        <v>139</v>
      </c>
      <c r="U707" s="11">
        <v>693525.3</v>
      </c>
      <c r="V707" s="12">
        <v>301125.59999999998</v>
      </c>
      <c r="W707" s="11">
        <v>392399.7</v>
      </c>
      <c r="X707" s="11" t="s">
        <v>139</v>
      </c>
      <c r="Y707" s="11" t="s">
        <v>139</v>
      </c>
      <c r="Z707" s="11">
        <v>488872.7</v>
      </c>
      <c r="AA707" s="11" t="s">
        <v>139</v>
      </c>
      <c r="AB707" s="11" t="s">
        <v>139</v>
      </c>
      <c r="AC707" s="11" t="s">
        <v>139</v>
      </c>
      <c r="AD707" s="11">
        <v>315321.90000000002</v>
      </c>
      <c r="AE707" s="11" t="s">
        <v>139</v>
      </c>
      <c r="AF707" s="11">
        <v>75174</v>
      </c>
      <c r="AG707" s="11">
        <v>871442.8</v>
      </c>
      <c r="AH707" s="13">
        <v>8300756</v>
      </c>
      <c r="AI707" s="11">
        <v>5287721.8</v>
      </c>
      <c r="AJ707" s="11">
        <v>1285065.7</v>
      </c>
      <c r="AK707" s="11" t="s">
        <v>139</v>
      </c>
      <c r="AL707" s="11">
        <v>1847000.4</v>
      </c>
      <c r="AM707" s="11">
        <v>25657.7</v>
      </c>
      <c r="AN707" s="11">
        <v>604796.69999999995</v>
      </c>
      <c r="AO707" s="13">
        <v>7765176.5999999996</v>
      </c>
      <c r="AP707" s="11">
        <v>535579.4</v>
      </c>
      <c r="AQ707" s="11" t="s">
        <v>139</v>
      </c>
      <c r="AR707" s="11" t="s">
        <v>139</v>
      </c>
      <c r="AS707">
        <f t="shared" si="12"/>
        <v>6572787.5</v>
      </c>
      <c r="AT707">
        <f t="shared" si="13"/>
        <v>1.2628973628007905</v>
      </c>
    </row>
    <row r="708" spans="1:46" x14ac:dyDescent="0.4">
      <c r="A708" s="3" t="s">
        <v>839</v>
      </c>
      <c r="B708">
        <v>6718434.7000000002</v>
      </c>
      <c r="C708">
        <v>1869875.7</v>
      </c>
      <c r="D708">
        <v>1200847.5</v>
      </c>
      <c r="E708" t="s">
        <v>139</v>
      </c>
      <c r="F708" t="s">
        <v>139</v>
      </c>
      <c r="G708">
        <v>669028.19999999995</v>
      </c>
      <c r="H708" t="s">
        <v>139</v>
      </c>
      <c r="I708" t="s">
        <v>139</v>
      </c>
      <c r="J708">
        <v>4848559</v>
      </c>
      <c r="K708">
        <v>968646.4</v>
      </c>
      <c r="L708">
        <v>2696086</v>
      </c>
      <c r="M708">
        <v>1545514.7</v>
      </c>
      <c r="N708">
        <v>427103.2</v>
      </c>
      <c r="O708">
        <v>1118411.5</v>
      </c>
      <c r="P708">
        <v>1150571.3</v>
      </c>
      <c r="Q708" t="s">
        <v>139</v>
      </c>
      <c r="R708" t="s">
        <v>139</v>
      </c>
      <c r="S708" t="s">
        <v>139</v>
      </c>
      <c r="T708" t="s">
        <v>139</v>
      </c>
      <c r="U708" s="11">
        <v>691829.1</v>
      </c>
      <c r="V708" s="12">
        <v>298997.3</v>
      </c>
      <c r="W708" s="11">
        <v>392831.9</v>
      </c>
      <c r="X708" s="11" t="s">
        <v>139</v>
      </c>
      <c r="Y708" s="11" t="s">
        <v>139</v>
      </c>
      <c r="Z708" s="11">
        <v>491997.5</v>
      </c>
      <c r="AA708" s="11" t="s">
        <v>139</v>
      </c>
      <c r="AB708" s="11" t="s">
        <v>139</v>
      </c>
      <c r="AC708" s="11" t="s">
        <v>139</v>
      </c>
      <c r="AD708" s="11">
        <v>322355.7</v>
      </c>
      <c r="AE708" s="11" t="s">
        <v>139</v>
      </c>
      <c r="AF708" s="11">
        <v>79336.899999999994</v>
      </c>
      <c r="AG708" s="11">
        <v>874655.9</v>
      </c>
      <c r="AH708" s="13">
        <v>8380604.9000000004</v>
      </c>
      <c r="AI708" s="11">
        <v>5313727.5</v>
      </c>
      <c r="AJ708" s="11">
        <v>1290175.2</v>
      </c>
      <c r="AK708" s="11" t="s">
        <v>139</v>
      </c>
      <c r="AL708" s="11">
        <v>1862675.7</v>
      </c>
      <c r="AM708" s="11">
        <v>56015.1</v>
      </c>
      <c r="AN708" s="11">
        <v>602508.1</v>
      </c>
      <c r="AO708" s="13">
        <v>7834926.4000000004</v>
      </c>
      <c r="AP708" s="11">
        <v>545678.5</v>
      </c>
      <c r="AQ708" s="11" t="s">
        <v>139</v>
      </c>
      <c r="AR708" s="11" t="s">
        <v>139</v>
      </c>
      <c r="AS708">
        <f t="shared" si="12"/>
        <v>6603902.7000000002</v>
      </c>
      <c r="AT708">
        <f t="shared" si="13"/>
        <v>1.269038215841672</v>
      </c>
    </row>
    <row r="709" spans="1:46" x14ac:dyDescent="0.4">
      <c r="A709" s="3" t="s">
        <v>840</v>
      </c>
      <c r="B709">
        <v>6750981</v>
      </c>
      <c r="C709">
        <v>1850043.3</v>
      </c>
      <c r="D709">
        <v>1171301.6000000001</v>
      </c>
      <c r="E709" t="s">
        <v>139</v>
      </c>
      <c r="F709" t="s">
        <v>139</v>
      </c>
      <c r="G709">
        <v>678741.7</v>
      </c>
      <c r="H709" t="s">
        <v>139</v>
      </c>
      <c r="I709" t="s">
        <v>139</v>
      </c>
      <c r="J709">
        <v>4900937.7</v>
      </c>
      <c r="K709">
        <v>975070.8</v>
      </c>
      <c r="L709">
        <v>2733556.2</v>
      </c>
      <c r="M709">
        <v>1566730.7</v>
      </c>
      <c r="N709">
        <v>431760.8</v>
      </c>
      <c r="O709">
        <v>1134969.8999999999</v>
      </c>
      <c r="P709">
        <v>1166825.5</v>
      </c>
      <c r="Q709" t="s">
        <v>139</v>
      </c>
      <c r="R709" t="s">
        <v>139</v>
      </c>
      <c r="S709" t="s">
        <v>139</v>
      </c>
      <c r="T709" t="s">
        <v>139</v>
      </c>
      <c r="U709" s="11">
        <v>692900.4</v>
      </c>
      <c r="V709" s="12">
        <v>301594.90000000002</v>
      </c>
      <c r="W709" s="11">
        <v>391305.5</v>
      </c>
      <c r="X709" s="11" t="s">
        <v>139</v>
      </c>
      <c r="Y709" s="11" t="s">
        <v>139</v>
      </c>
      <c r="Z709" s="11">
        <v>499410.3</v>
      </c>
      <c r="AA709" s="11" t="s">
        <v>139</v>
      </c>
      <c r="AB709" s="11" t="s">
        <v>139</v>
      </c>
      <c r="AC709" s="11" t="s">
        <v>139</v>
      </c>
      <c r="AD709" s="11">
        <v>324124.90000000002</v>
      </c>
      <c r="AE709" s="11" t="s">
        <v>139</v>
      </c>
      <c r="AF709" s="11">
        <v>77464</v>
      </c>
      <c r="AG709" s="11">
        <v>887836.8</v>
      </c>
      <c r="AH709" s="13">
        <v>8427938.3000000007</v>
      </c>
      <c r="AI709" s="11">
        <v>5371147.9000000004</v>
      </c>
      <c r="AJ709" s="11">
        <v>1319705.8999999999</v>
      </c>
      <c r="AK709" s="11" t="s">
        <v>139</v>
      </c>
      <c r="AL709" s="11">
        <v>1849620.4</v>
      </c>
      <c r="AM709" s="11">
        <v>41037.1</v>
      </c>
      <c r="AN709" s="11">
        <v>615721</v>
      </c>
      <c r="AO709" s="13">
        <v>7877526.2999999998</v>
      </c>
      <c r="AP709" s="11">
        <v>550412</v>
      </c>
      <c r="AQ709" s="11" t="s">
        <v>139</v>
      </c>
      <c r="AR709" s="11" t="s">
        <v>139</v>
      </c>
      <c r="AS709">
        <f t="shared" si="12"/>
        <v>6690853.8000000007</v>
      </c>
      <c r="AT709">
        <f t="shared" si="13"/>
        <v>1.2596207527356225</v>
      </c>
    </row>
    <row r="710" spans="1:46" x14ac:dyDescent="0.4">
      <c r="A710" s="3" t="s">
        <v>841</v>
      </c>
      <c r="B710">
        <v>6840509.7000000002</v>
      </c>
      <c r="C710">
        <v>1865609.5</v>
      </c>
      <c r="D710">
        <v>1178307</v>
      </c>
      <c r="E710" t="s">
        <v>139</v>
      </c>
      <c r="F710" t="s">
        <v>139</v>
      </c>
      <c r="G710">
        <v>687302.5</v>
      </c>
      <c r="H710" t="s">
        <v>139</v>
      </c>
      <c r="I710" t="s">
        <v>139</v>
      </c>
      <c r="J710">
        <v>4974900.2</v>
      </c>
      <c r="K710">
        <v>989654</v>
      </c>
      <c r="L710">
        <v>2781474.6</v>
      </c>
      <c r="M710">
        <v>1596076.6</v>
      </c>
      <c r="N710">
        <v>437101.9</v>
      </c>
      <c r="O710">
        <v>1158974.7</v>
      </c>
      <c r="P710">
        <v>1185398</v>
      </c>
      <c r="Q710" t="s">
        <v>139</v>
      </c>
      <c r="R710" t="s">
        <v>139</v>
      </c>
      <c r="S710" t="s">
        <v>139</v>
      </c>
      <c r="T710" t="s">
        <v>139</v>
      </c>
      <c r="U710" s="11">
        <v>697638.40000000002</v>
      </c>
      <c r="V710" s="12">
        <v>302440.09999999998</v>
      </c>
      <c r="W710" s="11">
        <v>395198.3</v>
      </c>
      <c r="X710" s="11" t="s">
        <v>139</v>
      </c>
      <c r="Y710" s="11" t="s">
        <v>139</v>
      </c>
      <c r="Z710" s="11">
        <v>506133.2</v>
      </c>
      <c r="AA710" s="11" t="s">
        <v>139</v>
      </c>
      <c r="AB710" s="11" t="s">
        <v>139</v>
      </c>
      <c r="AC710" s="11" t="s">
        <v>139</v>
      </c>
      <c r="AD710" s="11">
        <v>322740.40000000002</v>
      </c>
      <c r="AE710" s="11" t="s">
        <v>139</v>
      </c>
      <c r="AF710" s="11">
        <v>78105</v>
      </c>
      <c r="AG710" s="11">
        <v>870569.1</v>
      </c>
      <c r="AH710" s="13">
        <v>8473897.1999999993</v>
      </c>
      <c r="AI710" s="11">
        <v>5403796.7999999998</v>
      </c>
      <c r="AJ710" s="11">
        <v>1326496.8999999999</v>
      </c>
      <c r="AK710" s="11" t="s">
        <v>139</v>
      </c>
      <c r="AL710" s="11">
        <v>1864577.2</v>
      </c>
      <c r="AM710" s="11">
        <v>72819.5</v>
      </c>
      <c r="AN710" s="11">
        <v>598655.30000000005</v>
      </c>
      <c r="AO710" s="13">
        <v>7939848.9000000004</v>
      </c>
      <c r="AP710" s="11">
        <v>534048.4</v>
      </c>
      <c r="AQ710" s="11" t="s">
        <v>139</v>
      </c>
      <c r="AR710" s="11" t="s">
        <v>139</v>
      </c>
      <c r="AS710">
        <f t="shared" si="12"/>
        <v>6730293.6999999993</v>
      </c>
      <c r="AT710">
        <f t="shared" si="13"/>
        <v>1.259067966082966</v>
      </c>
    </row>
    <row r="711" spans="1:46" x14ac:dyDescent="0.4">
      <c r="A711" s="3" t="s">
        <v>842</v>
      </c>
      <c r="B711">
        <v>6902361.5999999996</v>
      </c>
      <c r="C711">
        <v>1862176.7</v>
      </c>
      <c r="D711">
        <v>1171741.7</v>
      </c>
      <c r="E711" t="s">
        <v>139</v>
      </c>
      <c r="F711" t="s">
        <v>139</v>
      </c>
      <c r="G711">
        <v>690435</v>
      </c>
      <c r="H711" t="s">
        <v>139</v>
      </c>
      <c r="I711" t="s">
        <v>139</v>
      </c>
      <c r="J711">
        <v>5040184.9000000004</v>
      </c>
      <c r="K711">
        <v>995892.2</v>
      </c>
      <c r="L711">
        <v>2823940.9</v>
      </c>
      <c r="M711">
        <v>1622913.6</v>
      </c>
      <c r="N711">
        <v>440994.6</v>
      </c>
      <c r="O711">
        <v>1181919</v>
      </c>
      <c r="P711">
        <v>1201027.3</v>
      </c>
      <c r="Q711" t="s">
        <v>139</v>
      </c>
      <c r="R711" t="s">
        <v>139</v>
      </c>
      <c r="S711" t="s">
        <v>139</v>
      </c>
      <c r="T711" t="s">
        <v>139</v>
      </c>
      <c r="U711" s="11">
        <v>705855.3</v>
      </c>
      <c r="V711" s="12">
        <v>302007.90000000002</v>
      </c>
      <c r="W711" s="11">
        <v>403847.4</v>
      </c>
      <c r="X711" s="11" t="s">
        <v>139</v>
      </c>
      <c r="Y711" s="11" t="s">
        <v>139</v>
      </c>
      <c r="Z711" s="11">
        <v>514496.6</v>
      </c>
      <c r="AA711" s="11" t="s">
        <v>139</v>
      </c>
      <c r="AB711" s="11" t="s">
        <v>139</v>
      </c>
      <c r="AC711" s="11" t="s">
        <v>139</v>
      </c>
      <c r="AD711" s="11">
        <v>325897.7</v>
      </c>
      <c r="AE711" s="11" t="s">
        <v>139</v>
      </c>
      <c r="AF711" s="11">
        <v>75250.7</v>
      </c>
      <c r="AG711" s="11">
        <v>882532.4</v>
      </c>
      <c r="AH711" s="13">
        <v>8571724.6999999993</v>
      </c>
      <c r="AI711" s="11">
        <v>5470648.2999999998</v>
      </c>
      <c r="AJ711" s="11">
        <v>1361371.3</v>
      </c>
      <c r="AK711" s="11" t="s">
        <v>139</v>
      </c>
      <c r="AL711" s="11">
        <v>1897461.2</v>
      </c>
      <c r="AM711" s="11">
        <v>71395.899999999994</v>
      </c>
      <c r="AN711" s="11">
        <v>592986.4</v>
      </c>
      <c r="AO711" s="13">
        <v>8032491.9000000004</v>
      </c>
      <c r="AP711" s="11">
        <v>539232.80000000005</v>
      </c>
      <c r="AQ711" s="11" t="s">
        <v>139</v>
      </c>
      <c r="AR711" s="11" t="s">
        <v>139</v>
      </c>
      <c r="AS711">
        <f t="shared" si="12"/>
        <v>6832019.5999999996</v>
      </c>
      <c r="AT711">
        <f t="shared" si="13"/>
        <v>1.2546399457050739</v>
      </c>
    </row>
    <row r="712" spans="1:46" x14ac:dyDescent="0.4">
      <c r="A712" s="3" t="s">
        <v>843</v>
      </c>
      <c r="B712">
        <v>6940389.2000000002</v>
      </c>
      <c r="C712">
        <v>1861196.8</v>
      </c>
      <c r="D712">
        <v>1167570.8</v>
      </c>
      <c r="E712" t="s">
        <v>139</v>
      </c>
      <c r="F712" t="s">
        <v>139</v>
      </c>
      <c r="G712">
        <v>693626</v>
      </c>
      <c r="H712" t="s">
        <v>139</v>
      </c>
      <c r="I712" t="s">
        <v>139</v>
      </c>
      <c r="J712">
        <v>5079192.4000000004</v>
      </c>
      <c r="K712">
        <v>1000950.7</v>
      </c>
      <c r="L712">
        <v>2845124.3</v>
      </c>
      <c r="M712">
        <v>1625995.5</v>
      </c>
      <c r="N712">
        <v>442530.4</v>
      </c>
      <c r="O712">
        <v>1183465.1000000001</v>
      </c>
      <c r="P712">
        <v>1219128.8</v>
      </c>
      <c r="Q712" t="s">
        <v>139</v>
      </c>
      <c r="R712" t="s">
        <v>139</v>
      </c>
      <c r="S712" t="s">
        <v>139</v>
      </c>
      <c r="T712" t="s">
        <v>139</v>
      </c>
      <c r="U712" s="11">
        <v>711058.5</v>
      </c>
      <c r="V712" s="12">
        <v>304130.3</v>
      </c>
      <c r="W712" s="11">
        <v>406928.2</v>
      </c>
      <c r="X712" s="11" t="s">
        <v>139</v>
      </c>
      <c r="Y712" s="11" t="s">
        <v>139</v>
      </c>
      <c r="Z712" s="11">
        <v>522058.8</v>
      </c>
      <c r="AA712" s="11" t="s">
        <v>139</v>
      </c>
      <c r="AB712" s="11" t="s">
        <v>139</v>
      </c>
      <c r="AC712" s="11" t="s">
        <v>139</v>
      </c>
      <c r="AD712" s="11">
        <v>325928.3</v>
      </c>
      <c r="AE712" s="11" t="s">
        <v>139</v>
      </c>
      <c r="AF712" s="11">
        <v>72473.600000000006</v>
      </c>
      <c r="AG712" s="11">
        <v>910677.8</v>
      </c>
      <c r="AH712" s="13">
        <v>8633764.1999999993</v>
      </c>
      <c r="AI712" s="11">
        <v>5507842.2999999998</v>
      </c>
      <c r="AJ712" s="11">
        <v>1384295.2</v>
      </c>
      <c r="AK712" s="11" t="s">
        <v>139</v>
      </c>
      <c r="AL712" s="11">
        <v>1896708.6</v>
      </c>
      <c r="AM712" s="11">
        <v>61507.6</v>
      </c>
      <c r="AN712" s="11">
        <v>609362.30000000005</v>
      </c>
      <c r="AO712" s="13">
        <v>8075420.7000000002</v>
      </c>
      <c r="AP712" s="11">
        <v>558343.5</v>
      </c>
      <c r="AQ712" s="11" t="s">
        <v>139</v>
      </c>
      <c r="AR712" s="11" t="s">
        <v>139</v>
      </c>
      <c r="AS712">
        <f t="shared" si="12"/>
        <v>6892137.5</v>
      </c>
      <c r="AT712">
        <f t="shared" si="13"/>
        <v>1.2526976137664112</v>
      </c>
    </row>
    <row r="713" spans="1:46" x14ac:dyDescent="0.4">
      <c r="A713" s="3" t="s">
        <v>844</v>
      </c>
      <c r="B713">
        <v>6972086.7999999998</v>
      </c>
      <c r="C713">
        <v>1857675.6</v>
      </c>
      <c r="D713">
        <v>1170426.8</v>
      </c>
      <c r="E713" t="s">
        <v>139</v>
      </c>
      <c r="F713" t="s">
        <v>139</v>
      </c>
      <c r="G713">
        <v>687248.8</v>
      </c>
      <c r="H713" t="s">
        <v>139</v>
      </c>
      <c r="I713" t="s">
        <v>139</v>
      </c>
      <c r="J713">
        <v>5114411.2</v>
      </c>
      <c r="K713">
        <v>1014480.4</v>
      </c>
      <c r="L713">
        <v>2870136.9</v>
      </c>
      <c r="M713">
        <v>1633470.3</v>
      </c>
      <c r="N713">
        <v>442387.20000000001</v>
      </c>
      <c r="O713">
        <v>1191083.1000000001</v>
      </c>
      <c r="P713">
        <v>1236666.6000000001</v>
      </c>
      <c r="Q713" t="s">
        <v>139</v>
      </c>
      <c r="R713" t="s">
        <v>139</v>
      </c>
      <c r="S713" t="s">
        <v>139</v>
      </c>
      <c r="T713" t="s">
        <v>139</v>
      </c>
      <c r="U713" s="11">
        <v>702515.5</v>
      </c>
      <c r="V713" s="12">
        <v>296316.59999999998</v>
      </c>
      <c r="W713" s="11">
        <v>406198.9</v>
      </c>
      <c r="X713" s="11" t="s">
        <v>139</v>
      </c>
      <c r="Y713" s="11" t="s">
        <v>139</v>
      </c>
      <c r="Z713" s="11">
        <v>527278.4</v>
      </c>
      <c r="AA713" s="11" t="s">
        <v>139</v>
      </c>
      <c r="AB713" s="11" t="s">
        <v>139</v>
      </c>
      <c r="AC713" s="11" t="s">
        <v>139</v>
      </c>
      <c r="AD713" s="11">
        <v>324222.5</v>
      </c>
      <c r="AE713" s="11" t="s">
        <v>139</v>
      </c>
      <c r="AF713" s="11">
        <v>69187.5</v>
      </c>
      <c r="AG713" s="11">
        <v>919406.7</v>
      </c>
      <c r="AH713" s="13">
        <v>8672456.9000000004</v>
      </c>
      <c r="AI713" s="11">
        <v>5537224.4000000004</v>
      </c>
      <c r="AJ713" s="11">
        <v>1395043.5</v>
      </c>
      <c r="AK713" s="11" t="s">
        <v>139</v>
      </c>
      <c r="AL713" s="11">
        <v>1888676.2</v>
      </c>
      <c r="AM713" s="11">
        <v>78525.2</v>
      </c>
      <c r="AN713" s="11">
        <v>609983.4</v>
      </c>
      <c r="AO713" s="13">
        <v>8114409.2000000002</v>
      </c>
      <c r="AP713" s="11">
        <v>558047.69999999995</v>
      </c>
      <c r="AQ713" s="11" t="s">
        <v>139</v>
      </c>
      <c r="AR713" s="11" t="s">
        <v>139</v>
      </c>
      <c r="AS713">
        <f t="shared" ref="AS713:AS776" si="14">SUM(AI713:AK713)</f>
        <v>6932267.9000000004</v>
      </c>
      <c r="AT713">
        <f t="shared" si="13"/>
        <v>1.2510273730188644</v>
      </c>
    </row>
    <row r="714" spans="1:46" x14ac:dyDescent="0.4">
      <c r="A714" s="3" t="s">
        <v>845</v>
      </c>
      <c r="B714">
        <v>6992495.7000000002</v>
      </c>
      <c r="C714">
        <v>1832910.4</v>
      </c>
      <c r="D714">
        <v>1152532.8999999999</v>
      </c>
      <c r="E714" t="s">
        <v>139</v>
      </c>
      <c r="F714" t="s">
        <v>139</v>
      </c>
      <c r="G714">
        <v>680377.4</v>
      </c>
      <c r="H714" t="s">
        <v>139</v>
      </c>
      <c r="I714" t="s">
        <v>139</v>
      </c>
      <c r="J714">
        <v>5159585.4000000004</v>
      </c>
      <c r="K714">
        <v>1022639.4</v>
      </c>
      <c r="L714">
        <v>2894341.4</v>
      </c>
      <c r="M714">
        <v>1643766.9</v>
      </c>
      <c r="N714">
        <v>442267.3</v>
      </c>
      <c r="O714">
        <v>1201499.7</v>
      </c>
      <c r="P714">
        <v>1250574.3999999999</v>
      </c>
      <c r="Q714" t="s">
        <v>139</v>
      </c>
      <c r="R714" t="s">
        <v>139</v>
      </c>
      <c r="S714" t="s">
        <v>139</v>
      </c>
      <c r="T714" t="s">
        <v>139</v>
      </c>
      <c r="U714" s="11">
        <v>704577.7</v>
      </c>
      <c r="V714" s="12">
        <v>300495.2</v>
      </c>
      <c r="W714" s="11">
        <v>404082.5</v>
      </c>
      <c r="X714" s="11" t="s">
        <v>139</v>
      </c>
      <c r="Y714" s="11" t="s">
        <v>139</v>
      </c>
      <c r="Z714" s="11">
        <v>538026.9</v>
      </c>
      <c r="AA714" s="11" t="s">
        <v>139</v>
      </c>
      <c r="AB714" s="11" t="s">
        <v>139</v>
      </c>
      <c r="AC714" s="11" t="s">
        <v>139</v>
      </c>
      <c r="AD714" s="11">
        <v>316612.7</v>
      </c>
      <c r="AE714" s="11" t="s">
        <v>139</v>
      </c>
      <c r="AF714" s="11">
        <v>74009</v>
      </c>
      <c r="AG714" s="11">
        <v>925385.7</v>
      </c>
      <c r="AH714" s="13">
        <v>8693311.3000000007</v>
      </c>
      <c r="AI714" s="11">
        <v>5556733.2000000002</v>
      </c>
      <c r="AJ714" s="11">
        <v>1403581.3</v>
      </c>
      <c r="AK714" s="11" t="s">
        <v>139</v>
      </c>
      <c r="AL714" s="11">
        <v>1906937.4</v>
      </c>
      <c r="AM714" s="11">
        <v>61386.9</v>
      </c>
      <c r="AN714" s="11">
        <v>612482.6</v>
      </c>
      <c r="AO714" s="13">
        <v>8137540.0999999996</v>
      </c>
      <c r="AP714" s="11">
        <v>555771.19999999995</v>
      </c>
      <c r="AQ714" s="11" t="s">
        <v>139</v>
      </c>
      <c r="AR714" s="11" t="s">
        <v>139</v>
      </c>
      <c r="AS714">
        <f t="shared" si="14"/>
        <v>6960314.5</v>
      </c>
      <c r="AT714">
        <f t="shared" si="13"/>
        <v>1.2489825423836811</v>
      </c>
    </row>
    <row r="715" spans="1:46" x14ac:dyDescent="0.4">
      <c r="A715" s="3" t="s">
        <v>846</v>
      </c>
      <c r="B715">
        <v>7070856.7000000002</v>
      </c>
      <c r="C715">
        <v>1855762.3</v>
      </c>
      <c r="D715">
        <v>1159005.1000000001</v>
      </c>
      <c r="E715" t="s">
        <v>139</v>
      </c>
      <c r="F715" t="s">
        <v>139</v>
      </c>
      <c r="G715">
        <v>696757.1</v>
      </c>
      <c r="H715" t="s">
        <v>139</v>
      </c>
      <c r="I715" t="s">
        <v>139</v>
      </c>
      <c r="J715">
        <v>5215094.4000000004</v>
      </c>
      <c r="K715">
        <v>1036177.1</v>
      </c>
      <c r="L715">
        <v>2925558.9</v>
      </c>
      <c r="M715">
        <v>1655123.4</v>
      </c>
      <c r="N715">
        <v>443472.9</v>
      </c>
      <c r="O715">
        <v>1211650.5</v>
      </c>
      <c r="P715">
        <v>1270435.5</v>
      </c>
      <c r="Q715" t="s">
        <v>139</v>
      </c>
      <c r="R715" t="s">
        <v>139</v>
      </c>
      <c r="S715" t="s">
        <v>139</v>
      </c>
      <c r="T715" t="s">
        <v>139</v>
      </c>
      <c r="U715" s="11">
        <v>703290.3</v>
      </c>
      <c r="V715" s="12">
        <v>303347.40000000002</v>
      </c>
      <c r="W715" s="11">
        <v>399942.9</v>
      </c>
      <c r="X715" s="11" t="s">
        <v>139</v>
      </c>
      <c r="Y715" s="11" t="s">
        <v>139</v>
      </c>
      <c r="Z715" s="11">
        <v>550068.1</v>
      </c>
      <c r="AA715" s="11" t="s">
        <v>139</v>
      </c>
      <c r="AB715" s="11" t="s">
        <v>139</v>
      </c>
      <c r="AC715" s="11" t="s">
        <v>139</v>
      </c>
      <c r="AD715" s="11">
        <v>323364.09999999998</v>
      </c>
      <c r="AE715" s="11" t="s">
        <v>139</v>
      </c>
      <c r="AF715" s="11">
        <v>73609.3</v>
      </c>
      <c r="AG715" s="11">
        <v>913248.3</v>
      </c>
      <c r="AH715" s="13">
        <v>8778431</v>
      </c>
      <c r="AI715" s="11">
        <v>5595228.5999999996</v>
      </c>
      <c r="AJ715" s="11">
        <v>1425709</v>
      </c>
      <c r="AK715" s="11" t="s">
        <v>139</v>
      </c>
      <c r="AL715" s="11">
        <v>1961654.5</v>
      </c>
      <c r="AM715" s="11">
        <v>42774.9</v>
      </c>
      <c r="AN715" s="11">
        <v>601566.6</v>
      </c>
      <c r="AO715" s="13">
        <v>8201224.7000000002</v>
      </c>
      <c r="AP715" s="11">
        <v>577206.30000000005</v>
      </c>
      <c r="AQ715" s="11" t="s">
        <v>139</v>
      </c>
      <c r="AR715" s="11" t="s">
        <v>139</v>
      </c>
      <c r="AS715">
        <f t="shared" si="14"/>
        <v>7020937.5999999996</v>
      </c>
      <c r="AT715">
        <f t="shared" si="13"/>
        <v>1.2503217518982082</v>
      </c>
    </row>
    <row r="716" spans="1:46" x14ac:dyDescent="0.4">
      <c r="A716" s="3" t="s">
        <v>847</v>
      </c>
      <c r="B716">
        <v>7119712.2999999998</v>
      </c>
      <c r="C716">
        <v>1870128.8</v>
      </c>
      <c r="D716">
        <v>1160038.3</v>
      </c>
      <c r="E716" t="s">
        <v>139</v>
      </c>
      <c r="F716" t="s">
        <v>139</v>
      </c>
      <c r="G716">
        <v>710090.4</v>
      </c>
      <c r="H716" t="s">
        <v>139</v>
      </c>
      <c r="I716" t="s">
        <v>139</v>
      </c>
      <c r="J716">
        <v>5249583.5</v>
      </c>
      <c r="K716">
        <v>1048817.5</v>
      </c>
      <c r="L716">
        <v>2944805.3</v>
      </c>
      <c r="M716">
        <v>1656981.1</v>
      </c>
      <c r="N716">
        <v>443644.5</v>
      </c>
      <c r="O716">
        <v>1213336.6000000001</v>
      </c>
      <c r="P716">
        <v>1287824.2</v>
      </c>
      <c r="Q716" t="s">
        <v>139</v>
      </c>
      <c r="R716" t="s">
        <v>139</v>
      </c>
      <c r="S716" t="s">
        <v>139</v>
      </c>
      <c r="T716" t="s">
        <v>139</v>
      </c>
      <c r="U716" s="11">
        <v>702211.3</v>
      </c>
      <c r="V716" s="12">
        <v>302023.09999999998</v>
      </c>
      <c r="W716" s="11">
        <v>400188.1</v>
      </c>
      <c r="X716" s="11" t="s">
        <v>139</v>
      </c>
      <c r="Y716" s="11" t="s">
        <v>139</v>
      </c>
      <c r="Z716" s="11">
        <v>553749.4</v>
      </c>
      <c r="AA716" s="11" t="s">
        <v>139</v>
      </c>
      <c r="AB716" s="11" t="s">
        <v>139</v>
      </c>
      <c r="AC716" s="11" t="s">
        <v>139</v>
      </c>
      <c r="AD716" s="11">
        <v>320547.40000000002</v>
      </c>
      <c r="AE716" s="11" t="s">
        <v>139</v>
      </c>
      <c r="AF716" s="11">
        <v>77175.199999999997</v>
      </c>
      <c r="AG716" s="11">
        <v>927611</v>
      </c>
      <c r="AH716" s="13">
        <v>8844769.1999999993</v>
      </c>
      <c r="AI716" s="11">
        <v>5639660.2999999998</v>
      </c>
      <c r="AJ716" s="11">
        <v>1444297.9</v>
      </c>
      <c r="AK716" s="11" t="s">
        <v>139</v>
      </c>
      <c r="AL716" s="11">
        <v>1997195.8</v>
      </c>
      <c r="AM716" s="11">
        <v>30978.9</v>
      </c>
      <c r="AN716" s="11">
        <v>595161.4</v>
      </c>
      <c r="AO716" s="13">
        <v>8262996.4000000004</v>
      </c>
      <c r="AP716" s="11">
        <v>581772.80000000005</v>
      </c>
      <c r="AQ716" s="11" t="s">
        <v>139</v>
      </c>
      <c r="AR716" s="11" t="s">
        <v>139</v>
      </c>
      <c r="AS716">
        <f t="shared" si="14"/>
        <v>7083958.1999999993</v>
      </c>
      <c r="AT716">
        <f t="shared" si="13"/>
        <v>1.2485631549886897</v>
      </c>
    </row>
    <row r="717" spans="1:46" x14ac:dyDescent="0.4">
      <c r="A717" s="3" t="s">
        <v>848</v>
      </c>
      <c r="B717">
        <v>7171250.0999999996</v>
      </c>
      <c r="C717">
        <v>1883072</v>
      </c>
      <c r="D717">
        <v>1171251.3</v>
      </c>
      <c r="E717" t="s">
        <v>139</v>
      </c>
      <c r="F717" t="s">
        <v>139</v>
      </c>
      <c r="G717">
        <v>711820.80000000005</v>
      </c>
      <c r="H717" t="s">
        <v>139</v>
      </c>
      <c r="I717" t="s">
        <v>139</v>
      </c>
      <c r="J717">
        <v>5288178</v>
      </c>
      <c r="K717">
        <v>1058476.8999999999</v>
      </c>
      <c r="L717">
        <v>2972361.5</v>
      </c>
      <c r="M717">
        <v>1668224.8</v>
      </c>
      <c r="N717">
        <v>446231.6</v>
      </c>
      <c r="O717">
        <v>1221993.2</v>
      </c>
      <c r="P717">
        <v>1304136.6000000001</v>
      </c>
      <c r="Q717" t="s">
        <v>139</v>
      </c>
      <c r="R717" t="s">
        <v>139</v>
      </c>
      <c r="S717" t="s">
        <v>139</v>
      </c>
      <c r="T717" t="s">
        <v>139</v>
      </c>
      <c r="U717" s="11">
        <v>699866.3</v>
      </c>
      <c r="V717" s="12">
        <v>296137.59999999998</v>
      </c>
      <c r="W717" s="11">
        <v>403728.8</v>
      </c>
      <c r="X717" s="11" t="s">
        <v>139</v>
      </c>
      <c r="Y717" s="11" t="s">
        <v>139</v>
      </c>
      <c r="Z717" s="11">
        <v>557473.30000000005</v>
      </c>
      <c r="AA717" s="11" t="s">
        <v>139</v>
      </c>
      <c r="AB717" s="11" t="s">
        <v>139</v>
      </c>
      <c r="AC717" s="11" t="s">
        <v>139</v>
      </c>
      <c r="AD717" s="11">
        <v>315900.09999999998</v>
      </c>
      <c r="AE717" s="11" t="s">
        <v>139</v>
      </c>
      <c r="AF717" s="11">
        <v>78434.7</v>
      </c>
      <c r="AG717" s="11">
        <v>953294</v>
      </c>
      <c r="AH717" s="13">
        <v>8915191.0999999996</v>
      </c>
      <c r="AI717" s="11">
        <v>5676479.2999999998</v>
      </c>
      <c r="AJ717" s="11">
        <v>1472546.7</v>
      </c>
      <c r="AK717" s="11" t="s">
        <v>139</v>
      </c>
      <c r="AL717" s="11">
        <v>2021820.7</v>
      </c>
      <c r="AM717" s="11">
        <v>29777</v>
      </c>
      <c r="AN717" s="11">
        <v>603403.80000000005</v>
      </c>
      <c r="AO717" s="13">
        <v>8331480.7999999998</v>
      </c>
      <c r="AP717" s="11">
        <v>583710.19999999995</v>
      </c>
      <c r="AQ717" s="11" t="s">
        <v>139</v>
      </c>
      <c r="AR717" s="11" t="s">
        <v>139</v>
      </c>
      <c r="AS717">
        <f t="shared" si="14"/>
        <v>7149026</v>
      </c>
      <c r="AT717">
        <f t="shared" si="13"/>
        <v>1.2470497519522239</v>
      </c>
    </row>
    <row r="718" spans="1:46" x14ac:dyDescent="0.4">
      <c r="A718" s="3" t="s">
        <v>849</v>
      </c>
      <c r="B718">
        <v>7219350.2999999998</v>
      </c>
      <c r="C718">
        <v>1881391.7</v>
      </c>
      <c r="D718">
        <v>1165841.8</v>
      </c>
      <c r="E718" t="s">
        <v>139</v>
      </c>
      <c r="F718" t="s">
        <v>139</v>
      </c>
      <c r="G718">
        <v>715549.9</v>
      </c>
      <c r="H718" t="s">
        <v>139</v>
      </c>
      <c r="I718" t="s">
        <v>139</v>
      </c>
      <c r="J718">
        <v>5337958.5</v>
      </c>
      <c r="K718">
        <v>1068694.7</v>
      </c>
      <c r="L718">
        <v>2997763.7</v>
      </c>
      <c r="M718">
        <v>1678616.7</v>
      </c>
      <c r="N718">
        <v>448059.6</v>
      </c>
      <c r="O718">
        <v>1230557.1000000001</v>
      </c>
      <c r="P718">
        <v>1319147</v>
      </c>
      <c r="Q718" t="s">
        <v>139</v>
      </c>
      <c r="R718" t="s">
        <v>139</v>
      </c>
      <c r="S718" t="s">
        <v>139</v>
      </c>
      <c r="T718" t="s">
        <v>139</v>
      </c>
      <c r="U718" s="11">
        <v>706845.4</v>
      </c>
      <c r="V718" s="12">
        <v>292044.7</v>
      </c>
      <c r="W718" s="11">
        <v>414800.8</v>
      </c>
      <c r="X718" s="11" t="s">
        <v>139</v>
      </c>
      <c r="Y718" s="11" t="s">
        <v>139</v>
      </c>
      <c r="Z718" s="11">
        <v>564654.69999999995</v>
      </c>
      <c r="AA718" s="11" t="s">
        <v>139</v>
      </c>
      <c r="AB718" s="11" t="s">
        <v>139</v>
      </c>
      <c r="AC718" s="11" t="s">
        <v>139</v>
      </c>
      <c r="AD718" s="11">
        <v>315078</v>
      </c>
      <c r="AE718" s="11" t="s">
        <v>139</v>
      </c>
      <c r="AF718" s="11">
        <v>78598.600000000006</v>
      </c>
      <c r="AG718" s="11">
        <v>947693.5</v>
      </c>
      <c r="AH718" s="13">
        <v>8975745.0999999996</v>
      </c>
      <c r="AI718" s="11">
        <v>5709197.5999999996</v>
      </c>
      <c r="AJ718" s="11">
        <v>1513496.5</v>
      </c>
      <c r="AK718" s="11" t="s">
        <v>139</v>
      </c>
      <c r="AL718" s="11">
        <v>2023582.1</v>
      </c>
      <c r="AM718" s="11">
        <v>40706</v>
      </c>
      <c r="AN718" s="11">
        <v>605781.19999999995</v>
      </c>
      <c r="AO718" s="13">
        <v>8379266.9000000004</v>
      </c>
      <c r="AP718" s="11">
        <v>596478.19999999995</v>
      </c>
      <c r="AQ718" s="11" t="s">
        <v>139</v>
      </c>
      <c r="AR718" s="11" t="s">
        <v>139</v>
      </c>
      <c r="AS718">
        <f t="shared" si="14"/>
        <v>7222694.0999999996</v>
      </c>
      <c r="AT718">
        <f t="shared" si="13"/>
        <v>1.2427142802572797</v>
      </c>
    </row>
    <row r="719" spans="1:46" x14ac:dyDescent="0.4">
      <c r="A719" s="3" t="s">
        <v>850</v>
      </c>
      <c r="B719">
        <v>7316394.0999999996</v>
      </c>
      <c r="C719">
        <v>1920231.3</v>
      </c>
      <c r="D719">
        <v>1195677.8</v>
      </c>
      <c r="E719" t="s">
        <v>139</v>
      </c>
      <c r="F719" t="s">
        <v>139</v>
      </c>
      <c r="G719">
        <v>724553.6</v>
      </c>
      <c r="H719" t="s">
        <v>139</v>
      </c>
      <c r="I719" t="s">
        <v>139</v>
      </c>
      <c r="J719">
        <v>5396162.7999999998</v>
      </c>
      <c r="K719">
        <v>1084980</v>
      </c>
      <c r="L719">
        <v>3030847.2</v>
      </c>
      <c r="M719">
        <v>1694296.5</v>
      </c>
      <c r="N719">
        <v>448027.2</v>
      </c>
      <c r="O719">
        <v>1246269.2</v>
      </c>
      <c r="P719">
        <v>1336550.8</v>
      </c>
      <c r="Q719" t="s">
        <v>139</v>
      </c>
      <c r="R719" t="s">
        <v>139</v>
      </c>
      <c r="S719" t="s">
        <v>139</v>
      </c>
      <c r="T719" t="s">
        <v>139</v>
      </c>
      <c r="U719" s="11">
        <v>712830.9</v>
      </c>
      <c r="V719" s="12">
        <v>294895</v>
      </c>
      <c r="W719" s="11">
        <v>417935.9</v>
      </c>
      <c r="X719" s="11" t="s">
        <v>139</v>
      </c>
      <c r="Y719" s="11" t="s">
        <v>139</v>
      </c>
      <c r="Z719" s="11">
        <v>567504.69999999995</v>
      </c>
      <c r="AA719" s="11" t="s">
        <v>139</v>
      </c>
      <c r="AB719" s="11" t="s">
        <v>139</v>
      </c>
      <c r="AC719" s="11" t="s">
        <v>139</v>
      </c>
      <c r="AD719" s="11">
        <v>310940.09999999998</v>
      </c>
      <c r="AE719" s="11" t="s">
        <v>139</v>
      </c>
      <c r="AF719" s="11">
        <v>71974.8</v>
      </c>
      <c r="AG719" s="11">
        <v>986958.3</v>
      </c>
      <c r="AH719" s="13">
        <v>9104478.0999999996</v>
      </c>
      <c r="AI719" s="11">
        <v>5772827</v>
      </c>
      <c r="AJ719" s="11">
        <v>1548100.7</v>
      </c>
      <c r="AK719" s="11" t="s">
        <v>139</v>
      </c>
      <c r="AL719" s="11">
        <v>2018735.8</v>
      </c>
      <c r="AM719" s="11">
        <v>62683.4</v>
      </c>
      <c r="AN719" s="11">
        <v>645155.1</v>
      </c>
      <c r="AO719" s="13">
        <v>8499401.1999999993</v>
      </c>
      <c r="AP719" s="11">
        <v>605076.9</v>
      </c>
      <c r="AQ719" s="11" t="s">
        <v>139</v>
      </c>
      <c r="AR719" s="11" t="s">
        <v>139</v>
      </c>
      <c r="AS719">
        <f t="shared" si="14"/>
        <v>7320927.7000000002</v>
      </c>
      <c r="AT719">
        <f t="shared" si="13"/>
        <v>1.2436235506054785</v>
      </c>
    </row>
    <row r="720" spans="1:46" x14ac:dyDescent="0.4">
      <c r="A720" s="3" t="s">
        <v>851</v>
      </c>
      <c r="B720">
        <v>7396008.7999999998</v>
      </c>
      <c r="C720">
        <v>1936894.1</v>
      </c>
      <c r="D720">
        <v>1198751</v>
      </c>
      <c r="E720" t="s">
        <v>139</v>
      </c>
      <c r="F720" t="s">
        <v>139</v>
      </c>
      <c r="G720">
        <v>738143.1</v>
      </c>
      <c r="H720" t="s">
        <v>139</v>
      </c>
      <c r="I720" t="s">
        <v>139</v>
      </c>
      <c r="J720">
        <v>5459114.7000000002</v>
      </c>
      <c r="K720">
        <v>1103191.8999999999</v>
      </c>
      <c r="L720">
        <v>3058940.1</v>
      </c>
      <c r="M720">
        <v>1705311.4</v>
      </c>
      <c r="N720">
        <v>448700.8</v>
      </c>
      <c r="O720">
        <v>1256610.5</v>
      </c>
      <c r="P720">
        <v>1353628.7</v>
      </c>
      <c r="Q720" t="s">
        <v>139</v>
      </c>
      <c r="R720" t="s">
        <v>139</v>
      </c>
      <c r="S720" t="s">
        <v>139</v>
      </c>
      <c r="T720" t="s">
        <v>139</v>
      </c>
      <c r="U720" s="11">
        <v>722830.5</v>
      </c>
      <c r="V720" s="12">
        <v>301413.3</v>
      </c>
      <c r="W720" s="11">
        <v>421417.2</v>
      </c>
      <c r="X720" s="11" t="s">
        <v>139</v>
      </c>
      <c r="Y720" s="11" t="s">
        <v>139</v>
      </c>
      <c r="Z720" s="11">
        <v>574152.30000000005</v>
      </c>
      <c r="AA720" s="11" t="s">
        <v>139</v>
      </c>
      <c r="AB720" s="11" t="s">
        <v>139</v>
      </c>
      <c r="AC720" s="11" t="s">
        <v>139</v>
      </c>
      <c r="AD720" s="11">
        <v>301991.59999999998</v>
      </c>
      <c r="AE720" s="11" t="s">
        <v>139</v>
      </c>
      <c r="AF720" s="11">
        <v>68507.600000000006</v>
      </c>
      <c r="AG720" s="11">
        <v>1036806</v>
      </c>
      <c r="AH720" s="13">
        <v>9228022.5</v>
      </c>
      <c r="AI720" s="11">
        <v>5790451</v>
      </c>
      <c r="AJ720" s="11">
        <v>1565466.8</v>
      </c>
      <c r="AK720" s="11" t="s">
        <v>139</v>
      </c>
      <c r="AL720" s="11">
        <v>2053404.3</v>
      </c>
      <c r="AM720" s="11">
        <v>80897.7</v>
      </c>
      <c r="AN720" s="11">
        <v>682903.8</v>
      </c>
      <c r="AO720" s="13">
        <v>8607656.8000000007</v>
      </c>
      <c r="AP720" s="11">
        <v>620365.69999999995</v>
      </c>
      <c r="AQ720" s="11" t="s">
        <v>139</v>
      </c>
      <c r="AR720" s="11" t="s">
        <v>139</v>
      </c>
      <c r="AS720">
        <f t="shared" si="14"/>
        <v>7355917.7999999998</v>
      </c>
      <c r="AT720">
        <f t="shared" si="13"/>
        <v>1.2545032110065177</v>
      </c>
    </row>
    <row r="721" spans="1:46" x14ac:dyDescent="0.4">
      <c r="A721" s="3" t="s">
        <v>852</v>
      </c>
      <c r="B721">
        <v>7433147.5</v>
      </c>
      <c r="C721">
        <v>1931609.1</v>
      </c>
      <c r="D721">
        <v>1200139</v>
      </c>
      <c r="E721" t="s">
        <v>139</v>
      </c>
      <c r="F721" t="s">
        <v>139</v>
      </c>
      <c r="G721">
        <v>731470.1</v>
      </c>
      <c r="H721" t="s">
        <v>139</v>
      </c>
      <c r="I721" t="s">
        <v>139</v>
      </c>
      <c r="J721">
        <v>5501538.5</v>
      </c>
      <c r="K721">
        <v>1118785.2</v>
      </c>
      <c r="L721">
        <v>3093103</v>
      </c>
      <c r="M721">
        <v>1725324.4</v>
      </c>
      <c r="N721">
        <v>450366.7</v>
      </c>
      <c r="O721">
        <v>1274957.7</v>
      </c>
      <c r="P721">
        <v>1367778.6</v>
      </c>
      <c r="Q721" t="s">
        <v>139</v>
      </c>
      <c r="R721" t="s">
        <v>139</v>
      </c>
      <c r="S721" t="s">
        <v>139</v>
      </c>
      <c r="T721" t="s">
        <v>139</v>
      </c>
      <c r="U721" s="11">
        <v>714884.3</v>
      </c>
      <c r="V721" s="12">
        <v>298233</v>
      </c>
      <c r="W721" s="11">
        <v>416651.3</v>
      </c>
      <c r="X721" s="11" t="s">
        <v>139</v>
      </c>
      <c r="Y721" s="11" t="s">
        <v>139</v>
      </c>
      <c r="Z721" s="11">
        <v>574765.9</v>
      </c>
      <c r="AA721" s="11" t="s">
        <v>139</v>
      </c>
      <c r="AB721" s="11" t="s">
        <v>139</v>
      </c>
      <c r="AC721" s="11" t="s">
        <v>139</v>
      </c>
      <c r="AD721" s="11">
        <v>304524.7</v>
      </c>
      <c r="AE721" s="11" t="s">
        <v>139</v>
      </c>
      <c r="AF721" s="11">
        <v>69184.5</v>
      </c>
      <c r="AG721" s="11">
        <v>1014531.6</v>
      </c>
      <c r="AH721" s="13">
        <v>9244153.5</v>
      </c>
      <c r="AI721" s="11">
        <v>5820150.5</v>
      </c>
      <c r="AJ721" s="11">
        <v>1591362</v>
      </c>
      <c r="AK721" s="11" t="s">
        <v>139</v>
      </c>
      <c r="AL721" s="11">
        <v>2064204.5</v>
      </c>
      <c r="AM721" s="11">
        <v>79571.399999999994</v>
      </c>
      <c r="AN721" s="11">
        <v>672141.4</v>
      </c>
      <c r="AO721" s="13">
        <v>8636067.6999999993</v>
      </c>
      <c r="AP721" s="11">
        <v>608085.80000000005</v>
      </c>
      <c r="AQ721" s="11" t="s">
        <v>139</v>
      </c>
      <c r="AR721" s="11" t="s">
        <v>139</v>
      </c>
      <c r="AS721">
        <f t="shared" si="14"/>
        <v>7411512.5</v>
      </c>
      <c r="AT721">
        <f t="shared" si="13"/>
        <v>1.2472695013332298</v>
      </c>
    </row>
    <row r="722" spans="1:46" x14ac:dyDescent="0.4">
      <c r="A722" s="3" t="s">
        <v>853</v>
      </c>
      <c r="B722">
        <v>7476824.7000000002</v>
      </c>
      <c r="C722">
        <v>1938881.8</v>
      </c>
      <c r="D722">
        <v>1206070.2</v>
      </c>
      <c r="E722" t="s">
        <v>139</v>
      </c>
      <c r="F722" t="s">
        <v>139</v>
      </c>
      <c r="G722">
        <v>732811.5</v>
      </c>
      <c r="H722" t="s">
        <v>139</v>
      </c>
      <c r="I722" t="s">
        <v>139</v>
      </c>
      <c r="J722">
        <v>5537943</v>
      </c>
      <c r="K722">
        <v>1130649.6000000001</v>
      </c>
      <c r="L722">
        <v>3120437.5</v>
      </c>
      <c r="M722">
        <v>1738022.4</v>
      </c>
      <c r="N722">
        <v>451449.9</v>
      </c>
      <c r="O722">
        <v>1286572.3999999999</v>
      </c>
      <c r="P722">
        <v>1382415.1</v>
      </c>
      <c r="Q722" t="s">
        <v>139</v>
      </c>
      <c r="R722" t="s">
        <v>139</v>
      </c>
      <c r="S722" t="s">
        <v>139</v>
      </c>
      <c r="T722" t="s">
        <v>139</v>
      </c>
      <c r="U722" s="11">
        <v>710374.3</v>
      </c>
      <c r="V722" s="12">
        <v>299822.7</v>
      </c>
      <c r="W722" s="11">
        <v>410551.6</v>
      </c>
      <c r="X722" s="11" t="s">
        <v>139</v>
      </c>
      <c r="Y722" s="11" t="s">
        <v>139</v>
      </c>
      <c r="Z722" s="11">
        <v>576481.5</v>
      </c>
      <c r="AA722" s="11" t="s">
        <v>139</v>
      </c>
      <c r="AB722" s="11" t="s">
        <v>139</v>
      </c>
      <c r="AC722" s="11" t="s">
        <v>139</v>
      </c>
      <c r="AD722" s="11">
        <v>307675.7</v>
      </c>
      <c r="AE722" s="11" t="s">
        <v>139</v>
      </c>
      <c r="AF722" s="11">
        <v>67988.5</v>
      </c>
      <c r="AG722" s="11">
        <v>1021819.5</v>
      </c>
      <c r="AH722" s="13">
        <v>9291072.8000000007</v>
      </c>
      <c r="AI722" s="11">
        <v>5862756.7000000002</v>
      </c>
      <c r="AJ722" s="11">
        <v>1621348.4</v>
      </c>
      <c r="AK722" s="11" t="s">
        <v>139</v>
      </c>
      <c r="AL722" s="11">
        <v>2047741.1</v>
      </c>
      <c r="AM722" s="11">
        <v>98590.7</v>
      </c>
      <c r="AN722" s="11">
        <v>684583.5</v>
      </c>
      <c r="AO722" s="13">
        <v>8693672</v>
      </c>
      <c r="AP722" s="11">
        <v>597400.9</v>
      </c>
      <c r="AQ722" s="11" t="s">
        <v>139</v>
      </c>
      <c r="AR722" s="11" t="s">
        <v>139</v>
      </c>
      <c r="AS722">
        <f t="shared" si="14"/>
        <v>7484105.0999999996</v>
      </c>
      <c r="AT722">
        <f t="shared" si="13"/>
        <v>1.2414407168066095</v>
      </c>
    </row>
    <row r="723" spans="1:46" x14ac:dyDescent="0.4">
      <c r="A723" s="3" t="s">
        <v>854</v>
      </c>
      <c r="B723">
        <v>7530280.5</v>
      </c>
      <c r="C723">
        <v>1948575.5</v>
      </c>
      <c r="D723">
        <v>1215088.5</v>
      </c>
      <c r="E723" t="s">
        <v>139</v>
      </c>
      <c r="F723" t="s">
        <v>139</v>
      </c>
      <c r="G723">
        <v>733487</v>
      </c>
      <c r="H723" t="s">
        <v>139</v>
      </c>
      <c r="I723" t="s">
        <v>139</v>
      </c>
      <c r="J723">
        <v>5581704.9000000004</v>
      </c>
      <c r="K723">
        <v>1152302.5</v>
      </c>
      <c r="L723">
        <v>3130201</v>
      </c>
      <c r="M723">
        <v>1732975.9</v>
      </c>
      <c r="N723">
        <v>448493.1</v>
      </c>
      <c r="O723">
        <v>1284482.8999999999</v>
      </c>
      <c r="P723">
        <v>1397225</v>
      </c>
      <c r="Q723" t="s">
        <v>139</v>
      </c>
      <c r="R723" t="s">
        <v>139</v>
      </c>
      <c r="S723" t="s">
        <v>139</v>
      </c>
      <c r="T723" t="s">
        <v>139</v>
      </c>
      <c r="U723" s="11">
        <v>717998.1</v>
      </c>
      <c r="V723" s="12">
        <v>303684.8</v>
      </c>
      <c r="W723" s="11">
        <v>414313.3</v>
      </c>
      <c r="X723" s="11" t="s">
        <v>139</v>
      </c>
      <c r="Y723" s="11" t="s">
        <v>139</v>
      </c>
      <c r="Z723" s="11">
        <v>581203.30000000005</v>
      </c>
      <c r="AA723" s="11" t="s">
        <v>139</v>
      </c>
      <c r="AB723" s="11" t="s">
        <v>139</v>
      </c>
      <c r="AC723" s="11" t="s">
        <v>139</v>
      </c>
      <c r="AD723" s="11">
        <v>300712.40000000002</v>
      </c>
      <c r="AE723" s="11" t="s">
        <v>139</v>
      </c>
      <c r="AF723" s="11">
        <v>66875.899999999994</v>
      </c>
      <c r="AG723" s="11">
        <v>1023694.5</v>
      </c>
      <c r="AH723" s="13">
        <v>9331364.0999999996</v>
      </c>
      <c r="AI723" s="11">
        <v>5880678.0999999996</v>
      </c>
      <c r="AJ723" s="11">
        <v>1636571.6</v>
      </c>
      <c r="AK723" s="11" t="s">
        <v>139</v>
      </c>
      <c r="AL723" s="11">
        <v>2034897.5</v>
      </c>
      <c r="AM723" s="11">
        <v>132954.20000000001</v>
      </c>
      <c r="AN723" s="11">
        <v>685267.2</v>
      </c>
      <c r="AO723" s="13">
        <v>8733797</v>
      </c>
      <c r="AP723" s="11">
        <v>597567.1</v>
      </c>
      <c r="AQ723" s="11" t="s">
        <v>139</v>
      </c>
      <c r="AR723" s="11" t="s">
        <v>139</v>
      </c>
      <c r="AS723">
        <f t="shared" si="14"/>
        <v>7517249.6999999993</v>
      </c>
      <c r="AT723">
        <f t="shared" si="13"/>
        <v>1.2413268778340569</v>
      </c>
    </row>
    <row r="724" spans="1:46" x14ac:dyDescent="0.4">
      <c r="A724" s="3" t="s">
        <v>855</v>
      </c>
      <c r="B724">
        <v>7547297.9000000004</v>
      </c>
      <c r="C724">
        <v>1939727.9</v>
      </c>
      <c r="D724">
        <v>1209933.5</v>
      </c>
      <c r="E724" t="s">
        <v>139</v>
      </c>
      <c r="F724" t="s">
        <v>139</v>
      </c>
      <c r="G724">
        <v>729794.5</v>
      </c>
      <c r="H724" t="s">
        <v>139</v>
      </c>
      <c r="I724" t="s">
        <v>139</v>
      </c>
      <c r="J724">
        <v>5607569.9000000004</v>
      </c>
      <c r="K724">
        <v>1151199.3999999999</v>
      </c>
      <c r="L724">
        <v>3157744.9</v>
      </c>
      <c r="M724">
        <v>1745944.2</v>
      </c>
      <c r="N724">
        <v>450570.3</v>
      </c>
      <c r="O724">
        <v>1295373.8</v>
      </c>
      <c r="P724">
        <v>1411800.7</v>
      </c>
      <c r="Q724" t="s">
        <v>139</v>
      </c>
      <c r="R724" t="s">
        <v>139</v>
      </c>
      <c r="S724" t="s">
        <v>139</v>
      </c>
      <c r="T724" t="s">
        <v>139</v>
      </c>
      <c r="U724" s="11">
        <v>719058</v>
      </c>
      <c r="V724" s="12">
        <v>303867.40000000002</v>
      </c>
      <c r="W724" s="11">
        <v>415190.5</v>
      </c>
      <c r="X724" s="11" t="s">
        <v>139</v>
      </c>
      <c r="Y724" s="11" t="s">
        <v>139</v>
      </c>
      <c r="Z724" s="11">
        <v>579567.69999999995</v>
      </c>
      <c r="AA724" s="11" t="s">
        <v>139</v>
      </c>
      <c r="AB724" s="11" t="s">
        <v>139</v>
      </c>
      <c r="AC724" s="11" t="s">
        <v>139</v>
      </c>
      <c r="AD724" s="11">
        <v>293415.09999999998</v>
      </c>
      <c r="AE724" s="11" t="s">
        <v>139</v>
      </c>
      <c r="AF724" s="11">
        <v>68419.600000000006</v>
      </c>
      <c r="AG724" s="11">
        <v>1030271.4</v>
      </c>
      <c r="AH724" s="13">
        <v>9380752.5999999996</v>
      </c>
      <c r="AI724" s="11">
        <v>5928446.5</v>
      </c>
      <c r="AJ724" s="11">
        <v>1666252</v>
      </c>
      <c r="AK724" s="11" t="s">
        <v>139</v>
      </c>
      <c r="AL724" s="11">
        <v>2093723.4</v>
      </c>
      <c r="AM724" s="11">
        <v>50188.800000000003</v>
      </c>
      <c r="AN724" s="11">
        <v>669800.80000000005</v>
      </c>
      <c r="AO724" s="13">
        <v>8742159.5</v>
      </c>
      <c r="AP724" s="11">
        <v>638593.1</v>
      </c>
      <c r="AQ724" s="11" t="s">
        <v>139</v>
      </c>
      <c r="AR724" s="11" t="s">
        <v>139</v>
      </c>
      <c r="AS724">
        <f t="shared" si="14"/>
        <v>7594698.5</v>
      </c>
      <c r="AT724">
        <f t="shared" si="13"/>
        <v>1.2351711657809721</v>
      </c>
    </row>
    <row r="725" spans="1:46" x14ac:dyDescent="0.4">
      <c r="A725" s="3" t="s">
        <v>856</v>
      </c>
      <c r="B725">
        <v>7703264.4000000004</v>
      </c>
      <c r="C725">
        <v>1967049.1</v>
      </c>
      <c r="D725">
        <v>1229502.5</v>
      </c>
      <c r="E725" t="s">
        <v>139</v>
      </c>
      <c r="F725" t="s">
        <v>139</v>
      </c>
      <c r="G725">
        <v>737546.7</v>
      </c>
      <c r="H725" t="s">
        <v>139</v>
      </c>
      <c r="I725" t="s">
        <v>139</v>
      </c>
      <c r="J725">
        <v>5736215.2000000002</v>
      </c>
      <c r="K725">
        <v>1161337.8</v>
      </c>
      <c r="L725">
        <v>3307473.4</v>
      </c>
      <c r="M725">
        <v>1871643.3</v>
      </c>
      <c r="N725">
        <v>465998.9</v>
      </c>
      <c r="O725">
        <v>1405644.4</v>
      </c>
      <c r="P725">
        <v>1435830.1</v>
      </c>
      <c r="Q725" t="s">
        <v>139</v>
      </c>
      <c r="R725" t="s">
        <v>139</v>
      </c>
      <c r="S725" t="s">
        <v>139</v>
      </c>
      <c r="T725" t="s">
        <v>139</v>
      </c>
      <c r="U725" s="11">
        <v>723677.9</v>
      </c>
      <c r="V725" s="12">
        <v>300691</v>
      </c>
      <c r="W725" s="11">
        <v>422986.9</v>
      </c>
      <c r="X725" s="11" t="s">
        <v>139</v>
      </c>
      <c r="Y725" s="11" t="s">
        <v>139</v>
      </c>
      <c r="Z725" s="11">
        <v>543726.1</v>
      </c>
      <c r="AA725" s="11" t="s">
        <v>139</v>
      </c>
      <c r="AB725" s="11" t="s">
        <v>139</v>
      </c>
      <c r="AC725" s="11" t="s">
        <v>139</v>
      </c>
      <c r="AD725" s="11">
        <v>308385.90000000002</v>
      </c>
      <c r="AE725" s="11" t="s">
        <v>139</v>
      </c>
      <c r="AF725" s="11">
        <v>73780.899999999994</v>
      </c>
      <c r="AG725" s="11">
        <v>1044547.5</v>
      </c>
      <c r="AH725" s="13">
        <v>9587620.3000000007</v>
      </c>
      <c r="AI725" s="11">
        <v>6029123.5999999996</v>
      </c>
      <c r="AJ725" s="11">
        <v>1688691.6</v>
      </c>
      <c r="AK725" s="11" t="s">
        <v>139</v>
      </c>
      <c r="AL725" s="11">
        <v>2164173.1</v>
      </c>
      <c r="AM725" s="11">
        <v>19926.099999999999</v>
      </c>
      <c r="AN725" s="11">
        <v>697208.4</v>
      </c>
      <c r="AO725" s="13">
        <v>8910431.1999999993</v>
      </c>
      <c r="AP725" s="11">
        <v>677189</v>
      </c>
      <c r="AQ725" s="11" t="s">
        <v>139</v>
      </c>
      <c r="AR725" s="11" t="s">
        <v>139</v>
      </c>
      <c r="AS725">
        <f t="shared" si="14"/>
        <v>7717815.1999999993</v>
      </c>
      <c r="AT725">
        <f t="shared" si="13"/>
        <v>1.2422712971930192</v>
      </c>
    </row>
    <row r="726" spans="1:46" x14ac:dyDescent="0.4">
      <c r="A726" s="3" t="s">
        <v>857</v>
      </c>
      <c r="B726">
        <v>7750462.7999999998</v>
      </c>
      <c r="C726">
        <v>1970759.2</v>
      </c>
      <c r="D726">
        <v>1224771.8999999999</v>
      </c>
      <c r="E726" t="s">
        <v>139</v>
      </c>
      <c r="F726" t="s">
        <v>139</v>
      </c>
      <c r="G726">
        <v>745987.3</v>
      </c>
      <c r="H726" t="s">
        <v>139</v>
      </c>
      <c r="I726" t="s">
        <v>139</v>
      </c>
      <c r="J726">
        <v>5779703.5999999996</v>
      </c>
      <c r="K726">
        <v>1170016.3</v>
      </c>
      <c r="L726">
        <v>3335779.2</v>
      </c>
      <c r="M726">
        <v>1887209.5</v>
      </c>
      <c r="N726">
        <v>465878</v>
      </c>
      <c r="O726">
        <v>1421331.5</v>
      </c>
      <c r="P726">
        <v>1448569.8</v>
      </c>
      <c r="Q726" t="s">
        <v>139</v>
      </c>
      <c r="R726" t="s">
        <v>139</v>
      </c>
      <c r="S726" t="s">
        <v>139</v>
      </c>
      <c r="T726" t="s">
        <v>139</v>
      </c>
      <c r="U726" s="11">
        <v>728725.6</v>
      </c>
      <c r="V726" s="12">
        <v>303833.7</v>
      </c>
      <c r="W726" s="11">
        <v>424891.9</v>
      </c>
      <c r="X726" s="11" t="s">
        <v>139</v>
      </c>
      <c r="Y726" s="11" t="s">
        <v>139</v>
      </c>
      <c r="Z726" s="11">
        <v>545182.4</v>
      </c>
      <c r="AA726" s="11" t="s">
        <v>139</v>
      </c>
      <c r="AB726" s="11" t="s">
        <v>139</v>
      </c>
      <c r="AC726" s="11" t="s">
        <v>139</v>
      </c>
      <c r="AD726" s="11">
        <v>307845.09999999998</v>
      </c>
      <c r="AE726" s="11" t="s">
        <v>139</v>
      </c>
      <c r="AF726" s="11">
        <v>73452.800000000003</v>
      </c>
      <c r="AG726" s="11">
        <v>1027904.2</v>
      </c>
      <c r="AH726" s="13">
        <v>9635912.6999999993</v>
      </c>
      <c r="AI726" s="11">
        <v>6064833.9000000004</v>
      </c>
      <c r="AJ726" s="11">
        <v>1711344.5</v>
      </c>
      <c r="AK726" s="11" t="s">
        <v>139</v>
      </c>
      <c r="AL726" s="11">
        <v>2194844.6</v>
      </c>
      <c r="AM726" s="11">
        <v>11366.5</v>
      </c>
      <c r="AN726" s="11">
        <v>695694.3</v>
      </c>
      <c r="AO726" s="13">
        <v>8966739.4000000004</v>
      </c>
      <c r="AP726" s="11">
        <v>669173.4</v>
      </c>
      <c r="AQ726" s="11" t="s">
        <v>139</v>
      </c>
      <c r="AR726" s="11" t="s">
        <v>139</v>
      </c>
      <c r="AS726">
        <f t="shared" si="14"/>
        <v>7776178.4000000004</v>
      </c>
      <c r="AT726">
        <f t="shared" si="13"/>
        <v>1.2391578747730374</v>
      </c>
    </row>
    <row r="727" spans="1:46" x14ac:dyDescent="0.4">
      <c r="A727" s="3" t="s">
        <v>858</v>
      </c>
      <c r="B727">
        <v>7839287.2000000002</v>
      </c>
      <c r="C727">
        <v>1990223.4</v>
      </c>
      <c r="D727">
        <v>1217373.7</v>
      </c>
      <c r="E727" t="s">
        <v>139</v>
      </c>
      <c r="F727" t="s">
        <v>139</v>
      </c>
      <c r="G727">
        <v>772849.7</v>
      </c>
      <c r="H727" t="s">
        <v>139</v>
      </c>
      <c r="I727" t="s">
        <v>139</v>
      </c>
      <c r="J727">
        <v>5849063.9000000004</v>
      </c>
      <c r="K727">
        <v>1182596.1000000001</v>
      </c>
      <c r="L727">
        <v>3370991.1</v>
      </c>
      <c r="M727">
        <v>1911404.1</v>
      </c>
      <c r="N727">
        <v>468355.9</v>
      </c>
      <c r="O727">
        <v>1443048.2</v>
      </c>
      <c r="P727">
        <v>1459587</v>
      </c>
      <c r="Q727" t="s">
        <v>139</v>
      </c>
      <c r="R727" t="s">
        <v>139</v>
      </c>
      <c r="S727" t="s">
        <v>139</v>
      </c>
      <c r="T727" t="s">
        <v>139</v>
      </c>
      <c r="U727" s="11">
        <v>737624</v>
      </c>
      <c r="V727" s="12">
        <v>313037.59999999998</v>
      </c>
      <c r="W727" s="11">
        <v>424586.4</v>
      </c>
      <c r="X727" s="11" t="s">
        <v>139</v>
      </c>
      <c r="Y727" s="11" t="s">
        <v>139</v>
      </c>
      <c r="Z727" s="11">
        <v>557852.6</v>
      </c>
      <c r="AA727" s="11" t="s">
        <v>139</v>
      </c>
      <c r="AB727" s="11" t="s">
        <v>139</v>
      </c>
      <c r="AC727" s="11" t="s">
        <v>139</v>
      </c>
      <c r="AD727" s="11">
        <v>315712.5</v>
      </c>
      <c r="AE727" s="11" t="s">
        <v>139</v>
      </c>
      <c r="AF727" s="11">
        <v>81857.2</v>
      </c>
      <c r="AG727" s="11">
        <v>1048529.8</v>
      </c>
      <c r="AH727" s="13">
        <v>9763716.3000000007</v>
      </c>
      <c r="AI727" s="11">
        <v>6098620.0999999996</v>
      </c>
      <c r="AJ727" s="11">
        <v>1714369.1</v>
      </c>
      <c r="AK727" s="11" t="s">
        <v>139</v>
      </c>
      <c r="AL727" s="11">
        <v>2218835.2000000002</v>
      </c>
      <c r="AM727" s="11">
        <v>40128.800000000003</v>
      </c>
      <c r="AN727" s="11">
        <v>701663.9</v>
      </c>
      <c r="AO727" s="13">
        <v>9059248</v>
      </c>
      <c r="AP727" s="11">
        <v>704468.3</v>
      </c>
      <c r="AQ727" s="11" t="s">
        <v>139</v>
      </c>
      <c r="AR727" s="11" t="s">
        <v>139</v>
      </c>
      <c r="AS727">
        <f t="shared" si="14"/>
        <v>7812989.1999999993</v>
      </c>
      <c r="AT727">
        <f t="shared" si="13"/>
        <v>1.2496774345982715</v>
      </c>
    </row>
    <row r="728" spans="1:46" x14ac:dyDescent="0.4">
      <c r="A728" s="3" t="s">
        <v>859</v>
      </c>
      <c r="B728">
        <v>7885118.5999999996</v>
      </c>
      <c r="C728">
        <v>2002115.5</v>
      </c>
      <c r="D728">
        <v>1214316.7</v>
      </c>
      <c r="E728" t="s">
        <v>139</v>
      </c>
      <c r="F728" t="s">
        <v>139</v>
      </c>
      <c r="G728">
        <v>787798.7</v>
      </c>
      <c r="H728" t="s">
        <v>139</v>
      </c>
      <c r="I728" t="s">
        <v>139</v>
      </c>
      <c r="J728">
        <v>5883003.2000000002</v>
      </c>
      <c r="K728">
        <v>1192456.8</v>
      </c>
      <c r="L728">
        <v>3394041.2</v>
      </c>
      <c r="M728">
        <v>1924492.9</v>
      </c>
      <c r="N728">
        <v>470348</v>
      </c>
      <c r="O728">
        <v>1454144.9</v>
      </c>
      <c r="P728">
        <v>1469548.3</v>
      </c>
      <c r="Q728" t="s">
        <v>139</v>
      </c>
      <c r="R728" t="s">
        <v>139</v>
      </c>
      <c r="S728" t="s">
        <v>139</v>
      </c>
      <c r="T728" t="s">
        <v>139</v>
      </c>
      <c r="U728" s="11">
        <v>739564.3</v>
      </c>
      <c r="V728" s="12">
        <v>315161.8</v>
      </c>
      <c r="W728" s="11">
        <v>424402.5</v>
      </c>
      <c r="X728" s="11" t="s">
        <v>139</v>
      </c>
      <c r="Y728" s="11" t="s">
        <v>139</v>
      </c>
      <c r="Z728" s="11">
        <v>556940.80000000005</v>
      </c>
      <c r="AA728" s="11" t="s">
        <v>139</v>
      </c>
      <c r="AB728" s="11" t="s">
        <v>139</v>
      </c>
      <c r="AC728" s="11" t="s">
        <v>139</v>
      </c>
      <c r="AD728" s="11">
        <v>316696.2</v>
      </c>
      <c r="AE728" s="11" t="s">
        <v>139</v>
      </c>
      <c r="AF728" s="11">
        <v>81703.600000000006</v>
      </c>
      <c r="AG728" s="11">
        <v>1043706.4</v>
      </c>
      <c r="AH728" s="13">
        <v>9832601.8000000007</v>
      </c>
      <c r="AI728" s="11">
        <v>6141422.2000000002</v>
      </c>
      <c r="AJ728" s="11">
        <v>1716977.2</v>
      </c>
      <c r="AK728" s="11" t="s">
        <v>139</v>
      </c>
      <c r="AL728" s="11">
        <v>2241070.6</v>
      </c>
      <c r="AM728" s="11">
        <v>24175.3</v>
      </c>
      <c r="AN728" s="11">
        <v>703352</v>
      </c>
      <c r="AO728" s="13">
        <v>9110020</v>
      </c>
      <c r="AP728" s="11">
        <v>722581.8</v>
      </c>
      <c r="AQ728" s="11" t="s">
        <v>139</v>
      </c>
      <c r="AR728" s="11" t="s">
        <v>139</v>
      </c>
      <c r="AS728">
        <f t="shared" si="14"/>
        <v>7858399.4000000004</v>
      </c>
      <c r="AT728">
        <f t="shared" si="13"/>
        <v>1.2512219473090156</v>
      </c>
    </row>
    <row r="729" spans="1:46" x14ac:dyDescent="0.4">
      <c r="A729" s="3" t="s">
        <v>860</v>
      </c>
      <c r="B729">
        <v>7934025.5</v>
      </c>
      <c r="C729">
        <v>2009566.6</v>
      </c>
      <c r="D729">
        <v>1212304.8999999999</v>
      </c>
      <c r="E729" t="s">
        <v>139</v>
      </c>
      <c r="F729" t="s">
        <v>139</v>
      </c>
      <c r="G729">
        <v>797261.7</v>
      </c>
      <c r="H729" t="s">
        <v>139</v>
      </c>
      <c r="I729" t="s">
        <v>139</v>
      </c>
      <c r="J729">
        <v>5924458.9000000004</v>
      </c>
      <c r="K729">
        <v>1205063</v>
      </c>
      <c r="L729">
        <v>3421706.5</v>
      </c>
      <c r="M729">
        <v>1943093</v>
      </c>
      <c r="N729">
        <v>470774.3</v>
      </c>
      <c r="O729">
        <v>1472318.7</v>
      </c>
      <c r="P729">
        <v>1478613.5</v>
      </c>
      <c r="Q729" t="s">
        <v>139</v>
      </c>
      <c r="R729" t="s">
        <v>139</v>
      </c>
      <c r="S729" t="s">
        <v>139</v>
      </c>
      <c r="T729" t="s">
        <v>139</v>
      </c>
      <c r="U729" s="11">
        <v>737524.3</v>
      </c>
      <c r="V729" s="12">
        <v>310191.90000000002</v>
      </c>
      <c r="W729" s="11">
        <v>427332.5</v>
      </c>
      <c r="X729" s="11" t="s">
        <v>139</v>
      </c>
      <c r="Y729" s="11" t="s">
        <v>139</v>
      </c>
      <c r="Z729" s="11">
        <v>560165</v>
      </c>
      <c r="AA729" s="11" t="s">
        <v>139</v>
      </c>
      <c r="AB729" s="11" t="s">
        <v>139</v>
      </c>
      <c r="AC729" s="11" t="s">
        <v>139</v>
      </c>
      <c r="AD729" s="11">
        <v>315781.7</v>
      </c>
      <c r="AE729" s="11" t="s">
        <v>139</v>
      </c>
      <c r="AF729" s="11">
        <v>83133.899999999994</v>
      </c>
      <c r="AG729" s="11">
        <v>1046387.7</v>
      </c>
      <c r="AH729" s="13">
        <v>9886852.8000000007</v>
      </c>
      <c r="AI729" s="11">
        <v>6178951</v>
      </c>
      <c r="AJ729" s="11">
        <v>1730254.9</v>
      </c>
      <c r="AK729" s="11" t="s">
        <v>139</v>
      </c>
      <c r="AL729" s="11">
        <v>2248556</v>
      </c>
      <c r="AM729" s="11">
        <v>45704.1</v>
      </c>
      <c r="AN729" s="11">
        <v>703029.9</v>
      </c>
      <c r="AO729" s="13">
        <v>9176240.9000000004</v>
      </c>
      <c r="AP729" s="11">
        <v>710611.9</v>
      </c>
      <c r="AQ729" s="11" t="s">
        <v>139</v>
      </c>
      <c r="AR729" s="11" t="s">
        <v>139</v>
      </c>
      <c r="AS729">
        <f t="shared" si="14"/>
        <v>7909205.9000000004</v>
      </c>
      <c r="AT729">
        <f t="shared" si="13"/>
        <v>1.2500436737903107</v>
      </c>
    </row>
    <row r="730" spans="1:46" x14ac:dyDescent="0.4">
      <c r="A730" s="3" t="s">
        <v>861</v>
      </c>
      <c r="B730">
        <v>7892025.5999999996</v>
      </c>
      <c r="C730">
        <v>2017445.3</v>
      </c>
      <c r="D730">
        <v>1214053.3</v>
      </c>
      <c r="E730" t="s">
        <v>139</v>
      </c>
      <c r="F730" t="s">
        <v>139</v>
      </c>
      <c r="G730">
        <v>803392.1</v>
      </c>
      <c r="H730" t="s">
        <v>139</v>
      </c>
      <c r="I730" t="s">
        <v>139</v>
      </c>
      <c r="J730">
        <v>5874580.2000000002</v>
      </c>
      <c r="K730">
        <v>1215787.1000000001</v>
      </c>
      <c r="L730">
        <v>3363164.4</v>
      </c>
      <c r="M730">
        <v>1878005.9</v>
      </c>
      <c r="N730">
        <v>461091.9</v>
      </c>
      <c r="O730">
        <v>1416914</v>
      </c>
      <c r="P730">
        <v>1485158.5</v>
      </c>
      <c r="Q730" t="s">
        <v>139</v>
      </c>
      <c r="R730" t="s">
        <v>139</v>
      </c>
      <c r="S730" t="s">
        <v>139</v>
      </c>
      <c r="T730" t="s">
        <v>139</v>
      </c>
      <c r="U730" s="11">
        <v>731407.3</v>
      </c>
      <c r="V730" s="12">
        <v>302917.40000000002</v>
      </c>
      <c r="W730" s="11">
        <v>428489.9</v>
      </c>
      <c r="X730" s="11" t="s">
        <v>139</v>
      </c>
      <c r="Y730" s="11" t="s">
        <v>139</v>
      </c>
      <c r="Z730" s="11">
        <v>564221.4</v>
      </c>
      <c r="AA730" s="11" t="s">
        <v>139</v>
      </c>
      <c r="AB730" s="11" t="s">
        <v>139</v>
      </c>
      <c r="AC730" s="11" t="s">
        <v>139</v>
      </c>
      <c r="AD730" s="11">
        <v>305705.40000000002</v>
      </c>
      <c r="AE730" s="11" t="s">
        <v>139</v>
      </c>
      <c r="AF730" s="11">
        <v>87796.3</v>
      </c>
      <c r="AG730" s="11">
        <v>1052643</v>
      </c>
      <c r="AH730" s="13">
        <v>9856940.0999999996</v>
      </c>
      <c r="AI730" s="11">
        <v>6197482.5</v>
      </c>
      <c r="AJ730" s="11">
        <v>1731950.2</v>
      </c>
      <c r="AK730" s="11" t="s">
        <v>139</v>
      </c>
      <c r="AL730" s="11">
        <v>2256356.6</v>
      </c>
      <c r="AM730" s="11">
        <v>-610.79999999999995</v>
      </c>
      <c r="AN730" s="11">
        <v>703808.9</v>
      </c>
      <c r="AO730" s="13">
        <v>9157037.1999999993</v>
      </c>
      <c r="AP730" s="11">
        <v>699902.9</v>
      </c>
      <c r="AQ730" s="11" t="s">
        <v>139</v>
      </c>
      <c r="AR730" s="11" t="s">
        <v>139</v>
      </c>
      <c r="AS730">
        <f t="shared" si="14"/>
        <v>7929432.7000000002</v>
      </c>
      <c r="AT730">
        <f t="shared" si="13"/>
        <v>1.2430826356594211</v>
      </c>
    </row>
    <row r="731" spans="1:46" x14ac:dyDescent="0.4">
      <c r="A731" s="3" t="s">
        <v>862</v>
      </c>
      <c r="B731">
        <v>7952907.7999999998</v>
      </c>
      <c r="C731">
        <v>2026252.8</v>
      </c>
      <c r="D731">
        <v>1200558.3999999999</v>
      </c>
      <c r="E731" t="s">
        <v>139</v>
      </c>
      <c r="F731" t="s">
        <v>139</v>
      </c>
      <c r="G731">
        <v>825694.4</v>
      </c>
      <c r="H731" t="s">
        <v>139</v>
      </c>
      <c r="I731" t="s">
        <v>139</v>
      </c>
      <c r="J731">
        <v>5926655</v>
      </c>
      <c r="K731">
        <v>1226473.1000000001</v>
      </c>
      <c r="L731">
        <v>3391368.6</v>
      </c>
      <c r="M731">
        <v>1892164.1</v>
      </c>
      <c r="N731">
        <v>459059</v>
      </c>
      <c r="O731">
        <v>1433105.1</v>
      </c>
      <c r="P731">
        <v>1499204.5</v>
      </c>
      <c r="Q731" t="s">
        <v>139</v>
      </c>
      <c r="R731" t="s">
        <v>139</v>
      </c>
      <c r="S731" t="s">
        <v>139</v>
      </c>
      <c r="T731" t="s">
        <v>139</v>
      </c>
      <c r="U731" s="11">
        <v>736608.9</v>
      </c>
      <c r="V731" s="12">
        <v>307739</v>
      </c>
      <c r="W731" s="11">
        <v>428869.9</v>
      </c>
      <c r="X731" s="11" t="s">
        <v>139</v>
      </c>
      <c r="Y731" s="11" t="s">
        <v>139</v>
      </c>
      <c r="Z731" s="11">
        <v>572204.30000000005</v>
      </c>
      <c r="AA731" s="11" t="s">
        <v>139</v>
      </c>
      <c r="AB731" s="11" t="s">
        <v>139</v>
      </c>
      <c r="AC731" s="11" t="s">
        <v>139</v>
      </c>
      <c r="AD731" s="11">
        <v>304716.7</v>
      </c>
      <c r="AE731" s="11" t="s">
        <v>139</v>
      </c>
      <c r="AF731" s="11">
        <v>84060.5</v>
      </c>
      <c r="AG731" s="11">
        <v>1069693.2</v>
      </c>
      <c r="AH731" s="13">
        <v>9945385.6999999993</v>
      </c>
      <c r="AI731" s="11">
        <v>6269052.7000000002</v>
      </c>
      <c r="AJ731" s="11">
        <v>1747013.7</v>
      </c>
      <c r="AK731" s="11" t="s">
        <v>139</v>
      </c>
      <c r="AL731" s="11">
        <v>2273349.2000000002</v>
      </c>
      <c r="AM731" s="11">
        <v>-15386.2</v>
      </c>
      <c r="AN731" s="11">
        <v>723456.2</v>
      </c>
      <c r="AO731" s="13">
        <v>9250471.9000000004</v>
      </c>
      <c r="AP731" s="11">
        <v>694913.8</v>
      </c>
      <c r="AQ731" s="11" t="s">
        <v>139</v>
      </c>
      <c r="AR731" s="11" t="s">
        <v>139</v>
      </c>
      <c r="AS731">
        <f t="shared" si="14"/>
        <v>8016066.4000000004</v>
      </c>
      <c r="AT731">
        <f t="shared" si="13"/>
        <v>1.2406815517396412</v>
      </c>
    </row>
    <row r="732" spans="1:46" x14ac:dyDescent="0.4">
      <c r="A732" s="3" t="s">
        <v>863</v>
      </c>
      <c r="B732">
        <v>7994572.2999999998</v>
      </c>
      <c r="C732">
        <v>2022867.2</v>
      </c>
      <c r="D732">
        <v>1190749</v>
      </c>
      <c r="E732" t="s">
        <v>139</v>
      </c>
      <c r="F732" t="s">
        <v>139</v>
      </c>
      <c r="G732">
        <v>832118.2</v>
      </c>
      <c r="H732" t="s">
        <v>139</v>
      </c>
      <c r="I732" t="s">
        <v>139</v>
      </c>
      <c r="J732">
        <v>5971705</v>
      </c>
      <c r="K732">
        <v>1244462</v>
      </c>
      <c r="L732">
        <v>3410609.7</v>
      </c>
      <c r="M732">
        <v>1902223.1</v>
      </c>
      <c r="N732">
        <v>460869.4</v>
      </c>
      <c r="O732">
        <v>1441353.7</v>
      </c>
      <c r="P732">
        <v>1508386.6</v>
      </c>
      <c r="Q732" t="s">
        <v>139</v>
      </c>
      <c r="R732" t="s">
        <v>139</v>
      </c>
      <c r="S732" t="s">
        <v>139</v>
      </c>
      <c r="T732" t="s">
        <v>139</v>
      </c>
      <c r="U732" s="11">
        <v>741959.1</v>
      </c>
      <c r="V732" s="12">
        <v>310624.5</v>
      </c>
      <c r="W732" s="11">
        <v>431334.6</v>
      </c>
      <c r="X732" s="11" t="s">
        <v>139</v>
      </c>
      <c r="Y732" s="11" t="s">
        <v>139</v>
      </c>
      <c r="Z732" s="11">
        <v>574674.30000000005</v>
      </c>
      <c r="AA732" s="11" t="s">
        <v>139</v>
      </c>
      <c r="AB732" s="11" t="s">
        <v>139</v>
      </c>
      <c r="AC732" s="11" t="s">
        <v>139</v>
      </c>
      <c r="AD732" s="11">
        <v>302594</v>
      </c>
      <c r="AE732" s="11" t="s">
        <v>139</v>
      </c>
      <c r="AF732" s="11">
        <v>81793.7</v>
      </c>
      <c r="AG732" s="11">
        <v>1082579.6000000001</v>
      </c>
      <c r="AH732" s="13">
        <v>9996136</v>
      </c>
      <c r="AI732" s="11">
        <v>6291848.9000000004</v>
      </c>
      <c r="AJ732" s="11">
        <v>1773519.1</v>
      </c>
      <c r="AK732" s="11" t="s">
        <v>139</v>
      </c>
      <c r="AL732" s="11">
        <v>2257271.7999999998</v>
      </c>
      <c r="AM732" s="11">
        <v>-1339.1</v>
      </c>
      <c r="AN732" s="11">
        <v>738383.6</v>
      </c>
      <c r="AO732" s="13">
        <v>9286165.1999999993</v>
      </c>
      <c r="AP732" s="11">
        <v>709970.7</v>
      </c>
      <c r="AQ732" s="11" t="s">
        <v>139</v>
      </c>
      <c r="AR732" s="11" t="s">
        <v>139</v>
      </c>
      <c r="AS732">
        <f t="shared" si="14"/>
        <v>8065368</v>
      </c>
      <c r="AT732">
        <f t="shared" si="13"/>
        <v>1.239389944761355</v>
      </c>
    </row>
    <row r="733" spans="1:46" x14ac:dyDescent="0.4">
      <c r="A733" s="3" t="s">
        <v>864</v>
      </c>
      <c r="B733">
        <v>8060646.9000000004</v>
      </c>
      <c r="C733">
        <v>2034824.1</v>
      </c>
      <c r="D733">
        <v>1183633.3</v>
      </c>
      <c r="E733" t="s">
        <v>139</v>
      </c>
      <c r="F733" t="s">
        <v>139</v>
      </c>
      <c r="G733">
        <v>851190.8</v>
      </c>
      <c r="H733" t="s">
        <v>139</v>
      </c>
      <c r="I733" t="s">
        <v>139</v>
      </c>
      <c r="J733">
        <v>6025822.9000000004</v>
      </c>
      <c r="K733">
        <v>1263856.7</v>
      </c>
      <c r="L733">
        <v>3427866.7</v>
      </c>
      <c r="M733">
        <v>1910147.8</v>
      </c>
      <c r="N733">
        <v>462079.9</v>
      </c>
      <c r="O733">
        <v>1448067.8</v>
      </c>
      <c r="P733">
        <v>1517718.9</v>
      </c>
      <c r="Q733" t="s">
        <v>139</v>
      </c>
      <c r="R733" t="s">
        <v>139</v>
      </c>
      <c r="S733" t="s">
        <v>139</v>
      </c>
      <c r="T733" t="s">
        <v>139</v>
      </c>
      <c r="U733" s="11">
        <v>750650</v>
      </c>
      <c r="V733" s="12">
        <v>315310.59999999998</v>
      </c>
      <c r="W733" s="11">
        <v>435339.4</v>
      </c>
      <c r="X733" s="11" t="s">
        <v>139</v>
      </c>
      <c r="Y733" s="11" t="s">
        <v>139</v>
      </c>
      <c r="Z733" s="11">
        <v>583449.4</v>
      </c>
      <c r="AA733" s="11" t="s">
        <v>139</v>
      </c>
      <c r="AB733" s="11" t="s">
        <v>139</v>
      </c>
      <c r="AC733" s="11" t="s">
        <v>139</v>
      </c>
      <c r="AD733" s="11">
        <v>302288.3</v>
      </c>
      <c r="AE733" s="11" t="s">
        <v>139</v>
      </c>
      <c r="AF733" s="11">
        <v>79999.5</v>
      </c>
      <c r="AG733" s="11">
        <v>1089448.1000000001</v>
      </c>
      <c r="AH733" s="13">
        <v>10063071.800000001</v>
      </c>
      <c r="AI733" s="11">
        <v>6291515.5999999996</v>
      </c>
      <c r="AJ733" s="11">
        <v>1758854.5</v>
      </c>
      <c r="AK733" s="11" t="s">
        <v>139</v>
      </c>
      <c r="AL733" s="11">
        <v>2306712.4</v>
      </c>
      <c r="AM733" s="11">
        <v>31450.2</v>
      </c>
      <c r="AN733" s="11">
        <v>748463.4</v>
      </c>
      <c r="AO733" s="13">
        <v>9378141.5999999996</v>
      </c>
      <c r="AP733" s="11">
        <v>684930.2</v>
      </c>
      <c r="AQ733" s="11" t="s">
        <v>139</v>
      </c>
      <c r="AR733" s="11" t="s">
        <v>139</v>
      </c>
      <c r="AS733">
        <f t="shared" si="14"/>
        <v>8050370.0999999996</v>
      </c>
      <c r="AT733">
        <f t="shared" si="13"/>
        <v>1.2500135614883099</v>
      </c>
    </row>
    <row r="734" spans="1:46" x14ac:dyDescent="0.4">
      <c r="A734" s="3" t="s">
        <v>865</v>
      </c>
      <c r="B734">
        <v>8131640.7000000002</v>
      </c>
      <c r="C734">
        <v>2049203</v>
      </c>
      <c r="D734">
        <v>1185514.5</v>
      </c>
      <c r="E734" t="s">
        <v>139</v>
      </c>
      <c r="F734" t="s">
        <v>139</v>
      </c>
      <c r="G734">
        <v>863688.5</v>
      </c>
      <c r="H734" t="s">
        <v>139</v>
      </c>
      <c r="I734" t="s">
        <v>139</v>
      </c>
      <c r="J734">
        <v>6082437.7000000002</v>
      </c>
      <c r="K734">
        <v>1281762.8999999999</v>
      </c>
      <c r="L734">
        <v>3447540.2</v>
      </c>
      <c r="M734">
        <v>1918517</v>
      </c>
      <c r="N734">
        <v>463838.8</v>
      </c>
      <c r="O734">
        <v>1454678.2</v>
      </c>
      <c r="P734">
        <v>1529023.2</v>
      </c>
      <c r="Q734" t="s">
        <v>139</v>
      </c>
      <c r="R734" t="s">
        <v>139</v>
      </c>
      <c r="S734" t="s">
        <v>139</v>
      </c>
      <c r="T734" t="s">
        <v>139</v>
      </c>
      <c r="U734" s="11">
        <v>761069.9</v>
      </c>
      <c r="V734" s="12">
        <v>316382.5</v>
      </c>
      <c r="W734" s="11">
        <v>444687.4</v>
      </c>
      <c r="X734" s="11" t="s">
        <v>139</v>
      </c>
      <c r="Y734" s="11" t="s">
        <v>139</v>
      </c>
      <c r="Z734" s="11">
        <v>592064.69999999995</v>
      </c>
      <c r="AA734" s="11" t="s">
        <v>139</v>
      </c>
      <c r="AB734" s="11" t="s">
        <v>139</v>
      </c>
      <c r="AC734" s="11" t="s">
        <v>139</v>
      </c>
      <c r="AD734" s="11">
        <v>301039.90000000002</v>
      </c>
      <c r="AE734" s="11" t="s">
        <v>139</v>
      </c>
      <c r="AF734" s="11">
        <v>80453.899999999994</v>
      </c>
      <c r="AG734" s="11">
        <v>1092725.6000000001</v>
      </c>
      <c r="AH734" s="13">
        <v>10160222.199999999</v>
      </c>
      <c r="AI734" s="11">
        <v>6331797</v>
      </c>
      <c r="AJ734" s="11">
        <v>1768099.5</v>
      </c>
      <c r="AK734" s="11" t="s">
        <v>139</v>
      </c>
      <c r="AL734" s="11">
        <v>2349397.4</v>
      </c>
      <c r="AM734" s="11">
        <v>47690.400000000001</v>
      </c>
      <c r="AN734" s="11">
        <v>743384.5</v>
      </c>
      <c r="AO734" s="13">
        <v>9472269.3000000007</v>
      </c>
      <c r="AP734" s="11">
        <v>687952.9</v>
      </c>
      <c r="AQ734" s="11" t="s">
        <v>139</v>
      </c>
      <c r="AR734" s="11" t="s">
        <v>139</v>
      </c>
      <c r="AS734">
        <f t="shared" si="14"/>
        <v>8099896.5</v>
      </c>
      <c r="AT734">
        <f t="shared" si="13"/>
        <v>1.2543644477432518</v>
      </c>
    </row>
    <row r="735" spans="1:46" x14ac:dyDescent="0.4">
      <c r="A735" s="3" t="s">
        <v>866</v>
      </c>
      <c r="B735">
        <v>8238233.2000000002</v>
      </c>
      <c r="C735">
        <v>2067390.6</v>
      </c>
      <c r="D735">
        <v>1187681.5</v>
      </c>
      <c r="E735" t="s">
        <v>139</v>
      </c>
      <c r="F735" t="s">
        <v>139</v>
      </c>
      <c r="G735">
        <v>879709.1</v>
      </c>
      <c r="H735" t="s">
        <v>139</v>
      </c>
      <c r="I735" t="s">
        <v>139</v>
      </c>
      <c r="J735">
        <v>6170842.5999999996</v>
      </c>
      <c r="K735">
        <v>1307648.8</v>
      </c>
      <c r="L735">
        <v>3469765.1</v>
      </c>
      <c r="M735">
        <v>1927992</v>
      </c>
      <c r="N735">
        <v>468041.8</v>
      </c>
      <c r="O735">
        <v>1459950.2</v>
      </c>
      <c r="P735">
        <v>1541773.1</v>
      </c>
      <c r="Q735" t="s">
        <v>139</v>
      </c>
      <c r="R735" t="s">
        <v>139</v>
      </c>
      <c r="S735" t="s">
        <v>139</v>
      </c>
      <c r="T735" t="s">
        <v>139</v>
      </c>
      <c r="U735" s="11">
        <v>764820.4</v>
      </c>
      <c r="V735" s="12">
        <v>317510</v>
      </c>
      <c r="W735" s="11">
        <v>447310.4</v>
      </c>
      <c r="X735" s="11" t="s">
        <v>139</v>
      </c>
      <c r="Y735" s="11" t="s">
        <v>139</v>
      </c>
      <c r="Z735" s="11">
        <v>628608.30000000005</v>
      </c>
      <c r="AA735" s="11" t="s">
        <v>139</v>
      </c>
      <c r="AB735" s="11" t="s">
        <v>139</v>
      </c>
      <c r="AC735" s="11" t="s">
        <v>139</v>
      </c>
      <c r="AD735" s="11">
        <v>302399</v>
      </c>
      <c r="AE735" s="11" t="s">
        <v>139</v>
      </c>
      <c r="AF735" s="11">
        <v>81017.5</v>
      </c>
      <c r="AG735" s="11">
        <v>1116266.1000000001</v>
      </c>
      <c r="AH735" s="13">
        <v>10311817.199999999</v>
      </c>
      <c r="AI735" s="11">
        <v>6391667.7000000002</v>
      </c>
      <c r="AJ735" s="11">
        <v>1799245.6</v>
      </c>
      <c r="AK735" s="11" t="s">
        <v>139</v>
      </c>
      <c r="AL735" s="11">
        <v>2400582.5</v>
      </c>
      <c r="AM735" s="11">
        <v>83000.3</v>
      </c>
      <c r="AN735" s="11">
        <v>744725.8</v>
      </c>
      <c r="AO735" s="13">
        <v>9619976.1999999993</v>
      </c>
      <c r="AP735" s="11">
        <v>691840.9</v>
      </c>
      <c r="AQ735" s="11" t="s">
        <v>139</v>
      </c>
      <c r="AR735" s="11" t="s">
        <v>139</v>
      </c>
      <c r="AS735">
        <f t="shared" si="14"/>
        <v>8190913.3000000007</v>
      </c>
      <c r="AT735">
        <f t="shared" si="13"/>
        <v>1.2589337504036331</v>
      </c>
    </row>
    <row r="736" spans="1:46" x14ac:dyDescent="0.4">
      <c r="A736" s="3" t="s">
        <v>867</v>
      </c>
      <c r="B736">
        <v>8353186.5999999996</v>
      </c>
      <c r="C736">
        <v>2090741.6</v>
      </c>
      <c r="D736">
        <v>1181870.3999999999</v>
      </c>
      <c r="E736" t="s">
        <v>139</v>
      </c>
      <c r="F736" t="s">
        <v>139</v>
      </c>
      <c r="G736">
        <v>908871.2</v>
      </c>
      <c r="H736" t="s">
        <v>139</v>
      </c>
      <c r="I736" t="s">
        <v>139</v>
      </c>
      <c r="J736">
        <v>6262445</v>
      </c>
      <c r="K736">
        <v>1350022.3</v>
      </c>
      <c r="L736">
        <v>3502454.7</v>
      </c>
      <c r="M736">
        <v>1949901</v>
      </c>
      <c r="N736">
        <v>471943.9</v>
      </c>
      <c r="O736">
        <v>1477957.2</v>
      </c>
      <c r="P736">
        <v>1552553.7</v>
      </c>
      <c r="Q736" t="s">
        <v>139</v>
      </c>
      <c r="R736" t="s">
        <v>139</v>
      </c>
      <c r="S736" t="s">
        <v>139</v>
      </c>
      <c r="T736" t="s">
        <v>139</v>
      </c>
      <c r="U736" s="11">
        <v>773912.7</v>
      </c>
      <c r="V736" s="12">
        <v>322053.7</v>
      </c>
      <c r="W736" s="11">
        <v>451858.9</v>
      </c>
      <c r="X736" s="11" t="s">
        <v>139</v>
      </c>
      <c r="Y736" s="11" t="s">
        <v>139</v>
      </c>
      <c r="Z736" s="11">
        <v>636055.4</v>
      </c>
      <c r="AA736" s="11" t="s">
        <v>139</v>
      </c>
      <c r="AB736" s="11" t="s">
        <v>139</v>
      </c>
      <c r="AC736" s="11" t="s">
        <v>139</v>
      </c>
      <c r="AD736" s="11">
        <v>307845.2</v>
      </c>
      <c r="AE736" s="11" t="s">
        <v>139</v>
      </c>
      <c r="AF736" s="11">
        <v>78705.600000000006</v>
      </c>
      <c r="AG736" s="11">
        <v>1158473.8999999999</v>
      </c>
      <c r="AH736" s="13">
        <v>10472824.5</v>
      </c>
      <c r="AI736" s="11">
        <v>6450087.7999999998</v>
      </c>
      <c r="AJ736" s="11">
        <v>1844128.1</v>
      </c>
      <c r="AK736" s="11" t="s">
        <v>139</v>
      </c>
      <c r="AL736" s="11">
        <v>2440789.7000000002</v>
      </c>
      <c r="AM736" s="11">
        <v>95379.3</v>
      </c>
      <c r="AN736" s="11">
        <v>745531.7</v>
      </c>
      <c r="AO736" s="13">
        <v>9731788.4000000004</v>
      </c>
      <c r="AP736" s="11">
        <v>741036</v>
      </c>
      <c r="AQ736" s="11" t="s">
        <v>139</v>
      </c>
      <c r="AR736" s="11" t="s">
        <v>139</v>
      </c>
      <c r="AS736">
        <f t="shared" si="14"/>
        <v>8294215.9000000004</v>
      </c>
      <c r="AT736">
        <f t="shared" si="13"/>
        <v>1.2626660104181757</v>
      </c>
    </row>
    <row r="737" spans="1:46" x14ac:dyDescent="0.4">
      <c r="A737" s="3" t="s">
        <v>868</v>
      </c>
      <c r="B737">
        <v>8438491.8000000007</v>
      </c>
      <c r="C737">
        <v>2091714.1</v>
      </c>
      <c r="D737">
        <v>1149620.8</v>
      </c>
      <c r="E737" t="s">
        <v>139</v>
      </c>
      <c r="F737" t="s">
        <v>139</v>
      </c>
      <c r="G737">
        <v>942093.3</v>
      </c>
      <c r="H737" t="s">
        <v>139</v>
      </c>
      <c r="I737" t="s">
        <v>139</v>
      </c>
      <c r="J737">
        <v>6346777.7000000002</v>
      </c>
      <c r="K737">
        <v>1374816.2</v>
      </c>
      <c r="L737">
        <v>3557446.5</v>
      </c>
      <c r="M737">
        <v>1992667.7</v>
      </c>
      <c r="N737">
        <v>476970.5</v>
      </c>
      <c r="O737">
        <v>1515697.3</v>
      </c>
      <c r="P737">
        <v>1564778.8</v>
      </c>
      <c r="Q737" t="s">
        <v>139</v>
      </c>
      <c r="R737" t="s">
        <v>139</v>
      </c>
      <c r="S737" t="s">
        <v>139</v>
      </c>
      <c r="T737" t="s">
        <v>139</v>
      </c>
      <c r="U737" s="11">
        <v>772998.2</v>
      </c>
      <c r="V737" s="12">
        <v>321043.90000000002</v>
      </c>
      <c r="W737" s="11">
        <v>451954.3</v>
      </c>
      <c r="X737" s="11" t="s">
        <v>139</v>
      </c>
      <c r="Y737" s="11" t="s">
        <v>139</v>
      </c>
      <c r="Z737" s="11">
        <v>641516.80000000005</v>
      </c>
      <c r="AA737" s="11" t="s">
        <v>139</v>
      </c>
      <c r="AB737" s="11" t="s">
        <v>139</v>
      </c>
      <c r="AC737" s="11" t="s">
        <v>139</v>
      </c>
      <c r="AD737" s="11">
        <v>307310.7</v>
      </c>
      <c r="AE737" s="11" t="s">
        <v>139</v>
      </c>
      <c r="AF737" s="11">
        <v>74804.7</v>
      </c>
      <c r="AG737" s="11">
        <v>1194138.8</v>
      </c>
      <c r="AH737" s="13">
        <v>10602933.699999999</v>
      </c>
      <c r="AI737" s="11">
        <v>6576160.7999999998</v>
      </c>
      <c r="AJ737" s="11">
        <v>1937180</v>
      </c>
      <c r="AK737" s="11" t="s">
        <v>139</v>
      </c>
      <c r="AL737" s="11">
        <v>2417025.5</v>
      </c>
      <c r="AM737" s="11">
        <v>74510.8</v>
      </c>
      <c r="AN737" s="11">
        <v>778785.4</v>
      </c>
      <c r="AO737" s="13">
        <v>9846482.5999999996</v>
      </c>
      <c r="AP737" s="11">
        <v>756451.1</v>
      </c>
      <c r="AQ737" s="11" t="s">
        <v>139</v>
      </c>
      <c r="AR737" s="11" t="s">
        <v>139</v>
      </c>
      <c r="AS737">
        <f t="shared" si="14"/>
        <v>8513340.8000000007</v>
      </c>
      <c r="AT737">
        <f t="shared" si="13"/>
        <v>1.2454492248213531</v>
      </c>
    </row>
    <row r="738" spans="1:46" x14ac:dyDescent="0.4">
      <c r="A738" s="3" t="s">
        <v>869</v>
      </c>
      <c r="B738">
        <v>8516961.9000000004</v>
      </c>
      <c r="C738">
        <v>2102429.9</v>
      </c>
      <c r="D738">
        <v>1140452.7</v>
      </c>
      <c r="E738" t="s">
        <v>139</v>
      </c>
      <c r="F738" t="s">
        <v>139</v>
      </c>
      <c r="G738">
        <v>961977.1</v>
      </c>
      <c r="H738" t="s">
        <v>139</v>
      </c>
      <c r="I738" t="s">
        <v>139</v>
      </c>
      <c r="J738">
        <v>6414532</v>
      </c>
      <c r="K738">
        <v>1393772.1</v>
      </c>
      <c r="L738">
        <v>3586321.4</v>
      </c>
      <c r="M738">
        <v>2010504.9</v>
      </c>
      <c r="N738">
        <v>481391.8</v>
      </c>
      <c r="O738">
        <v>1529113</v>
      </c>
      <c r="P738">
        <v>1575816.5</v>
      </c>
      <c r="Q738" t="s">
        <v>139</v>
      </c>
      <c r="R738" t="s">
        <v>139</v>
      </c>
      <c r="S738" t="s">
        <v>139</v>
      </c>
      <c r="T738" t="s">
        <v>139</v>
      </c>
      <c r="U738" s="11">
        <v>784795.3</v>
      </c>
      <c r="V738" s="12">
        <v>330278.59999999998</v>
      </c>
      <c r="W738" s="11">
        <v>454516.7</v>
      </c>
      <c r="X738" s="11" t="s">
        <v>139</v>
      </c>
      <c r="Y738" s="11" t="s">
        <v>139</v>
      </c>
      <c r="Z738" s="11">
        <v>649643.19999999995</v>
      </c>
      <c r="AA738" s="11" t="s">
        <v>139</v>
      </c>
      <c r="AB738" s="11" t="s">
        <v>139</v>
      </c>
      <c r="AC738" s="11" t="s">
        <v>139</v>
      </c>
      <c r="AD738" s="11">
        <v>315841.40000000002</v>
      </c>
      <c r="AE738" s="11" t="s">
        <v>139</v>
      </c>
      <c r="AF738" s="11">
        <v>83387.100000000006</v>
      </c>
      <c r="AG738" s="11">
        <v>1258486.7</v>
      </c>
      <c r="AH738" s="13">
        <v>10766800.300000001</v>
      </c>
      <c r="AI738" s="11">
        <v>6668943.5999999996</v>
      </c>
      <c r="AJ738" s="11">
        <v>2017960.3</v>
      </c>
      <c r="AK738" s="11" t="s">
        <v>139</v>
      </c>
      <c r="AL738" s="11">
        <v>2452131.7999999998</v>
      </c>
      <c r="AM738" s="11">
        <v>69688.899999999994</v>
      </c>
      <c r="AN738" s="11">
        <v>818720.5</v>
      </c>
      <c r="AO738" s="13">
        <v>10009484.699999999</v>
      </c>
      <c r="AP738" s="11">
        <v>757315.5</v>
      </c>
      <c r="AQ738" s="11" t="s">
        <v>139</v>
      </c>
      <c r="AR738" s="11" t="s">
        <v>139</v>
      </c>
      <c r="AS738">
        <f t="shared" si="14"/>
        <v>8686903.9000000004</v>
      </c>
      <c r="AT738">
        <f t="shared" si="13"/>
        <v>1.2394289638682432</v>
      </c>
    </row>
    <row r="739" spans="1:46" x14ac:dyDescent="0.4">
      <c r="A739" s="3" t="s">
        <v>870</v>
      </c>
      <c r="B739">
        <v>8573120.9000000004</v>
      </c>
      <c r="C739">
        <v>2102478.1</v>
      </c>
      <c r="D739">
        <v>1134893.1000000001</v>
      </c>
      <c r="E739" t="s">
        <v>139</v>
      </c>
      <c r="F739" t="s">
        <v>139</v>
      </c>
      <c r="G739">
        <v>967585</v>
      </c>
      <c r="H739" t="s">
        <v>139</v>
      </c>
      <c r="I739" t="s">
        <v>139</v>
      </c>
      <c r="J739">
        <v>6470642.7000000002</v>
      </c>
      <c r="K739">
        <v>1417705.2</v>
      </c>
      <c r="L739">
        <v>3598730.3</v>
      </c>
      <c r="M739">
        <v>2011521.9</v>
      </c>
      <c r="N739">
        <v>484827</v>
      </c>
      <c r="O739">
        <v>1526694.9</v>
      </c>
      <c r="P739">
        <v>1587208.4</v>
      </c>
      <c r="Q739" t="s">
        <v>139</v>
      </c>
      <c r="R739" t="s">
        <v>139</v>
      </c>
      <c r="S739" t="s">
        <v>139</v>
      </c>
      <c r="T739" t="s">
        <v>139</v>
      </c>
      <c r="U739" s="11">
        <v>798352.3</v>
      </c>
      <c r="V739" s="12">
        <v>341428.8</v>
      </c>
      <c r="W739" s="11">
        <v>456923.5</v>
      </c>
      <c r="X739" s="11" t="s">
        <v>139</v>
      </c>
      <c r="Y739" s="11" t="s">
        <v>139</v>
      </c>
      <c r="Z739" s="11">
        <v>655854.9</v>
      </c>
      <c r="AA739" s="11" t="s">
        <v>139</v>
      </c>
      <c r="AB739" s="11" t="s">
        <v>139</v>
      </c>
      <c r="AC739" s="11" t="s">
        <v>139</v>
      </c>
      <c r="AD739" s="11">
        <v>317814.5</v>
      </c>
      <c r="AE739" s="11" t="s">
        <v>139</v>
      </c>
      <c r="AF739" s="11">
        <v>83917.8</v>
      </c>
      <c r="AG739" s="11">
        <v>1244132.3</v>
      </c>
      <c r="AH739" s="13">
        <v>10830862.699999999</v>
      </c>
      <c r="AI739" s="11">
        <v>6671044.2999999998</v>
      </c>
      <c r="AJ739" s="11">
        <v>2015031.4</v>
      </c>
      <c r="AK739" s="11" t="s">
        <v>139</v>
      </c>
      <c r="AL739" s="11">
        <v>2502798.2000000002</v>
      </c>
      <c r="AM739" s="11">
        <v>67228.100000000006</v>
      </c>
      <c r="AN739" s="11">
        <v>807580.8</v>
      </c>
      <c r="AO739" s="13">
        <v>10048651.4</v>
      </c>
      <c r="AP739" s="11">
        <v>782211.3</v>
      </c>
      <c r="AQ739" s="11" t="s">
        <v>139</v>
      </c>
      <c r="AR739" s="11" t="s">
        <v>139</v>
      </c>
      <c r="AS739">
        <f t="shared" si="14"/>
        <v>8686075.6999999993</v>
      </c>
      <c r="AT739">
        <f t="shared" si="13"/>
        <v>1.2469224393243545</v>
      </c>
    </row>
    <row r="740" spans="1:46" x14ac:dyDescent="0.4">
      <c r="A740" s="3" t="s">
        <v>871</v>
      </c>
      <c r="B740">
        <v>8593769.6999999993</v>
      </c>
      <c r="C740">
        <v>2069683.7</v>
      </c>
      <c r="D740">
        <v>1120859.6000000001</v>
      </c>
      <c r="E740" t="s">
        <v>139</v>
      </c>
      <c r="F740" t="s">
        <v>139</v>
      </c>
      <c r="G740">
        <v>948824.1</v>
      </c>
      <c r="H740" t="s">
        <v>139</v>
      </c>
      <c r="I740" t="s">
        <v>139</v>
      </c>
      <c r="J740">
        <v>6524086</v>
      </c>
      <c r="K740">
        <v>1441010.2</v>
      </c>
      <c r="L740">
        <v>3613823</v>
      </c>
      <c r="M740">
        <v>2014631.4</v>
      </c>
      <c r="N740">
        <v>488203.1</v>
      </c>
      <c r="O740">
        <v>1526428.3</v>
      </c>
      <c r="P740">
        <v>1599191.6</v>
      </c>
      <c r="Q740" t="s">
        <v>139</v>
      </c>
      <c r="R740" t="s">
        <v>139</v>
      </c>
      <c r="S740" t="s">
        <v>139</v>
      </c>
      <c r="T740" t="s">
        <v>139</v>
      </c>
      <c r="U740" s="11">
        <v>799693.1</v>
      </c>
      <c r="V740" s="12">
        <v>338148.5</v>
      </c>
      <c r="W740" s="11">
        <v>461544.6</v>
      </c>
      <c r="X740" s="11" t="s">
        <v>139</v>
      </c>
      <c r="Y740" s="11" t="s">
        <v>139</v>
      </c>
      <c r="Z740" s="11">
        <v>669559.6</v>
      </c>
      <c r="AA740" s="11" t="s">
        <v>139</v>
      </c>
      <c r="AB740" s="11" t="s">
        <v>139</v>
      </c>
      <c r="AC740" s="11" t="s">
        <v>139</v>
      </c>
      <c r="AD740" s="11">
        <v>321720.09999999998</v>
      </c>
      <c r="AE740" s="11" t="s">
        <v>139</v>
      </c>
      <c r="AF740" s="11">
        <v>81948.5</v>
      </c>
      <c r="AG740" s="11">
        <v>1312268.6000000001</v>
      </c>
      <c r="AH740" s="13">
        <v>10948262.1</v>
      </c>
      <c r="AI740" s="11">
        <v>6706116.2000000002</v>
      </c>
      <c r="AJ740" s="11">
        <v>2046181.5</v>
      </c>
      <c r="AK740" s="11" t="s">
        <v>139</v>
      </c>
      <c r="AL740" s="11">
        <v>2505073.5</v>
      </c>
      <c r="AM740" s="11">
        <v>58531.4</v>
      </c>
      <c r="AN740" s="11">
        <v>847916.3</v>
      </c>
      <c r="AO740" s="13">
        <v>10117637.5</v>
      </c>
      <c r="AP740" s="11">
        <v>830624.7</v>
      </c>
      <c r="AQ740" s="11" t="s">
        <v>139</v>
      </c>
      <c r="AR740" s="11" t="s">
        <v>139</v>
      </c>
      <c r="AS740">
        <f t="shared" si="14"/>
        <v>8752297.6999999993</v>
      </c>
      <c r="AT740">
        <f t="shared" si="13"/>
        <v>1.2509014747064648</v>
      </c>
    </row>
    <row r="741" spans="1:46" x14ac:dyDescent="0.4">
      <c r="A741" s="3" t="s">
        <v>872</v>
      </c>
      <c r="B741">
        <v>8642206.5999999996</v>
      </c>
      <c r="C741">
        <v>2079975.3</v>
      </c>
      <c r="D741">
        <v>1121529.3</v>
      </c>
      <c r="E741" t="s">
        <v>139</v>
      </c>
      <c r="F741" t="s">
        <v>139</v>
      </c>
      <c r="G741">
        <v>958446</v>
      </c>
      <c r="H741" t="s">
        <v>139</v>
      </c>
      <c r="I741" t="s">
        <v>139</v>
      </c>
      <c r="J741">
        <v>6562231.2999999998</v>
      </c>
      <c r="K741">
        <v>1449130.6</v>
      </c>
      <c r="L741">
        <v>3629262.4</v>
      </c>
      <c r="M741">
        <v>2015792.7</v>
      </c>
      <c r="N741">
        <v>492583.3</v>
      </c>
      <c r="O741">
        <v>1523209.4</v>
      </c>
      <c r="P741">
        <v>1613469.7</v>
      </c>
      <c r="Q741" t="s">
        <v>139</v>
      </c>
      <c r="R741" t="s">
        <v>139</v>
      </c>
      <c r="S741" t="s">
        <v>139</v>
      </c>
      <c r="T741" t="s">
        <v>139</v>
      </c>
      <c r="U741" s="11">
        <v>796780.4</v>
      </c>
      <c r="V741" s="12">
        <v>331411.8</v>
      </c>
      <c r="W741" s="11">
        <v>465368.6</v>
      </c>
      <c r="X741" s="11" t="s">
        <v>139</v>
      </c>
      <c r="Y741" s="11" t="s">
        <v>139</v>
      </c>
      <c r="Z741" s="11">
        <v>687058</v>
      </c>
      <c r="AA741" s="11" t="s">
        <v>139</v>
      </c>
      <c r="AB741" s="11" t="s">
        <v>139</v>
      </c>
      <c r="AC741" s="11" t="s">
        <v>139</v>
      </c>
      <c r="AD741" s="11">
        <v>316068.2</v>
      </c>
      <c r="AE741" s="11" t="s">
        <v>139</v>
      </c>
      <c r="AF741" s="11">
        <v>88249.7</v>
      </c>
      <c r="AG741" s="11">
        <v>1319800.3</v>
      </c>
      <c r="AH741" s="13">
        <v>10989291.1</v>
      </c>
      <c r="AI741" s="11">
        <v>6774349.2000000002</v>
      </c>
      <c r="AJ741" s="11">
        <v>2075913.9</v>
      </c>
      <c r="AK741" s="11" t="s">
        <v>139</v>
      </c>
      <c r="AL741" s="11">
        <v>2525928.5</v>
      </c>
      <c r="AM741" s="11">
        <v>36743.599999999999</v>
      </c>
      <c r="AN741" s="11">
        <v>843881.6</v>
      </c>
      <c r="AO741" s="13">
        <v>10180902.9</v>
      </c>
      <c r="AP741" s="11">
        <v>808388.2</v>
      </c>
      <c r="AQ741" s="11" t="s">
        <v>139</v>
      </c>
      <c r="AR741" s="11" t="s">
        <v>139</v>
      </c>
      <c r="AS741">
        <f t="shared" si="14"/>
        <v>8850263.0999999996</v>
      </c>
      <c r="AT741">
        <f t="shared" si="13"/>
        <v>1.2416908939125211</v>
      </c>
    </row>
    <row r="742" spans="1:46" x14ac:dyDescent="0.4">
      <c r="A742" s="3" t="s">
        <v>873</v>
      </c>
      <c r="B742">
        <v>8688640.9000000004</v>
      </c>
      <c r="C742">
        <v>2078165.8</v>
      </c>
      <c r="D742">
        <v>1130058.1000000001</v>
      </c>
      <c r="E742" t="s">
        <v>139</v>
      </c>
      <c r="F742" t="s">
        <v>139</v>
      </c>
      <c r="G742">
        <v>948107.7</v>
      </c>
      <c r="H742" t="s">
        <v>139</v>
      </c>
      <c r="I742" t="s">
        <v>139</v>
      </c>
      <c r="J742">
        <v>6610475.0999999996</v>
      </c>
      <c r="K742">
        <v>1470739.2</v>
      </c>
      <c r="L742">
        <v>3647748.5</v>
      </c>
      <c r="M742">
        <v>2020433.9</v>
      </c>
      <c r="N742">
        <v>496969</v>
      </c>
      <c r="O742">
        <v>1523464.9</v>
      </c>
      <c r="P742">
        <v>1627314.6</v>
      </c>
      <c r="Q742" t="s">
        <v>139</v>
      </c>
      <c r="R742" t="s">
        <v>139</v>
      </c>
      <c r="S742" t="s">
        <v>139</v>
      </c>
      <c r="T742" t="s">
        <v>139</v>
      </c>
      <c r="U742" s="11">
        <v>798355.3</v>
      </c>
      <c r="V742" s="12">
        <v>328294.40000000002</v>
      </c>
      <c r="W742" s="11">
        <v>470060.79999999999</v>
      </c>
      <c r="X742" s="11" t="s">
        <v>139</v>
      </c>
      <c r="Y742" s="11" t="s">
        <v>139</v>
      </c>
      <c r="Z742" s="11">
        <v>693632.2</v>
      </c>
      <c r="AA742" s="11" t="s">
        <v>139</v>
      </c>
      <c r="AB742" s="11" t="s">
        <v>139</v>
      </c>
      <c r="AC742" s="11" t="s">
        <v>139</v>
      </c>
      <c r="AD742" s="11">
        <v>314509.8</v>
      </c>
      <c r="AE742" s="11" t="s">
        <v>139</v>
      </c>
      <c r="AF742" s="11">
        <v>80015.5</v>
      </c>
      <c r="AG742" s="11">
        <v>1423731.6</v>
      </c>
      <c r="AH742" s="13">
        <v>11115885.9</v>
      </c>
      <c r="AI742" s="11">
        <v>6830810.2000000002</v>
      </c>
      <c r="AJ742" s="11">
        <v>2093419.9</v>
      </c>
      <c r="AK742" s="11" t="s">
        <v>139</v>
      </c>
      <c r="AL742" s="11">
        <v>2563939.2000000002</v>
      </c>
      <c r="AM742" s="11">
        <v>32530.6</v>
      </c>
      <c r="AN742" s="11">
        <v>893079.5</v>
      </c>
      <c r="AO742" s="13">
        <v>10320359.5</v>
      </c>
      <c r="AP742" s="11">
        <v>795526.4</v>
      </c>
      <c r="AQ742" s="11" t="s">
        <v>139</v>
      </c>
      <c r="AR742" s="11" t="s">
        <v>139</v>
      </c>
      <c r="AS742">
        <f t="shared" si="14"/>
        <v>8924230.0999999996</v>
      </c>
      <c r="AT742">
        <f t="shared" si="13"/>
        <v>1.2455848600317916</v>
      </c>
    </row>
    <row r="743" spans="1:46" x14ac:dyDescent="0.4">
      <c r="A743" s="3" t="s">
        <v>874</v>
      </c>
      <c r="B743">
        <v>8700930.5</v>
      </c>
      <c r="C743">
        <v>2066707.6</v>
      </c>
      <c r="D743">
        <v>1121653.7</v>
      </c>
      <c r="E743" t="s">
        <v>139</v>
      </c>
      <c r="F743" t="s">
        <v>139</v>
      </c>
      <c r="G743">
        <v>945053.8</v>
      </c>
      <c r="H743" t="s">
        <v>139</v>
      </c>
      <c r="I743" t="s">
        <v>139</v>
      </c>
      <c r="J743">
        <v>6634222.9000000004</v>
      </c>
      <c r="K743">
        <v>1490089.6</v>
      </c>
      <c r="L743">
        <v>3661053.1</v>
      </c>
      <c r="M743">
        <v>2023174.5</v>
      </c>
      <c r="N743">
        <v>502649.9</v>
      </c>
      <c r="O743">
        <v>1520524.6</v>
      </c>
      <c r="P743">
        <v>1637878.6</v>
      </c>
      <c r="Q743" t="s">
        <v>139</v>
      </c>
      <c r="R743" t="s">
        <v>139</v>
      </c>
      <c r="S743" t="s">
        <v>139</v>
      </c>
      <c r="T743" t="s">
        <v>139</v>
      </c>
      <c r="U743" s="11">
        <v>803640.4</v>
      </c>
      <c r="V743" s="12">
        <v>329319.59999999998</v>
      </c>
      <c r="W743" s="11">
        <v>474320.7</v>
      </c>
      <c r="X743" s="11" t="s">
        <v>139</v>
      </c>
      <c r="Y743" s="11" t="s">
        <v>139</v>
      </c>
      <c r="Z743" s="11">
        <v>679439.9</v>
      </c>
      <c r="AA743" s="11" t="s">
        <v>139</v>
      </c>
      <c r="AB743" s="11" t="s">
        <v>139</v>
      </c>
      <c r="AC743" s="11" t="s">
        <v>139</v>
      </c>
      <c r="AD743" s="11">
        <v>318849.5</v>
      </c>
      <c r="AE743" s="11" t="s">
        <v>139</v>
      </c>
      <c r="AF743" s="11">
        <v>84379.5</v>
      </c>
      <c r="AG743" s="11">
        <v>1386694</v>
      </c>
      <c r="AH743" s="13">
        <v>11058556.9</v>
      </c>
      <c r="AI743" s="11">
        <v>6852508.5</v>
      </c>
      <c r="AJ743" s="11">
        <v>2092553.4</v>
      </c>
      <c r="AK743" s="11" t="s">
        <v>139</v>
      </c>
      <c r="AL743" s="11">
        <v>2574196.6</v>
      </c>
      <c r="AM743" s="11">
        <v>3269.2</v>
      </c>
      <c r="AN743" s="11">
        <v>839752.6</v>
      </c>
      <c r="AO743" s="13">
        <v>10269726.800000001</v>
      </c>
      <c r="AP743" s="11">
        <v>788830.1</v>
      </c>
      <c r="AQ743" s="11" t="s">
        <v>139</v>
      </c>
      <c r="AR743" s="11" t="s">
        <v>139</v>
      </c>
      <c r="AS743">
        <f t="shared" si="14"/>
        <v>8945061.9000000004</v>
      </c>
      <c r="AT743">
        <f t="shared" si="13"/>
        <v>1.2362750558495297</v>
      </c>
    </row>
    <row r="744" spans="1:46" x14ac:dyDescent="0.4">
      <c r="A744" s="3" t="s">
        <v>875</v>
      </c>
      <c r="B744">
        <v>8700459.5999999996</v>
      </c>
      <c r="C744">
        <v>2076477.5</v>
      </c>
      <c r="D744">
        <v>1131928.8</v>
      </c>
      <c r="E744" t="s">
        <v>139</v>
      </c>
      <c r="F744" t="s">
        <v>139</v>
      </c>
      <c r="G744">
        <v>944548.8</v>
      </c>
      <c r="H744" t="s">
        <v>139</v>
      </c>
      <c r="I744" t="s">
        <v>139</v>
      </c>
      <c r="J744">
        <v>6623982.0999999996</v>
      </c>
      <c r="K744">
        <v>1491183.8</v>
      </c>
      <c r="L744">
        <v>3650696.9</v>
      </c>
      <c r="M744">
        <v>2004813.2</v>
      </c>
      <c r="N744">
        <v>508077.7</v>
      </c>
      <c r="O744">
        <v>1496735.5</v>
      </c>
      <c r="P744">
        <v>1645883.7</v>
      </c>
      <c r="Q744" t="s">
        <v>139</v>
      </c>
      <c r="R744" t="s">
        <v>139</v>
      </c>
      <c r="S744" t="s">
        <v>139</v>
      </c>
      <c r="T744" t="s">
        <v>139</v>
      </c>
      <c r="U744" s="11">
        <v>808640.2</v>
      </c>
      <c r="V744" s="12">
        <v>330340.09999999998</v>
      </c>
      <c r="W744" s="11">
        <v>478300.2</v>
      </c>
      <c r="X744" s="11" t="s">
        <v>139</v>
      </c>
      <c r="Y744" s="11" t="s">
        <v>139</v>
      </c>
      <c r="Z744" s="11">
        <v>673461.1</v>
      </c>
      <c r="AA744" s="11" t="s">
        <v>139</v>
      </c>
      <c r="AB744" s="11" t="s">
        <v>139</v>
      </c>
      <c r="AC744" s="11" t="s">
        <v>139</v>
      </c>
      <c r="AD744" s="11">
        <v>314629.7</v>
      </c>
      <c r="AE744" s="11" t="s">
        <v>139</v>
      </c>
      <c r="AF744" s="11">
        <v>82635.3</v>
      </c>
      <c r="AG744" s="11">
        <v>1331996.7</v>
      </c>
      <c r="AH744" s="13">
        <v>11016284.800000001</v>
      </c>
      <c r="AI744" s="11">
        <v>6834355.2000000002</v>
      </c>
      <c r="AJ744" s="11">
        <v>2092866.4</v>
      </c>
      <c r="AK744" s="11" t="s">
        <v>139</v>
      </c>
      <c r="AL744" s="11">
        <v>2603672.9</v>
      </c>
      <c r="AM744" s="11">
        <v>-17971.400000000001</v>
      </c>
      <c r="AN744" s="11">
        <v>796486.5</v>
      </c>
      <c r="AO744" s="13">
        <v>10216543.199999999</v>
      </c>
      <c r="AP744" s="11">
        <v>799741.6</v>
      </c>
      <c r="AQ744" s="11" t="s">
        <v>139</v>
      </c>
      <c r="AR744" s="11" t="s">
        <v>139</v>
      </c>
      <c r="AS744">
        <f t="shared" si="14"/>
        <v>8927221.5999999996</v>
      </c>
      <c r="AT744">
        <f t="shared" si="13"/>
        <v>1.2340104562879901</v>
      </c>
    </row>
    <row r="745" spans="1:46" x14ac:dyDescent="0.4">
      <c r="A745" s="3" t="s">
        <v>876</v>
      </c>
      <c r="B745">
        <v>8694599.0999999996</v>
      </c>
      <c r="C745">
        <v>2084978.9</v>
      </c>
      <c r="D745">
        <v>1145758.8999999999</v>
      </c>
      <c r="E745" t="s">
        <v>139</v>
      </c>
      <c r="F745" t="s">
        <v>139</v>
      </c>
      <c r="G745">
        <v>939220.1</v>
      </c>
      <c r="H745" t="s">
        <v>139</v>
      </c>
      <c r="I745" t="s">
        <v>139</v>
      </c>
      <c r="J745">
        <v>6609620.2000000002</v>
      </c>
      <c r="K745">
        <v>1498197</v>
      </c>
      <c r="L745">
        <v>3637336.4</v>
      </c>
      <c r="M745">
        <v>1980576.6</v>
      </c>
      <c r="N745">
        <v>513986.7</v>
      </c>
      <c r="O745">
        <v>1466589.9</v>
      </c>
      <c r="P745">
        <v>1656759.8</v>
      </c>
      <c r="Q745" t="s">
        <v>139</v>
      </c>
      <c r="R745" t="s">
        <v>139</v>
      </c>
      <c r="S745" t="s">
        <v>139</v>
      </c>
      <c r="T745" t="s">
        <v>139</v>
      </c>
      <c r="U745" s="11">
        <v>812173.5</v>
      </c>
      <c r="V745" s="12">
        <v>330406.7</v>
      </c>
      <c r="W745" s="11">
        <v>481766.8</v>
      </c>
      <c r="X745" s="11" t="s">
        <v>139</v>
      </c>
      <c r="Y745" s="11" t="s">
        <v>139</v>
      </c>
      <c r="Z745" s="11">
        <v>661913.30000000005</v>
      </c>
      <c r="AA745" s="11" t="s">
        <v>139</v>
      </c>
      <c r="AB745" s="11" t="s">
        <v>139</v>
      </c>
      <c r="AC745" s="11" t="s">
        <v>139</v>
      </c>
      <c r="AD745" s="11">
        <v>313614.09999999998</v>
      </c>
      <c r="AE745" s="11" t="s">
        <v>139</v>
      </c>
      <c r="AF745" s="11">
        <v>83881.2</v>
      </c>
      <c r="AG745" s="11">
        <v>1321757.8</v>
      </c>
      <c r="AH745" s="13">
        <v>10992956</v>
      </c>
      <c r="AI745" s="11">
        <v>6856625.7999999998</v>
      </c>
      <c r="AJ745" s="11">
        <v>2095249.2</v>
      </c>
      <c r="AK745" s="11" t="s">
        <v>139</v>
      </c>
      <c r="AL745" s="11">
        <v>2600053.7999999998</v>
      </c>
      <c r="AM745" s="11">
        <v>3823.5</v>
      </c>
      <c r="AN745" s="11">
        <v>771900.3</v>
      </c>
      <c r="AO745" s="13">
        <v>10232403.4</v>
      </c>
      <c r="AP745" s="11">
        <v>760552.6</v>
      </c>
      <c r="AQ745" s="11" t="s">
        <v>139</v>
      </c>
      <c r="AR745" s="11" t="s">
        <v>139</v>
      </c>
      <c r="AS745">
        <f t="shared" si="14"/>
        <v>8951875</v>
      </c>
      <c r="AT745">
        <f t="shared" si="13"/>
        <v>1.2280059764015918</v>
      </c>
    </row>
    <row r="746" spans="1:46" x14ac:dyDescent="0.4">
      <c r="A746" s="3" t="s">
        <v>877</v>
      </c>
      <c r="B746">
        <v>8695342.3000000007</v>
      </c>
      <c r="C746">
        <v>2070916.2</v>
      </c>
      <c r="D746">
        <v>1142378.7</v>
      </c>
      <c r="E746" t="s">
        <v>139</v>
      </c>
      <c r="F746" t="s">
        <v>139</v>
      </c>
      <c r="G746">
        <v>928537.5</v>
      </c>
      <c r="H746" t="s">
        <v>139</v>
      </c>
      <c r="I746" t="s">
        <v>139</v>
      </c>
      <c r="J746">
        <v>6624426.0999999996</v>
      </c>
      <c r="K746">
        <v>1512140.2</v>
      </c>
      <c r="L746">
        <v>3629787.2</v>
      </c>
      <c r="M746">
        <v>1967769.1</v>
      </c>
      <c r="N746">
        <v>520686.4</v>
      </c>
      <c r="O746">
        <v>1447082.7</v>
      </c>
      <c r="P746">
        <v>1662018.1</v>
      </c>
      <c r="Q746" t="s">
        <v>139</v>
      </c>
      <c r="R746" t="s">
        <v>139</v>
      </c>
      <c r="S746" t="s">
        <v>139</v>
      </c>
      <c r="T746" t="s">
        <v>139</v>
      </c>
      <c r="U746" s="11">
        <v>822412.1</v>
      </c>
      <c r="V746" s="12">
        <v>334840.2</v>
      </c>
      <c r="W746" s="11">
        <v>487571.9</v>
      </c>
      <c r="X746" s="11" t="s">
        <v>139</v>
      </c>
      <c r="Y746" s="11" t="s">
        <v>139</v>
      </c>
      <c r="Z746" s="11">
        <v>660086.6</v>
      </c>
      <c r="AA746" s="11" t="s">
        <v>139</v>
      </c>
      <c r="AB746" s="11" t="s">
        <v>139</v>
      </c>
      <c r="AC746" s="11" t="s">
        <v>139</v>
      </c>
      <c r="AD746" s="11">
        <v>307481.8</v>
      </c>
      <c r="AE746" s="11" t="s">
        <v>139</v>
      </c>
      <c r="AF746" s="11">
        <v>74434.8</v>
      </c>
      <c r="AG746" s="11">
        <v>1355746.2</v>
      </c>
      <c r="AH746" s="13">
        <v>11000913.800000001</v>
      </c>
      <c r="AI746" s="11">
        <v>6866442.5999999996</v>
      </c>
      <c r="AJ746" s="11">
        <v>2085703.5</v>
      </c>
      <c r="AK746" s="11" t="s">
        <v>139</v>
      </c>
      <c r="AL746" s="11">
        <v>2624729.2000000002</v>
      </c>
      <c r="AM746" s="11">
        <v>-22971.1</v>
      </c>
      <c r="AN746" s="11">
        <v>766325.2</v>
      </c>
      <c r="AO746" s="13">
        <v>10234525.9</v>
      </c>
      <c r="AP746" s="11">
        <v>766388</v>
      </c>
      <c r="AQ746" s="11" t="s">
        <v>139</v>
      </c>
      <c r="AR746" s="11" t="s">
        <v>139</v>
      </c>
      <c r="AS746">
        <f t="shared" si="14"/>
        <v>8952146.0999999996</v>
      </c>
      <c r="AT746">
        <f t="shared" si="13"/>
        <v>1.2288577149115116</v>
      </c>
    </row>
    <row r="747" spans="1:46" x14ac:dyDescent="0.4">
      <c r="A747" s="3" t="s">
        <v>878</v>
      </c>
      <c r="B747">
        <v>8687726.4000000004</v>
      </c>
      <c r="C747">
        <v>2053054.4</v>
      </c>
      <c r="D747">
        <v>1148737.3999999999</v>
      </c>
      <c r="E747" t="s">
        <v>139</v>
      </c>
      <c r="F747" t="s">
        <v>139</v>
      </c>
      <c r="G747">
        <v>904317</v>
      </c>
      <c r="H747" t="s">
        <v>139</v>
      </c>
      <c r="I747" t="s">
        <v>139</v>
      </c>
      <c r="J747">
        <v>6634672</v>
      </c>
      <c r="K747">
        <v>1513702.6</v>
      </c>
      <c r="L747">
        <v>3630783.2</v>
      </c>
      <c r="M747">
        <v>1964989.3</v>
      </c>
      <c r="N747">
        <v>525757.1</v>
      </c>
      <c r="O747">
        <v>1439232.2</v>
      </c>
      <c r="P747">
        <v>1665794</v>
      </c>
      <c r="Q747" t="s">
        <v>139</v>
      </c>
      <c r="R747" t="s">
        <v>139</v>
      </c>
      <c r="S747" t="s">
        <v>139</v>
      </c>
      <c r="T747" t="s">
        <v>139</v>
      </c>
      <c r="U747" s="11">
        <v>829370.7</v>
      </c>
      <c r="V747" s="12">
        <v>340931.5</v>
      </c>
      <c r="W747" s="11">
        <v>488439.2</v>
      </c>
      <c r="X747" s="11" t="s">
        <v>139</v>
      </c>
      <c r="Y747" s="11" t="s">
        <v>139</v>
      </c>
      <c r="Z747" s="11">
        <v>660815.4</v>
      </c>
      <c r="AA747" s="11" t="s">
        <v>139</v>
      </c>
      <c r="AB747" s="11" t="s">
        <v>139</v>
      </c>
      <c r="AC747" s="11" t="s">
        <v>139</v>
      </c>
      <c r="AD747" s="11">
        <v>308378</v>
      </c>
      <c r="AE747" s="11" t="s">
        <v>139</v>
      </c>
      <c r="AF747" s="11">
        <v>71750.399999999994</v>
      </c>
      <c r="AG747" s="11">
        <v>1354785.7</v>
      </c>
      <c r="AH747" s="13">
        <v>10987828.5</v>
      </c>
      <c r="AI747" s="11">
        <v>6877502.2000000002</v>
      </c>
      <c r="AJ747" s="11">
        <v>2079431.4</v>
      </c>
      <c r="AK747" s="11" t="s">
        <v>139</v>
      </c>
      <c r="AL747" s="11">
        <v>2622740.6</v>
      </c>
      <c r="AM747" s="11">
        <v>-35157.4</v>
      </c>
      <c r="AN747" s="11">
        <v>776536.1</v>
      </c>
      <c r="AO747" s="13">
        <v>10241621.6</v>
      </c>
      <c r="AP747" s="11">
        <v>746206.9</v>
      </c>
      <c r="AQ747" s="11" t="s">
        <v>139</v>
      </c>
      <c r="AR747" s="11" t="s">
        <v>139</v>
      </c>
      <c r="AS747">
        <f t="shared" si="14"/>
        <v>8956933.5999999996</v>
      </c>
      <c r="AT747">
        <f t="shared" si="13"/>
        <v>1.2267399749396379</v>
      </c>
    </row>
    <row r="748" spans="1:46" x14ac:dyDescent="0.4">
      <c r="A748" s="3" t="s">
        <v>879</v>
      </c>
      <c r="B748">
        <v>8821749.5999999996</v>
      </c>
      <c r="C748">
        <v>2083323.7</v>
      </c>
      <c r="D748">
        <v>1162361.8</v>
      </c>
      <c r="E748" t="s">
        <v>139</v>
      </c>
      <c r="F748" t="s">
        <v>139</v>
      </c>
      <c r="G748">
        <v>920961.9</v>
      </c>
      <c r="H748" t="s">
        <v>139</v>
      </c>
      <c r="I748" t="s">
        <v>139</v>
      </c>
      <c r="J748">
        <v>6738425.9000000004</v>
      </c>
      <c r="K748">
        <v>1530904.8</v>
      </c>
      <c r="L748">
        <v>3667828.5</v>
      </c>
      <c r="M748">
        <v>1990527.1</v>
      </c>
      <c r="N748">
        <v>539275</v>
      </c>
      <c r="O748">
        <v>1451252.2</v>
      </c>
      <c r="P748">
        <v>1677301.4</v>
      </c>
      <c r="Q748" t="s">
        <v>139</v>
      </c>
      <c r="R748" t="s">
        <v>139</v>
      </c>
      <c r="S748" t="s">
        <v>139</v>
      </c>
      <c r="T748" t="s">
        <v>139</v>
      </c>
      <c r="U748" s="11">
        <v>837008.5</v>
      </c>
      <c r="V748" s="12">
        <v>349567.1</v>
      </c>
      <c r="W748" s="11">
        <v>487441.4</v>
      </c>
      <c r="X748" s="11" t="s">
        <v>139</v>
      </c>
      <c r="Y748" s="11" t="s">
        <v>139</v>
      </c>
      <c r="Z748" s="11">
        <v>702684</v>
      </c>
      <c r="AA748" s="11" t="s">
        <v>139</v>
      </c>
      <c r="AB748" s="11" t="s">
        <v>139</v>
      </c>
      <c r="AC748" s="11" t="s">
        <v>139</v>
      </c>
      <c r="AD748" s="11">
        <v>385837.4</v>
      </c>
      <c r="AE748" s="11" t="s">
        <v>139</v>
      </c>
      <c r="AF748" s="11">
        <v>70541</v>
      </c>
      <c r="AG748" s="11">
        <v>1404949.9</v>
      </c>
      <c r="AH748" s="13">
        <v>11283320.6</v>
      </c>
      <c r="AI748" s="11">
        <v>7075278.0999999996</v>
      </c>
      <c r="AJ748" s="11">
        <v>2119236.2999999998</v>
      </c>
      <c r="AK748" s="11" t="s">
        <v>139</v>
      </c>
      <c r="AL748" s="11">
        <v>2696000.8</v>
      </c>
      <c r="AM748" s="11">
        <v>-55604.2</v>
      </c>
      <c r="AN748" s="11">
        <v>794096.2</v>
      </c>
      <c r="AO748" s="13">
        <v>10509770.9</v>
      </c>
      <c r="AP748" s="11">
        <v>773549.7</v>
      </c>
      <c r="AQ748" s="11" t="s">
        <v>139</v>
      </c>
      <c r="AR748" s="11" t="s">
        <v>139</v>
      </c>
      <c r="AS748">
        <f t="shared" si="14"/>
        <v>9194514.3999999985</v>
      </c>
      <c r="AT748">
        <f t="shared" si="13"/>
        <v>1.2271796104860091</v>
      </c>
    </row>
    <row r="749" spans="1:46" x14ac:dyDescent="0.4">
      <c r="A749" s="3" t="s">
        <v>880</v>
      </c>
      <c r="B749">
        <v>9193109.5</v>
      </c>
      <c r="C749">
        <v>2198957.9</v>
      </c>
      <c r="D749">
        <v>1226386.6000000001</v>
      </c>
      <c r="E749" t="s">
        <v>139</v>
      </c>
      <c r="F749" t="s">
        <v>139</v>
      </c>
      <c r="G749">
        <v>972571.3</v>
      </c>
      <c r="H749" t="s">
        <v>139</v>
      </c>
      <c r="I749" t="s">
        <v>139</v>
      </c>
      <c r="J749">
        <v>6994151.5</v>
      </c>
      <c r="K749">
        <v>1586562.8</v>
      </c>
      <c r="L749">
        <v>3825066.3</v>
      </c>
      <c r="M749">
        <v>2103288.2999999998</v>
      </c>
      <c r="N749">
        <v>578127.30000000005</v>
      </c>
      <c r="O749">
        <v>1525160.9</v>
      </c>
      <c r="P749">
        <v>1721778</v>
      </c>
      <c r="Q749" t="s">
        <v>139</v>
      </c>
      <c r="R749" t="s">
        <v>139</v>
      </c>
      <c r="S749" t="s">
        <v>139</v>
      </c>
      <c r="T749" t="s">
        <v>139</v>
      </c>
      <c r="U749" s="11">
        <v>860867.4</v>
      </c>
      <c r="V749" s="12">
        <v>373901.4</v>
      </c>
      <c r="W749" s="11">
        <v>486966</v>
      </c>
      <c r="X749" s="11" t="s">
        <v>139</v>
      </c>
      <c r="Y749" s="11" t="s">
        <v>139</v>
      </c>
      <c r="Z749" s="11">
        <v>721655</v>
      </c>
      <c r="AA749" s="11" t="s">
        <v>139</v>
      </c>
      <c r="AB749" s="11" t="s">
        <v>139</v>
      </c>
      <c r="AC749" s="11" t="s">
        <v>139</v>
      </c>
      <c r="AD749" s="11">
        <v>606976.9</v>
      </c>
      <c r="AE749" s="11" t="s">
        <v>139</v>
      </c>
      <c r="AF749" s="11">
        <v>74758.600000000006</v>
      </c>
      <c r="AG749" s="11">
        <v>1532012.5</v>
      </c>
      <c r="AH749" s="13">
        <v>11946226.199999999</v>
      </c>
      <c r="AI749" s="11">
        <v>7144863.5</v>
      </c>
      <c r="AJ749" s="11">
        <v>2033698.7</v>
      </c>
      <c r="AK749" s="11" t="s">
        <v>139</v>
      </c>
      <c r="AL749" s="11">
        <v>2955099.8</v>
      </c>
      <c r="AM749" s="11">
        <v>170608.3</v>
      </c>
      <c r="AN749" s="11">
        <v>874195.1</v>
      </c>
      <c r="AO749" s="13">
        <v>11144766.699999999</v>
      </c>
      <c r="AP749" s="11">
        <v>801459.5</v>
      </c>
      <c r="AQ749" s="11" t="s">
        <v>139</v>
      </c>
      <c r="AR749" s="11" t="s">
        <v>139</v>
      </c>
      <c r="AS749">
        <f t="shared" si="14"/>
        <v>9178562.1999999993</v>
      </c>
      <c r="AT749">
        <f t="shared" si="13"/>
        <v>1.3015356806101941</v>
      </c>
    </row>
    <row r="750" spans="1:46" x14ac:dyDescent="0.4">
      <c r="A750" s="3" t="s">
        <v>881</v>
      </c>
      <c r="B750">
        <v>9102196.9000000004</v>
      </c>
      <c r="C750">
        <v>2140732</v>
      </c>
      <c r="D750">
        <v>1266939</v>
      </c>
      <c r="E750" t="s">
        <v>139</v>
      </c>
      <c r="F750" t="s">
        <v>139</v>
      </c>
      <c r="G750">
        <v>873793</v>
      </c>
      <c r="H750" t="s">
        <v>139</v>
      </c>
      <c r="I750" t="s">
        <v>139</v>
      </c>
      <c r="J750">
        <v>6961464.9000000004</v>
      </c>
      <c r="K750">
        <v>1575616.1</v>
      </c>
      <c r="L750">
        <v>3826553.2</v>
      </c>
      <c r="M750">
        <v>2099851.6</v>
      </c>
      <c r="N750">
        <v>583037.5</v>
      </c>
      <c r="O750">
        <v>1516814.1</v>
      </c>
      <c r="P750">
        <v>1726701.6</v>
      </c>
      <c r="Q750" t="s">
        <v>139</v>
      </c>
      <c r="R750" t="s">
        <v>139</v>
      </c>
      <c r="S750" t="s">
        <v>139</v>
      </c>
      <c r="T750" t="s">
        <v>139</v>
      </c>
      <c r="U750" s="11">
        <v>869787</v>
      </c>
      <c r="V750" s="12">
        <v>382397.2</v>
      </c>
      <c r="W750" s="11">
        <v>487389.8</v>
      </c>
      <c r="X750" s="11" t="s">
        <v>139</v>
      </c>
      <c r="Y750" s="11" t="s">
        <v>139</v>
      </c>
      <c r="Z750" s="11">
        <v>689508.6</v>
      </c>
      <c r="AA750" s="11" t="s">
        <v>139</v>
      </c>
      <c r="AB750" s="11" t="s">
        <v>139</v>
      </c>
      <c r="AC750" s="11" t="s">
        <v>139</v>
      </c>
      <c r="AD750" s="11">
        <v>866610.7</v>
      </c>
      <c r="AE750" s="11" t="s">
        <v>139</v>
      </c>
      <c r="AF750" s="11">
        <v>75547.5</v>
      </c>
      <c r="AG750" s="11">
        <v>1684390.9</v>
      </c>
      <c r="AH750" s="13">
        <v>12134697.800000001</v>
      </c>
      <c r="AI750" s="11">
        <v>7091516.2999999998</v>
      </c>
      <c r="AJ750" s="11">
        <v>1913801.1</v>
      </c>
      <c r="AK750" s="11" t="s">
        <v>139</v>
      </c>
      <c r="AL750" s="11">
        <v>2955765.6</v>
      </c>
      <c r="AM750" s="11">
        <v>382391.1</v>
      </c>
      <c r="AN750" s="11">
        <v>921892.4</v>
      </c>
      <c r="AO750" s="13">
        <v>11351565.300000001</v>
      </c>
      <c r="AP750" s="11">
        <v>783132.4</v>
      </c>
      <c r="AQ750" s="11" t="s">
        <v>139</v>
      </c>
      <c r="AR750" s="11" t="s">
        <v>139</v>
      </c>
      <c r="AS750">
        <f t="shared" si="14"/>
        <v>9005317.4000000004</v>
      </c>
      <c r="AT750">
        <f t="shared" si="13"/>
        <v>1.3475036204720559</v>
      </c>
    </row>
    <row r="751" spans="1:46" x14ac:dyDescent="0.4">
      <c r="A751" s="3" t="s">
        <v>882</v>
      </c>
      <c r="B751">
        <v>9031534.3000000007</v>
      </c>
      <c r="C751">
        <v>2094249.5</v>
      </c>
      <c r="D751">
        <v>1250399.5</v>
      </c>
      <c r="E751" t="s">
        <v>139</v>
      </c>
      <c r="F751" t="s">
        <v>139</v>
      </c>
      <c r="G751">
        <v>843850</v>
      </c>
      <c r="H751" t="s">
        <v>139</v>
      </c>
      <c r="I751" t="s">
        <v>139</v>
      </c>
      <c r="J751">
        <v>6937284.7999999998</v>
      </c>
      <c r="K751">
        <v>1558813.3</v>
      </c>
      <c r="L751">
        <v>3819005.4</v>
      </c>
      <c r="M751">
        <v>2090554.2</v>
      </c>
      <c r="N751">
        <v>588261.69999999995</v>
      </c>
      <c r="O751">
        <v>1502292.4</v>
      </c>
      <c r="P751">
        <v>1728451.3</v>
      </c>
      <c r="Q751" t="s">
        <v>139</v>
      </c>
      <c r="R751" t="s">
        <v>139</v>
      </c>
      <c r="S751" t="s">
        <v>139</v>
      </c>
      <c r="T751" t="s">
        <v>139</v>
      </c>
      <c r="U751" s="11">
        <v>875427.5</v>
      </c>
      <c r="V751" s="12">
        <v>384293</v>
      </c>
      <c r="W751" s="11">
        <v>491134.5</v>
      </c>
      <c r="X751" s="11" t="s">
        <v>139</v>
      </c>
      <c r="Y751" s="11" t="s">
        <v>139</v>
      </c>
      <c r="Z751" s="11">
        <v>684038.6</v>
      </c>
      <c r="AA751" s="11" t="s">
        <v>139</v>
      </c>
      <c r="AB751" s="11" t="s">
        <v>139</v>
      </c>
      <c r="AC751" s="11" t="s">
        <v>139</v>
      </c>
      <c r="AD751" s="11">
        <v>1022914.8</v>
      </c>
      <c r="AE751" s="11" t="s">
        <v>139</v>
      </c>
      <c r="AF751" s="11">
        <v>60928.4</v>
      </c>
      <c r="AG751" s="11">
        <v>1803373.4</v>
      </c>
      <c r="AH751" s="13">
        <v>12350478.800000001</v>
      </c>
      <c r="AI751" s="11">
        <v>7213497.4000000004</v>
      </c>
      <c r="AJ751" s="11">
        <v>1909726.6</v>
      </c>
      <c r="AK751" s="11" t="s">
        <v>139</v>
      </c>
      <c r="AL751" s="11">
        <v>2835184.4</v>
      </c>
      <c r="AM751" s="11">
        <v>455913.6</v>
      </c>
      <c r="AN751" s="11">
        <v>1018940.8</v>
      </c>
      <c r="AO751" s="13">
        <v>11523536.199999999</v>
      </c>
      <c r="AP751" s="11">
        <v>826942.6</v>
      </c>
      <c r="AQ751" s="11" t="s">
        <v>139</v>
      </c>
      <c r="AR751" s="11" t="s">
        <v>139</v>
      </c>
      <c r="AS751">
        <f t="shared" si="14"/>
        <v>9123224</v>
      </c>
      <c r="AT751">
        <f t="shared" si="13"/>
        <v>1.3537406074870024</v>
      </c>
    </row>
    <row r="752" spans="1:46" x14ac:dyDescent="0.4">
      <c r="A752" s="3" t="s">
        <v>883</v>
      </c>
      <c r="B752">
        <v>9037599.0999999996</v>
      </c>
      <c r="C752">
        <v>2137429.4</v>
      </c>
      <c r="D752">
        <v>1286567.5</v>
      </c>
      <c r="E752" t="s">
        <v>139</v>
      </c>
      <c r="F752" t="s">
        <v>139</v>
      </c>
      <c r="G752">
        <v>850861.9</v>
      </c>
      <c r="H752" t="s">
        <v>139</v>
      </c>
      <c r="I752" t="s">
        <v>139</v>
      </c>
      <c r="J752">
        <v>6900169.7000000002</v>
      </c>
      <c r="K752">
        <v>1544832.5</v>
      </c>
      <c r="L752">
        <v>3801757.6</v>
      </c>
      <c r="M752">
        <v>2078555.9</v>
      </c>
      <c r="N752">
        <v>592685.4</v>
      </c>
      <c r="O752">
        <v>1485870.5</v>
      </c>
      <c r="P752">
        <v>1723201.8</v>
      </c>
      <c r="Q752" t="s">
        <v>139</v>
      </c>
      <c r="R752" t="s">
        <v>139</v>
      </c>
      <c r="S752" t="s">
        <v>139</v>
      </c>
      <c r="T752" t="s">
        <v>139</v>
      </c>
      <c r="U752" s="11">
        <v>887360.6</v>
      </c>
      <c r="V752" s="12">
        <v>393422.3</v>
      </c>
      <c r="W752" s="11">
        <v>493938.4</v>
      </c>
      <c r="X752" s="11" t="s">
        <v>139</v>
      </c>
      <c r="Y752" s="11" t="s">
        <v>139</v>
      </c>
      <c r="Z752" s="11">
        <v>666218.9</v>
      </c>
      <c r="AA752" s="11" t="s">
        <v>139</v>
      </c>
      <c r="AB752" s="11" t="s">
        <v>139</v>
      </c>
      <c r="AC752" s="11" t="s">
        <v>139</v>
      </c>
      <c r="AD752" s="11">
        <v>1007056.4</v>
      </c>
      <c r="AE752" s="11" t="s">
        <v>139</v>
      </c>
      <c r="AF752" s="11">
        <v>62704</v>
      </c>
      <c r="AG752" s="11">
        <v>1676082.8</v>
      </c>
      <c r="AH752" s="13">
        <v>12249301.9</v>
      </c>
      <c r="AI752" s="11">
        <v>7266837</v>
      </c>
      <c r="AJ752" s="11">
        <v>1900371.5</v>
      </c>
      <c r="AK752" s="11" t="s">
        <v>139</v>
      </c>
      <c r="AL752" s="11">
        <v>2771293.2</v>
      </c>
      <c r="AM752" s="11">
        <v>411890.3</v>
      </c>
      <c r="AN752" s="11">
        <v>948880.9</v>
      </c>
      <c r="AO752" s="13">
        <v>11398901.199999999</v>
      </c>
      <c r="AP752" s="11">
        <v>850400.6</v>
      </c>
      <c r="AQ752" s="11" t="s">
        <v>139</v>
      </c>
      <c r="AR752" s="11" t="s">
        <v>139</v>
      </c>
      <c r="AS752">
        <f t="shared" si="14"/>
        <v>9167208.5</v>
      </c>
      <c r="AT752">
        <f t="shared" si="13"/>
        <v>1.3362084979304223</v>
      </c>
    </row>
    <row r="753" spans="1:46" x14ac:dyDescent="0.4">
      <c r="A753" s="3" t="s">
        <v>884</v>
      </c>
      <c r="B753">
        <v>9064471.0999999996</v>
      </c>
      <c r="C753">
        <v>2154913.4</v>
      </c>
      <c r="D753">
        <v>1281912</v>
      </c>
      <c r="E753" t="s">
        <v>139</v>
      </c>
      <c r="F753" t="s">
        <v>139</v>
      </c>
      <c r="G753">
        <v>873001.4</v>
      </c>
      <c r="H753" t="s">
        <v>139</v>
      </c>
      <c r="I753" t="s">
        <v>139</v>
      </c>
      <c r="J753">
        <v>6909557.5999999996</v>
      </c>
      <c r="K753">
        <v>1532709.1</v>
      </c>
      <c r="L753">
        <v>3825439.6</v>
      </c>
      <c r="M753">
        <v>2102745.7999999998</v>
      </c>
      <c r="N753">
        <v>595870</v>
      </c>
      <c r="O753">
        <v>1506875.7</v>
      </c>
      <c r="P753">
        <v>1722693.8</v>
      </c>
      <c r="Q753" t="s">
        <v>139</v>
      </c>
      <c r="R753" t="s">
        <v>139</v>
      </c>
      <c r="S753" t="s">
        <v>139</v>
      </c>
      <c r="T753" t="s">
        <v>139</v>
      </c>
      <c r="U753" s="11">
        <v>891757</v>
      </c>
      <c r="V753" s="12">
        <v>395234.3</v>
      </c>
      <c r="W753" s="11">
        <v>496522.7</v>
      </c>
      <c r="X753" s="11" t="s">
        <v>139</v>
      </c>
      <c r="Y753" s="11" t="s">
        <v>139</v>
      </c>
      <c r="Z753" s="11">
        <v>659652</v>
      </c>
      <c r="AA753" s="11" t="s">
        <v>139</v>
      </c>
      <c r="AB753" s="11" t="s">
        <v>139</v>
      </c>
      <c r="AC753" s="11" t="s">
        <v>139</v>
      </c>
      <c r="AD753" s="11">
        <v>836231</v>
      </c>
      <c r="AE753" s="11" t="s">
        <v>139</v>
      </c>
      <c r="AF753" s="11">
        <v>59377.4</v>
      </c>
      <c r="AG753" s="11">
        <v>1608012.3</v>
      </c>
      <c r="AH753" s="13">
        <v>12020867.199999999</v>
      </c>
      <c r="AI753" s="11">
        <v>7256014.0999999996</v>
      </c>
      <c r="AJ753" s="11">
        <v>1854654.1</v>
      </c>
      <c r="AK753" s="11" t="s">
        <v>139</v>
      </c>
      <c r="AL753" s="11">
        <v>2774430.7</v>
      </c>
      <c r="AM753" s="11">
        <v>251655.7</v>
      </c>
      <c r="AN753" s="11">
        <v>877386.2</v>
      </c>
      <c r="AO753" s="13">
        <v>11159486.800000001</v>
      </c>
      <c r="AP753" s="11">
        <v>861380.4</v>
      </c>
      <c r="AQ753" s="11" t="s">
        <v>139</v>
      </c>
      <c r="AR753" s="11" t="s">
        <v>139</v>
      </c>
      <c r="AS753">
        <f t="shared" si="14"/>
        <v>9110668.1999999993</v>
      </c>
      <c r="AT753">
        <f t="shared" si="13"/>
        <v>1.3194276134433258</v>
      </c>
    </row>
    <row r="754" spans="1:46" x14ac:dyDescent="0.4">
      <c r="A754" s="3" t="s">
        <v>885</v>
      </c>
      <c r="B754">
        <v>9033778.4000000004</v>
      </c>
      <c r="C754">
        <v>2174077.9</v>
      </c>
      <c r="D754">
        <v>1294231.8999999999</v>
      </c>
      <c r="E754" t="s">
        <v>139</v>
      </c>
      <c r="F754" t="s">
        <v>139</v>
      </c>
      <c r="G754">
        <v>879846</v>
      </c>
      <c r="H754" t="s">
        <v>139</v>
      </c>
      <c r="I754" t="s">
        <v>139</v>
      </c>
      <c r="J754">
        <v>6859700.4000000004</v>
      </c>
      <c r="K754">
        <v>1511289</v>
      </c>
      <c r="L754">
        <v>3825668.1</v>
      </c>
      <c r="M754">
        <v>2103676.7999999998</v>
      </c>
      <c r="N754">
        <v>599022.19999999995</v>
      </c>
      <c r="O754">
        <v>1504654.7</v>
      </c>
      <c r="P754">
        <v>1721991.3</v>
      </c>
      <c r="Q754" t="s">
        <v>139</v>
      </c>
      <c r="R754" t="s">
        <v>139</v>
      </c>
      <c r="S754" t="s">
        <v>139</v>
      </c>
      <c r="T754" t="s">
        <v>139</v>
      </c>
      <c r="U754" s="11">
        <v>878040.5</v>
      </c>
      <c r="V754" s="12">
        <v>382918.1</v>
      </c>
      <c r="W754" s="11">
        <v>495122.4</v>
      </c>
      <c r="X754" s="11" t="s">
        <v>139</v>
      </c>
      <c r="Y754" s="11" t="s">
        <v>139</v>
      </c>
      <c r="Z754" s="11">
        <v>644702.80000000005</v>
      </c>
      <c r="AA754" s="11" t="s">
        <v>139</v>
      </c>
      <c r="AB754" s="11" t="s">
        <v>139</v>
      </c>
      <c r="AC754" s="11" t="s">
        <v>139</v>
      </c>
      <c r="AD754" s="11">
        <v>910419.8</v>
      </c>
      <c r="AE754" s="11" t="s">
        <v>139</v>
      </c>
      <c r="AF754" s="11">
        <v>56604.4</v>
      </c>
      <c r="AG754" s="11">
        <v>1622305.2</v>
      </c>
      <c r="AH754" s="13">
        <v>12053002.300000001</v>
      </c>
      <c r="AI754" s="11">
        <v>7293500</v>
      </c>
      <c r="AJ754" s="11">
        <v>1832841.9</v>
      </c>
      <c r="AK754" s="11" t="s">
        <v>139</v>
      </c>
      <c r="AL754" s="11">
        <v>2799010.1</v>
      </c>
      <c r="AM754" s="11">
        <v>223712.3</v>
      </c>
      <c r="AN754" s="11">
        <v>872028.1</v>
      </c>
      <c r="AO754" s="13">
        <v>11188250.5</v>
      </c>
      <c r="AP754" s="11">
        <v>864751.8</v>
      </c>
      <c r="AQ754" s="11" t="s">
        <v>139</v>
      </c>
      <c r="AR754" s="11" t="s">
        <v>139</v>
      </c>
      <c r="AS754">
        <f t="shared" si="14"/>
        <v>9126341.9000000004</v>
      </c>
      <c r="AT754">
        <f t="shared" si="13"/>
        <v>1.3206827480351135</v>
      </c>
    </row>
    <row r="755" spans="1:46" x14ac:dyDescent="0.4">
      <c r="A755" s="3" t="s">
        <v>886</v>
      </c>
      <c r="B755">
        <v>8996995.9000000004</v>
      </c>
      <c r="C755">
        <v>2166529.9</v>
      </c>
      <c r="D755">
        <v>1281855.8999999999</v>
      </c>
      <c r="E755" t="s">
        <v>139</v>
      </c>
      <c r="F755" t="s">
        <v>139</v>
      </c>
      <c r="G755">
        <v>884674</v>
      </c>
      <c r="H755" t="s">
        <v>139</v>
      </c>
      <c r="I755" t="s">
        <v>139</v>
      </c>
      <c r="J755">
        <v>6830466</v>
      </c>
      <c r="K755">
        <v>1491615.8</v>
      </c>
      <c r="L755">
        <v>3840928.8</v>
      </c>
      <c r="M755">
        <v>2122960</v>
      </c>
      <c r="N755">
        <v>603319.9</v>
      </c>
      <c r="O755">
        <v>1519640.1</v>
      </c>
      <c r="P755">
        <v>1717968.8</v>
      </c>
      <c r="Q755" t="s">
        <v>139</v>
      </c>
      <c r="R755" t="s">
        <v>139</v>
      </c>
      <c r="S755" t="s">
        <v>139</v>
      </c>
      <c r="T755" t="s">
        <v>139</v>
      </c>
      <c r="U755" s="11">
        <v>866056.4</v>
      </c>
      <c r="V755" s="12">
        <v>372958.7</v>
      </c>
      <c r="W755" s="11">
        <v>493097.7</v>
      </c>
      <c r="X755" s="11" t="s">
        <v>139</v>
      </c>
      <c r="Y755" s="11" t="s">
        <v>139</v>
      </c>
      <c r="Z755" s="11">
        <v>631865</v>
      </c>
      <c r="AA755" s="11" t="s">
        <v>139</v>
      </c>
      <c r="AB755" s="11" t="s">
        <v>139</v>
      </c>
      <c r="AC755" s="11" t="s">
        <v>139</v>
      </c>
      <c r="AD755" s="11">
        <v>1006467.7</v>
      </c>
      <c r="AE755" s="11" t="s">
        <v>139</v>
      </c>
      <c r="AF755" s="11">
        <v>71979.8</v>
      </c>
      <c r="AG755" s="11">
        <v>1551104.9</v>
      </c>
      <c r="AH755" s="13">
        <v>12043217.9</v>
      </c>
      <c r="AI755" s="11">
        <v>7335626.5999999996</v>
      </c>
      <c r="AJ755" s="11">
        <v>1851744.4</v>
      </c>
      <c r="AK755" s="11" t="s">
        <v>139</v>
      </c>
      <c r="AL755" s="11">
        <v>2768932.8</v>
      </c>
      <c r="AM755" s="11">
        <v>260690</v>
      </c>
      <c r="AN755" s="11">
        <v>818558</v>
      </c>
      <c r="AO755" s="13">
        <v>11183807.5</v>
      </c>
      <c r="AP755" s="11">
        <v>859410.4</v>
      </c>
      <c r="AQ755" s="11" t="s">
        <v>139</v>
      </c>
      <c r="AR755" s="11" t="s">
        <v>139</v>
      </c>
      <c r="AS755">
        <f t="shared" si="14"/>
        <v>9187371</v>
      </c>
      <c r="AT755">
        <f t="shared" si="13"/>
        <v>1.3108448434269173</v>
      </c>
    </row>
    <row r="756" spans="1:46" x14ac:dyDescent="0.4">
      <c r="A756" s="3" t="s">
        <v>887</v>
      </c>
      <c r="B756">
        <v>9043090.5</v>
      </c>
      <c r="C756">
        <v>2195659.7999999998</v>
      </c>
      <c r="D756">
        <v>1285466.5</v>
      </c>
      <c r="E756" t="s">
        <v>139</v>
      </c>
      <c r="F756" t="s">
        <v>139</v>
      </c>
      <c r="G756">
        <v>910193.3</v>
      </c>
      <c r="H756" t="s">
        <v>139</v>
      </c>
      <c r="I756" t="s">
        <v>139</v>
      </c>
      <c r="J756">
        <v>6847430.5999999996</v>
      </c>
      <c r="K756">
        <v>1469386</v>
      </c>
      <c r="L756">
        <v>3878426</v>
      </c>
      <c r="M756">
        <v>2164031</v>
      </c>
      <c r="N756">
        <v>611272.80000000005</v>
      </c>
      <c r="O756">
        <v>1552758.3</v>
      </c>
      <c r="P756">
        <v>1714395</v>
      </c>
      <c r="Q756" t="s">
        <v>139</v>
      </c>
      <c r="R756" t="s">
        <v>139</v>
      </c>
      <c r="S756" t="s">
        <v>139</v>
      </c>
      <c r="T756" t="s">
        <v>139</v>
      </c>
      <c r="U756" s="11">
        <v>861804.8</v>
      </c>
      <c r="V756" s="12">
        <v>364702.2</v>
      </c>
      <c r="W756" s="11">
        <v>497102.6</v>
      </c>
      <c r="X756" s="11" t="s">
        <v>139</v>
      </c>
      <c r="Y756" s="11" t="s">
        <v>139</v>
      </c>
      <c r="Z756" s="11">
        <v>637813.9</v>
      </c>
      <c r="AA756" s="11" t="s">
        <v>139</v>
      </c>
      <c r="AB756" s="11" t="s">
        <v>139</v>
      </c>
      <c r="AC756" s="11" t="s">
        <v>139</v>
      </c>
      <c r="AD756" s="11">
        <v>1009158.6</v>
      </c>
      <c r="AE756" s="11" t="s">
        <v>139</v>
      </c>
      <c r="AF756" s="11">
        <v>77451.5</v>
      </c>
      <c r="AG756" s="11">
        <v>1522498.6</v>
      </c>
      <c r="AH756" s="13">
        <v>12079677.300000001</v>
      </c>
      <c r="AI756" s="11">
        <v>7451505.7999999998</v>
      </c>
      <c r="AJ756" s="11">
        <v>1883918.4</v>
      </c>
      <c r="AK756" s="11" t="s">
        <v>139</v>
      </c>
      <c r="AL756" s="11">
        <v>2768585.3</v>
      </c>
      <c r="AM756" s="11">
        <v>203841.3</v>
      </c>
      <c r="AN756" s="11">
        <v>791034.5</v>
      </c>
      <c r="AO756" s="13">
        <v>11214966.9</v>
      </c>
      <c r="AP756" s="11">
        <v>864710.4</v>
      </c>
      <c r="AQ756" s="11" t="s">
        <v>139</v>
      </c>
      <c r="AR756" s="11" t="s">
        <v>139</v>
      </c>
      <c r="AS756">
        <f t="shared" si="14"/>
        <v>9335424.1999999993</v>
      </c>
      <c r="AT756">
        <f t="shared" si="13"/>
        <v>1.2939612642347844</v>
      </c>
    </row>
    <row r="757" spans="1:46" x14ac:dyDescent="0.4">
      <c r="A757" s="3" t="s">
        <v>888</v>
      </c>
      <c r="B757">
        <v>9027353.8000000007</v>
      </c>
      <c r="C757">
        <v>2244693.9</v>
      </c>
      <c r="D757">
        <v>1325037.2</v>
      </c>
      <c r="E757" t="s">
        <v>139</v>
      </c>
      <c r="F757" t="s">
        <v>139</v>
      </c>
      <c r="G757">
        <v>919656.7</v>
      </c>
      <c r="H757" t="s">
        <v>139</v>
      </c>
      <c r="I757" t="s">
        <v>139</v>
      </c>
      <c r="J757">
        <v>6782659.9000000004</v>
      </c>
      <c r="K757">
        <v>1436281.5</v>
      </c>
      <c r="L757">
        <v>3860362.8</v>
      </c>
      <c r="M757">
        <v>2155005</v>
      </c>
      <c r="N757">
        <v>609653.5</v>
      </c>
      <c r="O757">
        <v>1545351.5</v>
      </c>
      <c r="P757">
        <v>1705357.9</v>
      </c>
      <c r="Q757" t="s">
        <v>139</v>
      </c>
      <c r="R757" t="s">
        <v>139</v>
      </c>
      <c r="S757" t="s">
        <v>139</v>
      </c>
      <c r="T757" t="s">
        <v>139</v>
      </c>
      <c r="U757" s="11">
        <v>854687.7</v>
      </c>
      <c r="V757" s="12">
        <v>358029.4</v>
      </c>
      <c r="W757" s="11">
        <v>496658.3</v>
      </c>
      <c r="X757" s="11" t="s">
        <v>139</v>
      </c>
      <c r="Y757" s="11" t="s">
        <v>139</v>
      </c>
      <c r="Z757" s="11">
        <v>631327.9</v>
      </c>
      <c r="AA757" s="11" t="s">
        <v>139</v>
      </c>
      <c r="AB757" s="11" t="s">
        <v>139</v>
      </c>
      <c r="AC757" s="11" t="s">
        <v>139</v>
      </c>
      <c r="AD757" s="11">
        <v>914890.7</v>
      </c>
      <c r="AE757" s="11" t="s">
        <v>139</v>
      </c>
      <c r="AF757" s="11">
        <v>77303.899999999994</v>
      </c>
      <c r="AG757" s="11">
        <v>1520529.7</v>
      </c>
      <c r="AH757" s="13">
        <v>11947521.800000001</v>
      </c>
      <c r="AI757" s="11">
        <v>7516640.2999999998</v>
      </c>
      <c r="AJ757" s="11">
        <v>1884587.9</v>
      </c>
      <c r="AK757" s="11" t="s">
        <v>139</v>
      </c>
      <c r="AL757" s="11">
        <v>2711146.1</v>
      </c>
      <c r="AM757" s="11">
        <v>104978.4</v>
      </c>
      <c r="AN757" s="11">
        <v>779802.5</v>
      </c>
      <c r="AO757" s="13">
        <v>11112567.4</v>
      </c>
      <c r="AP757" s="11">
        <v>834954.4</v>
      </c>
      <c r="AQ757" s="11" t="s">
        <v>139</v>
      </c>
      <c r="AR757" s="11" t="s">
        <v>139</v>
      </c>
      <c r="AS757">
        <f t="shared" si="14"/>
        <v>9401228.1999999993</v>
      </c>
      <c r="AT757">
        <f t="shared" si="13"/>
        <v>1.2708469091304477</v>
      </c>
    </row>
    <row r="758" spans="1:46" x14ac:dyDescent="0.4">
      <c r="A758" s="3" t="s">
        <v>889</v>
      </c>
      <c r="B758">
        <v>8967586</v>
      </c>
      <c r="C758">
        <v>2261358</v>
      </c>
      <c r="D758">
        <v>1343514.1</v>
      </c>
      <c r="E758">
        <v>975730.5</v>
      </c>
      <c r="F758">
        <v>367783.6</v>
      </c>
      <c r="G758">
        <v>917843.9</v>
      </c>
      <c r="H758">
        <v>216867.4</v>
      </c>
      <c r="I758">
        <v>700976.5</v>
      </c>
      <c r="J758">
        <v>6706228</v>
      </c>
      <c r="K758">
        <v>1395393</v>
      </c>
      <c r="L758">
        <v>3839164.7</v>
      </c>
      <c r="M758">
        <v>2142754</v>
      </c>
      <c r="N758">
        <v>607435.30000000005</v>
      </c>
      <c r="O758">
        <v>1535318.7</v>
      </c>
      <c r="P758">
        <v>1696410.7</v>
      </c>
      <c r="Q758" t="s">
        <v>139</v>
      </c>
      <c r="R758" t="s">
        <v>139</v>
      </c>
      <c r="S758" t="s">
        <v>139</v>
      </c>
      <c r="T758" t="s">
        <v>139</v>
      </c>
      <c r="U758" s="11">
        <v>850285.6</v>
      </c>
      <c r="V758" s="12">
        <v>356702.6</v>
      </c>
      <c r="W758" s="11">
        <v>493583</v>
      </c>
      <c r="X758" s="11" t="s">
        <v>139</v>
      </c>
      <c r="Y758" s="11" t="s">
        <v>139</v>
      </c>
      <c r="Z758" s="11">
        <v>621384.69999999995</v>
      </c>
      <c r="AA758" s="11" t="s">
        <v>139</v>
      </c>
      <c r="AB758" s="11" t="s">
        <v>139</v>
      </c>
      <c r="AC758" s="11">
        <v>186734.5</v>
      </c>
      <c r="AD758" s="11">
        <v>932190.7</v>
      </c>
      <c r="AE758" s="11" t="s">
        <v>139</v>
      </c>
      <c r="AF758" s="11">
        <v>85409</v>
      </c>
      <c r="AG758" s="11">
        <v>1498839.5</v>
      </c>
      <c r="AH758" s="13">
        <v>11772280.1</v>
      </c>
      <c r="AI758" s="11">
        <v>7498682.5</v>
      </c>
      <c r="AJ758" s="11">
        <v>1880462.7</v>
      </c>
      <c r="AK758" s="11">
        <v>5618219.9000000004</v>
      </c>
      <c r="AL758" s="11">
        <v>2592417.4</v>
      </c>
      <c r="AM758" s="11">
        <v>92077.7</v>
      </c>
      <c r="AN758" s="11">
        <v>727193.1</v>
      </c>
      <c r="AO758" s="13">
        <v>10910370.800000001</v>
      </c>
      <c r="AP758" s="11">
        <v>861909.3</v>
      </c>
      <c r="AQ758" s="11">
        <v>-47694.7</v>
      </c>
      <c r="AR758" s="11" t="s">
        <v>139</v>
      </c>
      <c r="AS758">
        <f t="shared" si="14"/>
        <v>14997365.1</v>
      </c>
      <c r="AT758">
        <f t="shared" si="13"/>
        <v>0.78495655880245252</v>
      </c>
    </row>
    <row r="759" spans="1:46" x14ac:dyDescent="0.4">
      <c r="A759" s="3" t="s">
        <v>890</v>
      </c>
      <c r="B759">
        <v>8921368.3000000007</v>
      </c>
      <c r="C759">
        <v>2288206.9</v>
      </c>
      <c r="D759">
        <v>1380351.3</v>
      </c>
      <c r="E759">
        <v>977535.2</v>
      </c>
      <c r="F759">
        <v>402816.1</v>
      </c>
      <c r="G759">
        <v>907855.6</v>
      </c>
      <c r="H759">
        <v>217442.3</v>
      </c>
      <c r="I759">
        <v>690413.3</v>
      </c>
      <c r="J759">
        <v>6633161.4000000004</v>
      </c>
      <c r="K759">
        <v>1363517.6</v>
      </c>
      <c r="L759">
        <v>3814526.2</v>
      </c>
      <c r="M759">
        <v>2125549.4</v>
      </c>
      <c r="N759">
        <v>605643.80000000005</v>
      </c>
      <c r="O759">
        <v>1519905.6</v>
      </c>
      <c r="P759">
        <v>1688976.8</v>
      </c>
      <c r="Q759" t="s">
        <v>139</v>
      </c>
      <c r="R759" t="s">
        <v>139</v>
      </c>
      <c r="S759" t="s">
        <v>139</v>
      </c>
      <c r="T759" t="s">
        <v>139</v>
      </c>
      <c r="U759" s="11">
        <v>849844.4</v>
      </c>
      <c r="V759" s="12">
        <v>355028.3</v>
      </c>
      <c r="W759" s="11">
        <v>494816.1</v>
      </c>
      <c r="X759" s="11" t="s">
        <v>139</v>
      </c>
      <c r="Y759" s="11" t="s">
        <v>139</v>
      </c>
      <c r="Z759" s="11">
        <v>605273.19999999995</v>
      </c>
      <c r="AA759" s="11" t="s">
        <v>139</v>
      </c>
      <c r="AB759" s="11" t="s">
        <v>139</v>
      </c>
      <c r="AC759" s="11">
        <v>189399.1</v>
      </c>
      <c r="AD759" s="11">
        <v>989741.9</v>
      </c>
      <c r="AE759" s="11" t="s">
        <v>139</v>
      </c>
      <c r="AF759" s="11">
        <v>89714.7</v>
      </c>
      <c r="AG759" s="11">
        <v>1461578.8</v>
      </c>
      <c r="AH759" s="13">
        <v>11708250.300000001</v>
      </c>
      <c r="AI759" s="11">
        <v>7536834.9000000004</v>
      </c>
      <c r="AJ759" s="11">
        <v>1884511.6</v>
      </c>
      <c r="AK759" s="11">
        <v>5652323.2999999998</v>
      </c>
      <c r="AL759" s="11">
        <v>2492953.7000000002</v>
      </c>
      <c r="AM759" s="11">
        <v>138382.6</v>
      </c>
      <c r="AN759" s="11">
        <v>688300.5</v>
      </c>
      <c r="AO759" s="13">
        <v>10856471.699999999</v>
      </c>
      <c r="AP759" s="11">
        <v>851778.6</v>
      </c>
      <c r="AQ759" s="11">
        <v>-38429.199999999997</v>
      </c>
      <c r="AR759" s="11" t="s">
        <v>139</v>
      </c>
      <c r="AS759">
        <f t="shared" si="14"/>
        <v>15073669.800000001</v>
      </c>
      <c r="AT759">
        <f t="shared" si="13"/>
        <v>0.77673522475595158</v>
      </c>
    </row>
    <row r="760" spans="1:46" x14ac:dyDescent="0.4">
      <c r="A760" s="3" t="s">
        <v>891</v>
      </c>
      <c r="B760">
        <v>8842110.5</v>
      </c>
      <c r="C760">
        <v>2292341.7999999998</v>
      </c>
      <c r="D760">
        <v>1395993.1</v>
      </c>
      <c r="E760">
        <v>982741.3</v>
      </c>
      <c r="F760">
        <v>413251.8</v>
      </c>
      <c r="G760">
        <v>896348.7</v>
      </c>
      <c r="H760">
        <v>218402.1</v>
      </c>
      <c r="I760">
        <v>677946.6</v>
      </c>
      <c r="J760">
        <v>6549768.5999999996</v>
      </c>
      <c r="K760">
        <v>1337663.2</v>
      </c>
      <c r="L760">
        <v>3766206.2</v>
      </c>
      <c r="M760">
        <v>2086841.6</v>
      </c>
      <c r="N760">
        <v>603601.69999999995</v>
      </c>
      <c r="O760">
        <v>1483239.9</v>
      </c>
      <c r="P760">
        <v>1679364.6</v>
      </c>
      <c r="Q760" t="s">
        <v>139</v>
      </c>
      <c r="R760" t="s">
        <v>139</v>
      </c>
      <c r="S760" t="s">
        <v>139</v>
      </c>
      <c r="T760" t="s">
        <v>139</v>
      </c>
      <c r="U760" s="11">
        <v>847671.9</v>
      </c>
      <c r="V760" s="12">
        <v>351190.3</v>
      </c>
      <c r="W760" s="11">
        <v>496481.6</v>
      </c>
      <c r="X760" s="11" t="s">
        <v>139</v>
      </c>
      <c r="Y760" s="11" t="s">
        <v>139</v>
      </c>
      <c r="Z760" s="11">
        <v>598227.30000000005</v>
      </c>
      <c r="AA760" s="11" t="s">
        <v>139</v>
      </c>
      <c r="AB760" s="11" t="s">
        <v>139</v>
      </c>
      <c r="AC760" s="11">
        <v>192427.9</v>
      </c>
      <c r="AD760" s="11">
        <v>1060043.8999999999</v>
      </c>
      <c r="AE760" s="11" t="s">
        <v>139</v>
      </c>
      <c r="AF760" s="11">
        <v>88345</v>
      </c>
      <c r="AG760" s="11">
        <v>1477549.9</v>
      </c>
      <c r="AH760" s="13">
        <v>11694180.4</v>
      </c>
      <c r="AI760" s="11">
        <v>7561225.2999999998</v>
      </c>
      <c r="AJ760" s="11">
        <v>1864910.9</v>
      </c>
      <c r="AK760" s="11">
        <v>5696314.2999999998</v>
      </c>
      <c r="AL760" s="11">
        <v>2403333.2999999998</v>
      </c>
      <c r="AM760" s="11">
        <v>166216</v>
      </c>
      <c r="AN760" s="11">
        <v>685490.4</v>
      </c>
      <c r="AO760" s="13">
        <v>10816265</v>
      </c>
      <c r="AP760" s="11">
        <v>877915.3</v>
      </c>
      <c r="AQ760" s="11">
        <v>-26327.8</v>
      </c>
      <c r="AR760" s="11" t="s">
        <v>139</v>
      </c>
      <c r="AS760">
        <f t="shared" si="14"/>
        <v>15122450.5</v>
      </c>
      <c r="AT760">
        <f t="shared" si="13"/>
        <v>0.77329930093009724</v>
      </c>
    </row>
    <row r="761" spans="1:46" x14ac:dyDescent="0.4">
      <c r="A761" s="3" t="s">
        <v>892</v>
      </c>
      <c r="B761">
        <v>8762429.6999999993</v>
      </c>
      <c r="C761">
        <v>2283353.6</v>
      </c>
      <c r="D761">
        <v>1387795.4</v>
      </c>
      <c r="E761">
        <v>976763.3</v>
      </c>
      <c r="F761">
        <v>411032.1</v>
      </c>
      <c r="G761">
        <v>895558.2</v>
      </c>
      <c r="H761">
        <v>216675.7</v>
      </c>
      <c r="I761">
        <v>678882.5</v>
      </c>
      <c r="J761">
        <v>6479076.2000000002</v>
      </c>
      <c r="K761">
        <v>1307863.2</v>
      </c>
      <c r="L761">
        <v>3741804.1</v>
      </c>
      <c r="M761">
        <v>2074311.7</v>
      </c>
      <c r="N761">
        <v>602444.69999999995</v>
      </c>
      <c r="O761">
        <v>1471867</v>
      </c>
      <c r="P761">
        <v>1667492.5</v>
      </c>
      <c r="Q761" t="s">
        <v>139</v>
      </c>
      <c r="R761" t="s">
        <v>139</v>
      </c>
      <c r="S761" t="s">
        <v>139</v>
      </c>
      <c r="T761" t="s">
        <v>139</v>
      </c>
      <c r="U761" s="11">
        <v>842646</v>
      </c>
      <c r="V761" s="12">
        <v>345983.5</v>
      </c>
      <c r="W761" s="11">
        <v>496662.5</v>
      </c>
      <c r="X761" s="11" t="s">
        <v>139</v>
      </c>
      <c r="Y761" s="11" t="s">
        <v>139</v>
      </c>
      <c r="Z761" s="11">
        <v>586762.9</v>
      </c>
      <c r="AA761" s="11" t="s">
        <v>139</v>
      </c>
      <c r="AB761" s="11" t="s">
        <v>139</v>
      </c>
      <c r="AC761" s="11">
        <v>196584.5</v>
      </c>
      <c r="AD761" s="11">
        <v>1228920.3</v>
      </c>
      <c r="AE761" s="11" t="s">
        <v>139</v>
      </c>
      <c r="AF761" s="11">
        <v>80207.899999999994</v>
      </c>
      <c r="AG761" s="11">
        <v>1482949.8</v>
      </c>
      <c r="AH761" s="13">
        <v>11752148.300000001</v>
      </c>
      <c r="AI761" s="11">
        <v>7603378.7000000002</v>
      </c>
      <c r="AJ761" s="11">
        <v>1873294</v>
      </c>
      <c r="AK761" s="11">
        <v>5730084.7000000002</v>
      </c>
      <c r="AL761" s="11">
        <v>2339999.6</v>
      </c>
      <c r="AM761" s="11">
        <v>202750.8</v>
      </c>
      <c r="AN761" s="11">
        <v>667968.6</v>
      </c>
      <c r="AO761" s="13">
        <v>10814097.699999999</v>
      </c>
      <c r="AP761" s="11">
        <v>938050.5</v>
      </c>
      <c r="AQ761" s="11">
        <v>-13263.4</v>
      </c>
      <c r="AR761" s="11" t="s">
        <v>139</v>
      </c>
      <c r="AS761">
        <f t="shared" si="14"/>
        <v>15206757.399999999</v>
      </c>
      <c r="AT761">
        <f t="shared" si="13"/>
        <v>0.77282408016846527</v>
      </c>
    </row>
    <row r="762" spans="1:46" x14ac:dyDescent="0.4">
      <c r="A762" s="3" t="s">
        <v>893</v>
      </c>
      <c r="B762">
        <v>8819488.5999999996</v>
      </c>
      <c r="C762">
        <v>2298314.9</v>
      </c>
      <c r="D762">
        <v>1413291.4</v>
      </c>
      <c r="E762">
        <v>989116.4</v>
      </c>
      <c r="F762">
        <v>424175.1</v>
      </c>
      <c r="G762">
        <v>885023.5</v>
      </c>
      <c r="H762">
        <v>214997.1</v>
      </c>
      <c r="I762">
        <v>670026.4</v>
      </c>
      <c r="J762">
        <v>6521173.7000000002</v>
      </c>
      <c r="K762">
        <v>1290162.6000000001</v>
      </c>
      <c r="L762">
        <v>3805558.4</v>
      </c>
      <c r="M762">
        <v>2146495.9</v>
      </c>
      <c r="N762">
        <v>605762.80000000005</v>
      </c>
      <c r="O762">
        <v>1540733.1</v>
      </c>
      <c r="P762">
        <v>1659062.5</v>
      </c>
      <c r="Q762" t="s">
        <v>139</v>
      </c>
      <c r="R762" t="s">
        <v>139</v>
      </c>
      <c r="S762" t="s">
        <v>139</v>
      </c>
      <c r="T762" t="s">
        <v>139</v>
      </c>
      <c r="U762" s="11">
        <v>841815</v>
      </c>
      <c r="V762" s="12">
        <v>344021.8</v>
      </c>
      <c r="W762" s="11">
        <v>497793.2</v>
      </c>
      <c r="X762" s="11" t="s">
        <v>139</v>
      </c>
      <c r="Y762" s="11" t="s">
        <v>139</v>
      </c>
      <c r="Z762" s="11">
        <v>583637.69999999995</v>
      </c>
      <c r="AA762" s="11" t="s">
        <v>139</v>
      </c>
      <c r="AB762" s="11" t="s">
        <v>139</v>
      </c>
      <c r="AC762" s="11">
        <v>200408.2</v>
      </c>
      <c r="AD762" s="11">
        <v>1248268.7</v>
      </c>
      <c r="AE762" s="11" t="s">
        <v>139</v>
      </c>
      <c r="AF762" s="11">
        <v>64227</v>
      </c>
      <c r="AG762" s="11">
        <v>1476901.4</v>
      </c>
      <c r="AH762" s="13">
        <v>11773994</v>
      </c>
      <c r="AI762" s="11">
        <v>7665998</v>
      </c>
      <c r="AJ762" s="11">
        <v>1878306</v>
      </c>
      <c r="AK762" s="11">
        <v>5787692.0999999996</v>
      </c>
      <c r="AL762" s="11">
        <v>2302548.5</v>
      </c>
      <c r="AM762" s="11">
        <v>196235.9</v>
      </c>
      <c r="AN762" s="11">
        <v>666763.30000000005</v>
      </c>
      <c r="AO762" s="13">
        <v>10831545.6</v>
      </c>
      <c r="AP762" s="11">
        <v>942448.4</v>
      </c>
      <c r="AQ762" s="11">
        <v>-7634.1</v>
      </c>
      <c r="AR762" s="11" t="s">
        <v>139</v>
      </c>
      <c r="AS762">
        <f t="shared" si="14"/>
        <v>15331996.1</v>
      </c>
      <c r="AT762">
        <f t="shared" si="13"/>
        <v>0.76793614629213225</v>
      </c>
    </row>
    <row r="763" spans="1:46" x14ac:dyDescent="0.4">
      <c r="A763" s="3" t="s">
        <v>894</v>
      </c>
      <c r="B763">
        <v>8782690.0999999996</v>
      </c>
      <c r="C763">
        <v>2325958.7000000002</v>
      </c>
      <c r="D763">
        <v>1446157.8</v>
      </c>
      <c r="E763">
        <v>1001395.2</v>
      </c>
      <c r="F763">
        <v>444762.6</v>
      </c>
      <c r="G763">
        <v>879800.9</v>
      </c>
      <c r="H763">
        <v>214715.7</v>
      </c>
      <c r="I763">
        <v>665085.30000000005</v>
      </c>
      <c r="J763">
        <v>6456731.2999999998</v>
      </c>
      <c r="K763">
        <v>1265264.8</v>
      </c>
      <c r="L763">
        <v>3776798.6</v>
      </c>
      <c r="M763">
        <v>2135824.6</v>
      </c>
      <c r="N763">
        <v>603178.30000000005</v>
      </c>
      <c r="O763">
        <v>1532646.3999999999</v>
      </c>
      <c r="P763">
        <v>1640974</v>
      </c>
      <c r="Q763" t="s">
        <v>139</v>
      </c>
      <c r="R763" t="s">
        <v>139</v>
      </c>
      <c r="S763" t="s">
        <v>139</v>
      </c>
      <c r="T763" t="s">
        <v>139</v>
      </c>
      <c r="U763" s="11">
        <v>835515.2</v>
      </c>
      <c r="V763" s="12">
        <v>335878.6</v>
      </c>
      <c r="W763" s="11">
        <v>499636.6</v>
      </c>
      <c r="X763" s="11" t="s">
        <v>139</v>
      </c>
      <c r="Y763" s="11" t="s">
        <v>139</v>
      </c>
      <c r="Z763" s="11">
        <v>579152.69999999995</v>
      </c>
      <c r="AA763" s="11" t="s">
        <v>139</v>
      </c>
      <c r="AB763" s="11" t="s">
        <v>139</v>
      </c>
      <c r="AC763" s="11">
        <v>200048.2</v>
      </c>
      <c r="AD763" s="11">
        <v>1241519.6000000001</v>
      </c>
      <c r="AE763" s="11" t="s">
        <v>139</v>
      </c>
      <c r="AF763" s="11">
        <v>62439.8</v>
      </c>
      <c r="AG763" s="11">
        <v>1498250.2</v>
      </c>
      <c r="AH763" s="13">
        <v>11741762.1</v>
      </c>
      <c r="AI763" s="11">
        <v>7686464.7999999998</v>
      </c>
      <c r="AJ763" s="11">
        <v>1889395.3</v>
      </c>
      <c r="AK763" s="11">
        <v>5797069.4000000004</v>
      </c>
      <c r="AL763" s="11">
        <v>2257911.2999999998</v>
      </c>
      <c r="AM763" s="11">
        <v>145224.5</v>
      </c>
      <c r="AN763" s="11">
        <v>663203.4</v>
      </c>
      <c r="AO763" s="13">
        <v>10752803.9</v>
      </c>
      <c r="AP763" s="11">
        <v>988958.1</v>
      </c>
      <c r="AQ763" s="11">
        <v>-5687.9</v>
      </c>
      <c r="AR763" s="11" t="s">
        <v>139</v>
      </c>
      <c r="AS763">
        <f t="shared" si="14"/>
        <v>15372929.5</v>
      </c>
      <c r="AT763">
        <f t="shared" si="13"/>
        <v>0.7637947015889196</v>
      </c>
    </row>
    <row r="764" spans="1:46" x14ac:dyDescent="0.4">
      <c r="A764" s="3" t="s">
        <v>895</v>
      </c>
      <c r="B764">
        <v>8712227.4000000004</v>
      </c>
      <c r="C764">
        <v>2324051.5</v>
      </c>
      <c r="D764">
        <v>1448660.7</v>
      </c>
      <c r="E764">
        <v>1000948.7</v>
      </c>
      <c r="F764">
        <v>447712</v>
      </c>
      <c r="G764">
        <v>875390.8</v>
      </c>
      <c r="H764">
        <v>212959.5</v>
      </c>
      <c r="I764">
        <v>662431.30000000005</v>
      </c>
      <c r="J764">
        <v>6388175.9000000004</v>
      </c>
      <c r="K764">
        <v>1238695.1000000001</v>
      </c>
      <c r="L764">
        <v>3758474.5</v>
      </c>
      <c r="M764">
        <v>2128357.7000000002</v>
      </c>
      <c r="N764">
        <v>599969.9</v>
      </c>
      <c r="O764">
        <v>1528387.9</v>
      </c>
      <c r="P764">
        <v>1630116.8</v>
      </c>
      <c r="Q764" t="s">
        <v>139</v>
      </c>
      <c r="R764" t="s">
        <v>139</v>
      </c>
      <c r="S764" t="s">
        <v>139</v>
      </c>
      <c r="T764" t="s">
        <v>139</v>
      </c>
      <c r="U764" s="11">
        <v>819554.8</v>
      </c>
      <c r="V764" s="12">
        <v>323440.40000000002</v>
      </c>
      <c r="W764" s="11">
        <v>496114.4</v>
      </c>
      <c r="X764" s="11" t="s">
        <v>139</v>
      </c>
      <c r="Y764" s="11" t="s">
        <v>139</v>
      </c>
      <c r="Z764" s="11">
        <v>571451.4</v>
      </c>
      <c r="AA764" s="11" t="s">
        <v>139</v>
      </c>
      <c r="AB764" s="11" t="s">
        <v>139</v>
      </c>
      <c r="AC764" s="11">
        <v>199671.3</v>
      </c>
      <c r="AD764" s="11">
        <v>1257346</v>
      </c>
      <c r="AE764" s="11">
        <v>359258.2</v>
      </c>
      <c r="AF764" s="11">
        <v>58431.6</v>
      </c>
      <c r="AG764" s="11">
        <v>1499435</v>
      </c>
      <c r="AH764" s="13">
        <v>11687026.9</v>
      </c>
      <c r="AI764" s="11">
        <v>7674660.0999999996</v>
      </c>
      <c r="AJ764" s="11">
        <v>1878443</v>
      </c>
      <c r="AK764" s="11">
        <v>5796217.2000000002</v>
      </c>
      <c r="AL764" s="11">
        <v>1870780.1</v>
      </c>
      <c r="AM764" s="11">
        <v>124289.8</v>
      </c>
      <c r="AN764" s="11">
        <v>642529.4</v>
      </c>
      <c r="AO764" s="13">
        <v>10312259.4</v>
      </c>
      <c r="AP764" s="11">
        <v>1374767.5</v>
      </c>
      <c r="AQ764" s="11">
        <v>-8817.2999999999993</v>
      </c>
      <c r="AR764" s="11" t="s">
        <v>139</v>
      </c>
      <c r="AS764">
        <f t="shared" si="14"/>
        <v>15349320.300000001</v>
      </c>
      <c r="AT764">
        <f t="shared" si="13"/>
        <v>0.76140354566710033</v>
      </c>
    </row>
    <row r="765" spans="1:46" x14ac:dyDescent="0.4">
      <c r="A765" s="3" t="s">
        <v>896</v>
      </c>
      <c r="B765">
        <v>8649214</v>
      </c>
      <c r="C765">
        <v>2327884.4</v>
      </c>
      <c r="D765">
        <v>1462902.4</v>
      </c>
      <c r="E765">
        <v>1009224.8</v>
      </c>
      <c r="F765">
        <v>453677.6</v>
      </c>
      <c r="G765">
        <v>864981.9</v>
      </c>
      <c r="H765">
        <v>208385.8</v>
      </c>
      <c r="I765">
        <v>656596.19999999995</v>
      </c>
      <c r="J765">
        <v>6321329.5999999996</v>
      </c>
      <c r="K765">
        <v>1223589.5</v>
      </c>
      <c r="L765">
        <v>3720975.7</v>
      </c>
      <c r="M765">
        <v>2099955.9</v>
      </c>
      <c r="N765">
        <v>599101</v>
      </c>
      <c r="O765">
        <v>1500854.9</v>
      </c>
      <c r="P765">
        <v>1621019.8</v>
      </c>
      <c r="Q765" t="s">
        <v>139</v>
      </c>
      <c r="R765" t="s">
        <v>139</v>
      </c>
      <c r="S765" t="s">
        <v>139</v>
      </c>
      <c r="T765" t="s">
        <v>139</v>
      </c>
      <c r="U765" s="11">
        <v>812093.6</v>
      </c>
      <c r="V765" s="12">
        <v>317773</v>
      </c>
      <c r="W765" s="11">
        <v>494320.6</v>
      </c>
      <c r="X765" s="11" t="s">
        <v>139</v>
      </c>
      <c r="Y765" s="11" t="s">
        <v>139</v>
      </c>
      <c r="Z765" s="11">
        <v>564670.80000000005</v>
      </c>
      <c r="AA765" s="11" t="s">
        <v>139</v>
      </c>
      <c r="AB765" s="11" t="s">
        <v>139</v>
      </c>
      <c r="AC765" s="11">
        <v>199794.5</v>
      </c>
      <c r="AD765" s="11">
        <v>1313176.3</v>
      </c>
      <c r="AE765" s="11">
        <v>366179.7</v>
      </c>
      <c r="AF765" s="11">
        <v>60295</v>
      </c>
      <c r="AG765" s="11">
        <v>1512747.1</v>
      </c>
      <c r="AH765" s="13">
        <v>11701817.5</v>
      </c>
      <c r="AI765" s="11">
        <v>7698864.2000000002</v>
      </c>
      <c r="AJ765" s="11">
        <v>1861328.9</v>
      </c>
      <c r="AK765" s="11">
        <v>5837535.2999999998</v>
      </c>
      <c r="AL765" s="11">
        <v>1830870.4</v>
      </c>
      <c r="AM765" s="11">
        <v>165892.9</v>
      </c>
      <c r="AN765" s="11">
        <v>637283.30000000005</v>
      </c>
      <c r="AO765" s="13">
        <v>10332910.9</v>
      </c>
      <c r="AP765" s="11">
        <v>1368906.7</v>
      </c>
      <c r="AQ765" s="11">
        <v>-3190</v>
      </c>
      <c r="AR765" s="11" t="s">
        <v>139</v>
      </c>
      <c r="AS765">
        <f t="shared" si="14"/>
        <v>15397728.399999999</v>
      </c>
      <c r="AT765">
        <f t="shared" si="13"/>
        <v>0.75997037978667037</v>
      </c>
    </row>
    <row r="766" spans="1:46" x14ac:dyDescent="0.4">
      <c r="A766" s="3" t="s">
        <v>897</v>
      </c>
      <c r="B766">
        <v>8701046.3000000007</v>
      </c>
      <c r="C766">
        <v>2317508.2999999998</v>
      </c>
      <c r="D766">
        <v>1471430.5</v>
      </c>
      <c r="E766">
        <v>1000936.6</v>
      </c>
      <c r="F766">
        <v>470493.9</v>
      </c>
      <c r="G766">
        <v>846077.8</v>
      </c>
      <c r="H766">
        <v>203157.1</v>
      </c>
      <c r="I766">
        <v>642920.69999999995</v>
      </c>
      <c r="J766">
        <v>6383537.9000000004</v>
      </c>
      <c r="K766">
        <v>1210092.2</v>
      </c>
      <c r="L766">
        <v>3704364.3</v>
      </c>
      <c r="M766">
        <v>2094510</v>
      </c>
      <c r="N766">
        <v>599157.9</v>
      </c>
      <c r="O766">
        <v>1495352.1</v>
      </c>
      <c r="P766">
        <v>1609854.2</v>
      </c>
      <c r="Q766" t="s">
        <v>139</v>
      </c>
      <c r="R766" t="s">
        <v>139</v>
      </c>
      <c r="S766" t="s">
        <v>139</v>
      </c>
      <c r="T766" t="s">
        <v>139</v>
      </c>
      <c r="U766" s="11">
        <v>886492.8</v>
      </c>
      <c r="V766" s="12">
        <v>391112.3</v>
      </c>
      <c r="W766" s="11">
        <v>495380.6</v>
      </c>
      <c r="X766" s="11" t="s">
        <v>139</v>
      </c>
      <c r="Y766" s="11" t="s">
        <v>139</v>
      </c>
      <c r="Z766" s="11">
        <v>582588.6</v>
      </c>
      <c r="AA766" s="11" t="s">
        <v>139</v>
      </c>
      <c r="AB766" s="11" t="s">
        <v>139</v>
      </c>
      <c r="AC766" s="11">
        <v>206799.2</v>
      </c>
      <c r="AD766" s="11">
        <v>1244834.7</v>
      </c>
      <c r="AE766" s="11">
        <v>364117</v>
      </c>
      <c r="AF766" s="11">
        <v>49606.3</v>
      </c>
      <c r="AG766" s="11">
        <v>1502555.6</v>
      </c>
      <c r="AH766" s="13">
        <v>11655360.699999999</v>
      </c>
      <c r="AI766" s="11">
        <v>7690852.7000000002</v>
      </c>
      <c r="AJ766" s="11">
        <v>1827919.9</v>
      </c>
      <c r="AK766" s="11">
        <v>5862932.7000000002</v>
      </c>
      <c r="AL766" s="11">
        <v>1857816.2</v>
      </c>
      <c r="AM766" s="11">
        <v>120005.9</v>
      </c>
      <c r="AN766" s="11">
        <v>660313.9</v>
      </c>
      <c r="AO766" s="13">
        <v>10328988.699999999</v>
      </c>
      <c r="AP766" s="11">
        <v>1326372</v>
      </c>
      <c r="AQ766" s="11">
        <v>-2073.3000000000002</v>
      </c>
      <c r="AR766" s="11" t="s">
        <v>139</v>
      </c>
      <c r="AS766">
        <f t="shared" si="14"/>
        <v>15381705.300000001</v>
      </c>
      <c r="AT766">
        <f t="shared" si="13"/>
        <v>0.75774177652460928</v>
      </c>
    </row>
    <row r="767" spans="1:46" x14ac:dyDescent="0.4">
      <c r="A767" s="3" t="s">
        <v>898</v>
      </c>
      <c r="B767">
        <v>9019780.0999999996</v>
      </c>
      <c r="C767">
        <v>2315041.7000000002</v>
      </c>
      <c r="D767">
        <v>1504017.8</v>
      </c>
      <c r="E767">
        <v>1006593.1</v>
      </c>
      <c r="F767">
        <v>497424.7</v>
      </c>
      <c r="G767">
        <v>811024</v>
      </c>
      <c r="H767">
        <v>190632.2</v>
      </c>
      <c r="I767">
        <v>620391.80000000005</v>
      </c>
      <c r="J767">
        <v>6704738.4000000004</v>
      </c>
      <c r="K767">
        <v>1207489.8</v>
      </c>
      <c r="L767">
        <v>3713999.8</v>
      </c>
      <c r="M767">
        <v>2113192.5</v>
      </c>
      <c r="N767">
        <v>601935</v>
      </c>
      <c r="O767">
        <v>1511257.5</v>
      </c>
      <c r="P767">
        <v>1600807.4</v>
      </c>
      <c r="Q767" t="s">
        <v>139</v>
      </c>
      <c r="R767" t="s">
        <v>139</v>
      </c>
      <c r="S767" t="s">
        <v>139</v>
      </c>
      <c r="T767" t="s">
        <v>139</v>
      </c>
      <c r="U767" s="11">
        <v>1157957.2</v>
      </c>
      <c r="V767" s="12">
        <v>648239.19999999995</v>
      </c>
      <c r="W767" s="11">
        <v>509718</v>
      </c>
      <c r="X767" s="11" t="s">
        <v>139</v>
      </c>
      <c r="Y767" s="11" t="s">
        <v>139</v>
      </c>
      <c r="Z767" s="11">
        <v>625291.6</v>
      </c>
      <c r="AA767" s="11" t="s">
        <v>139</v>
      </c>
      <c r="AB767" s="11" t="s">
        <v>139</v>
      </c>
      <c r="AC767" s="11">
        <v>234887.6</v>
      </c>
      <c r="AD767" s="11">
        <v>1198259.3</v>
      </c>
      <c r="AE767" s="11">
        <v>349857.6</v>
      </c>
      <c r="AF767" s="11">
        <v>21773.1</v>
      </c>
      <c r="AG767" s="11">
        <v>1490141.4</v>
      </c>
      <c r="AH767" s="13">
        <v>11844924</v>
      </c>
      <c r="AI767" s="11">
        <v>7696805.4000000004</v>
      </c>
      <c r="AJ767" s="11">
        <v>1781339.5</v>
      </c>
      <c r="AK767" s="11">
        <v>5915466</v>
      </c>
      <c r="AL767" s="11">
        <v>2107378</v>
      </c>
      <c r="AM767" s="11">
        <v>56355.5</v>
      </c>
      <c r="AN767" s="11">
        <v>662780.1</v>
      </c>
      <c r="AO767" s="13">
        <v>10523319</v>
      </c>
      <c r="AP767" s="11">
        <v>1321604.8999999999</v>
      </c>
      <c r="AQ767" s="11">
        <v>-2633.4</v>
      </c>
      <c r="AR767" s="11" t="s">
        <v>139</v>
      </c>
      <c r="AS767">
        <f t="shared" si="14"/>
        <v>15393610.9</v>
      </c>
      <c r="AT767">
        <f t="shared" si="13"/>
        <v>0.76947014426615135</v>
      </c>
    </row>
    <row r="768" spans="1:46" x14ac:dyDescent="0.4">
      <c r="A768" s="3" t="s">
        <v>899</v>
      </c>
      <c r="B768">
        <v>8968557.8000000007</v>
      </c>
      <c r="C768">
        <v>2303089.2999999998</v>
      </c>
      <c r="D768">
        <v>1504006.6</v>
      </c>
      <c r="E768">
        <v>1011440.9</v>
      </c>
      <c r="F768">
        <v>492565.7</v>
      </c>
      <c r="G768">
        <v>799082.7</v>
      </c>
      <c r="H768">
        <v>183508.9</v>
      </c>
      <c r="I768">
        <v>615573.80000000005</v>
      </c>
      <c r="J768">
        <v>6665468.5</v>
      </c>
      <c r="K768">
        <v>1196715.8999999999</v>
      </c>
      <c r="L768">
        <v>3699756.4</v>
      </c>
      <c r="M768">
        <v>2111773</v>
      </c>
      <c r="N768">
        <v>599486.19999999995</v>
      </c>
      <c r="O768">
        <v>1512286.8</v>
      </c>
      <c r="P768">
        <v>1587983.4</v>
      </c>
      <c r="Q768" t="s">
        <v>139</v>
      </c>
      <c r="R768" t="s">
        <v>139</v>
      </c>
      <c r="S768" t="s">
        <v>139</v>
      </c>
      <c r="T768" t="s">
        <v>139</v>
      </c>
      <c r="U768" s="11">
        <v>1149277.6000000001</v>
      </c>
      <c r="V768" s="12">
        <v>640720.30000000005</v>
      </c>
      <c r="W768" s="11">
        <v>508557.4</v>
      </c>
      <c r="X768" s="11" t="s">
        <v>139</v>
      </c>
      <c r="Y768" s="11" t="s">
        <v>139</v>
      </c>
      <c r="Z768" s="11">
        <v>619718.5</v>
      </c>
      <c r="AA768" s="11" t="s">
        <v>139</v>
      </c>
      <c r="AB768" s="11" t="s">
        <v>139</v>
      </c>
      <c r="AC768" s="11">
        <v>233497.9</v>
      </c>
      <c r="AD768" s="11">
        <v>1182433.1000000001</v>
      </c>
      <c r="AE768" s="11">
        <v>357272.3</v>
      </c>
      <c r="AF768" s="11">
        <v>17081.5</v>
      </c>
      <c r="AG768" s="11">
        <v>1505064.8</v>
      </c>
      <c r="AH768" s="13">
        <v>11796911.6</v>
      </c>
      <c r="AI768" s="11">
        <v>7677566.0999999996</v>
      </c>
      <c r="AJ768" s="11">
        <v>1726189.5</v>
      </c>
      <c r="AK768" s="11">
        <v>5951376.5999999996</v>
      </c>
      <c r="AL768" s="11">
        <v>2041791.7</v>
      </c>
      <c r="AM768" s="11">
        <v>48568.3</v>
      </c>
      <c r="AN768" s="11">
        <v>702647.6</v>
      </c>
      <c r="AO768" s="13">
        <v>10470573.699999999</v>
      </c>
      <c r="AP768" s="11">
        <v>1326337.8999999999</v>
      </c>
      <c r="AQ768" s="11">
        <v>5894.8</v>
      </c>
      <c r="AR768" s="11" t="s">
        <v>139</v>
      </c>
      <c r="AS768">
        <f t="shared" si="14"/>
        <v>15355132.199999999</v>
      </c>
      <c r="AT768">
        <f t="shared" si="13"/>
        <v>0.76827157502427756</v>
      </c>
    </row>
    <row r="769" spans="1:46" x14ac:dyDescent="0.4">
      <c r="A769" s="3" t="s">
        <v>900</v>
      </c>
      <c r="B769">
        <v>8931888.4000000004</v>
      </c>
      <c r="C769">
        <v>2294225.4</v>
      </c>
      <c r="D769">
        <v>1502075.9</v>
      </c>
      <c r="E769">
        <v>1007265.3</v>
      </c>
      <c r="F769">
        <v>494810.5</v>
      </c>
      <c r="G769">
        <v>792149.5</v>
      </c>
      <c r="H769">
        <v>178242.5</v>
      </c>
      <c r="I769">
        <v>613907</v>
      </c>
      <c r="J769">
        <v>6637663</v>
      </c>
      <c r="K769">
        <v>1190105.8999999999</v>
      </c>
      <c r="L769">
        <v>3682359</v>
      </c>
      <c r="M769">
        <v>2106630.5</v>
      </c>
      <c r="N769">
        <v>597396.4</v>
      </c>
      <c r="O769">
        <v>1509234.2</v>
      </c>
      <c r="P769">
        <v>1575728.5</v>
      </c>
      <c r="Q769" t="s">
        <v>139</v>
      </c>
      <c r="R769" t="s">
        <v>139</v>
      </c>
      <c r="S769" t="s">
        <v>139</v>
      </c>
      <c r="T769" t="s">
        <v>139</v>
      </c>
      <c r="U769" s="11">
        <v>1140086.3</v>
      </c>
      <c r="V769" s="12">
        <v>632257.69999999995</v>
      </c>
      <c r="W769" s="11">
        <v>507828.7</v>
      </c>
      <c r="X769" s="11" t="s">
        <v>139</v>
      </c>
      <c r="Y769" s="11" t="s">
        <v>139</v>
      </c>
      <c r="Z769" s="11">
        <v>625111.69999999995</v>
      </c>
      <c r="AA769" s="11" t="s">
        <v>139</v>
      </c>
      <c r="AB769" s="11" t="s">
        <v>139</v>
      </c>
      <c r="AC769" s="11">
        <v>230994.4</v>
      </c>
      <c r="AD769" s="11">
        <v>1152507.8999999999</v>
      </c>
      <c r="AE769" s="11">
        <v>350414.6</v>
      </c>
      <c r="AF769" s="11">
        <v>17139</v>
      </c>
      <c r="AG769" s="11">
        <v>1505158</v>
      </c>
      <c r="AH769" s="13">
        <v>11726113.4</v>
      </c>
      <c r="AI769" s="11">
        <v>7687576.2999999998</v>
      </c>
      <c r="AJ769" s="11">
        <v>1716249.2</v>
      </c>
      <c r="AK769" s="11">
        <v>5971327.0999999996</v>
      </c>
      <c r="AL769" s="11">
        <v>1989503.2</v>
      </c>
      <c r="AM769" s="11">
        <v>27437.599999999999</v>
      </c>
      <c r="AN769" s="11">
        <v>705004</v>
      </c>
      <c r="AO769" s="13">
        <v>10409521.1</v>
      </c>
      <c r="AP769" s="11">
        <v>1316592.3</v>
      </c>
      <c r="AQ769" s="11">
        <v>9424.2999999999993</v>
      </c>
      <c r="AR769" s="11" t="s">
        <v>139</v>
      </c>
      <c r="AS769">
        <f t="shared" si="14"/>
        <v>15375152.6</v>
      </c>
      <c r="AT769">
        <f t="shared" ref="AT769:AT832" si="15">AH769/AS769</f>
        <v>0.7626664726566682</v>
      </c>
    </row>
    <row r="770" spans="1:46" x14ac:dyDescent="0.4">
      <c r="A770" s="3" t="s">
        <v>901</v>
      </c>
      <c r="B770">
        <v>8965086.6999999993</v>
      </c>
      <c r="C770">
        <v>2351982.9</v>
      </c>
      <c r="D770">
        <v>1559615.2</v>
      </c>
      <c r="E770">
        <v>1043640.2</v>
      </c>
      <c r="F770">
        <v>515975</v>
      </c>
      <c r="G770">
        <v>792367.7</v>
      </c>
      <c r="H770">
        <v>176698.5</v>
      </c>
      <c r="I770">
        <v>615669.19999999995</v>
      </c>
      <c r="J770">
        <v>6613103.7999999998</v>
      </c>
      <c r="K770">
        <v>1188974.2</v>
      </c>
      <c r="L770">
        <v>3661843.4</v>
      </c>
      <c r="M770">
        <v>2098563.5</v>
      </c>
      <c r="N770">
        <v>596335.6</v>
      </c>
      <c r="O770">
        <v>1502228</v>
      </c>
      <c r="P770">
        <v>1563279.8</v>
      </c>
      <c r="Q770" t="s">
        <v>139</v>
      </c>
      <c r="R770" t="s">
        <v>139</v>
      </c>
      <c r="S770" t="s">
        <v>139</v>
      </c>
      <c r="T770" t="s">
        <v>139</v>
      </c>
      <c r="U770" s="11">
        <v>1136491</v>
      </c>
      <c r="V770" s="12">
        <v>626949.5</v>
      </c>
      <c r="W770" s="11">
        <v>509541.5</v>
      </c>
      <c r="X770" s="11" t="s">
        <v>139</v>
      </c>
      <c r="Y770" s="11" t="s">
        <v>139</v>
      </c>
      <c r="Z770" s="11">
        <v>625795.19999999995</v>
      </c>
      <c r="AA770" s="11" t="s">
        <v>139</v>
      </c>
      <c r="AB770" s="11" t="s">
        <v>139</v>
      </c>
      <c r="AC770" s="11">
        <v>226349.9</v>
      </c>
      <c r="AD770" s="11">
        <v>1183482.8</v>
      </c>
      <c r="AE770" s="11">
        <v>355332.8</v>
      </c>
      <c r="AF770" s="11">
        <v>18800.400000000001</v>
      </c>
      <c r="AG770" s="11">
        <v>1492211.4</v>
      </c>
      <c r="AH770" s="13">
        <v>11788564.1</v>
      </c>
      <c r="AI770" s="11">
        <v>7728172.4000000004</v>
      </c>
      <c r="AJ770" s="11">
        <v>1744399.5</v>
      </c>
      <c r="AK770" s="11">
        <v>5983772.9000000004</v>
      </c>
      <c r="AL770" s="11">
        <v>1960491.8</v>
      </c>
      <c r="AM770" s="11">
        <v>65267.5</v>
      </c>
      <c r="AN770" s="11">
        <v>721226.2</v>
      </c>
      <c r="AO770" s="13">
        <v>10475157.9</v>
      </c>
      <c r="AP770" s="11">
        <v>1313406.2</v>
      </c>
      <c r="AQ770" s="11">
        <v>15214</v>
      </c>
      <c r="AR770" s="11" t="s">
        <v>139</v>
      </c>
      <c r="AS770">
        <f t="shared" si="14"/>
        <v>15456344.800000001</v>
      </c>
      <c r="AT770">
        <f t="shared" si="15"/>
        <v>0.7627006418749146</v>
      </c>
    </row>
    <row r="771" spans="1:46" x14ac:dyDescent="0.4">
      <c r="A771" s="3" t="s">
        <v>902</v>
      </c>
      <c r="B771">
        <v>8993581</v>
      </c>
      <c r="C771">
        <v>2388332.2999999998</v>
      </c>
      <c r="D771">
        <v>1592686.1</v>
      </c>
      <c r="E771">
        <v>1056225.8999999999</v>
      </c>
      <c r="F771">
        <v>536460.19999999995</v>
      </c>
      <c r="G771">
        <v>795646.3</v>
      </c>
      <c r="H771">
        <v>173904.9</v>
      </c>
      <c r="I771">
        <v>621741.30000000005</v>
      </c>
      <c r="J771">
        <v>6605248.7000000002</v>
      </c>
      <c r="K771">
        <v>1187832.3999999999</v>
      </c>
      <c r="L771">
        <v>3656050.7</v>
      </c>
      <c r="M771">
        <v>2101846.2000000002</v>
      </c>
      <c r="N771">
        <v>594535.19999999995</v>
      </c>
      <c r="O771">
        <v>1507311</v>
      </c>
      <c r="P771">
        <v>1554204.4</v>
      </c>
      <c r="Q771" t="s">
        <v>139</v>
      </c>
      <c r="R771" t="s">
        <v>139</v>
      </c>
      <c r="S771" t="s">
        <v>139</v>
      </c>
      <c r="T771" t="s">
        <v>139</v>
      </c>
      <c r="U771" s="11">
        <v>1133580.2</v>
      </c>
      <c r="V771" s="12">
        <v>621672.30000000005</v>
      </c>
      <c r="W771" s="11">
        <v>511907.8</v>
      </c>
      <c r="X771" s="11" t="s">
        <v>139</v>
      </c>
      <c r="Y771" s="11" t="s">
        <v>139</v>
      </c>
      <c r="Z771" s="11">
        <v>627785.5</v>
      </c>
      <c r="AA771" s="11" t="s">
        <v>139</v>
      </c>
      <c r="AB771" s="11" t="s">
        <v>139</v>
      </c>
      <c r="AC771" s="11">
        <v>224083.9</v>
      </c>
      <c r="AD771" s="11">
        <v>1177907.5</v>
      </c>
      <c r="AE771" s="11">
        <v>359389.4</v>
      </c>
      <c r="AF771" s="11">
        <v>19083</v>
      </c>
      <c r="AG771" s="11">
        <v>1512184.5</v>
      </c>
      <c r="AH771" s="13">
        <v>11838061.4</v>
      </c>
      <c r="AI771" s="11">
        <v>7775414.7000000002</v>
      </c>
      <c r="AJ771" s="11">
        <v>1760786</v>
      </c>
      <c r="AK771" s="11">
        <v>6014628.7000000002</v>
      </c>
      <c r="AL771" s="11">
        <v>1966386.3</v>
      </c>
      <c r="AM771" s="11">
        <v>48900.5</v>
      </c>
      <c r="AN771" s="11">
        <v>743458.6</v>
      </c>
      <c r="AO771" s="13">
        <v>10534160.199999999</v>
      </c>
      <c r="AP771" s="11">
        <v>1303901.3</v>
      </c>
      <c r="AQ771" s="11">
        <v>19270.7</v>
      </c>
      <c r="AR771" s="11" t="s">
        <v>139</v>
      </c>
      <c r="AS771">
        <f t="shared" si="14"/>
        <v>15550829.399999999</v>
      </c>
      <c r="AT771">
        <f t="shared" si="15"/>
        <v>0.7612495189484878</v>
      </c>
    </row>
    <row r="772" spans="1:46" x14ac:dyDescent="0.4">
      <c r="A772" s="3" t="s">
        <v>903</v>
      </c>
      <c r="B772">
        <v>8988963.1999999993</v>
      </c>
      <c r="C772">
        <v>2414020.1</v>
      </c>
      <c r="D772">
        <v>1616561.6</v>
      </c>
      <c r="E772">
        <v>1066531.7</v>
      </c>
      <c r="F772">
        <v>550029.80000000005</v>
      </c>
      <c r="G772">
        <v>797458.5</v>
      </c>
      <c r="H772">
        <v>169006.5</v>
      </c>
      <c r="I772">
        <v>628452</v>
      </c>
      <c r="J772">
        <v>6574943.0999999996</v>
      </c>
      <c r="K772">
        <v>1185927.2</v>
      </c>
      <c r="L772">
        <v>3642149.1</v>
      </c>
      <c r="M772">
        <v>2100587.7999999998</v>
      </c>
      <c r="N772">
        <v>591642.1</v>
      </c>
      <c r="O772">
        <v>1508945.6</v>
      </c>
      <c r="P772">
        <v>1541561.3</v>
      </c>
      <c r="Q772" t="s">
        <v>139</v>
      </c>
      <c r="R772" t="s">
        <v>139</v>
      </c>
      <c r="S772" t="s">
        <v>139</v>
      </c>
      <c r="T772" t="s">
        <v>139</v>
      </c>
      <c r="U772" s="11">
        <v>1121181.8999999999</v>
      </c>
      <c r="V772" s="12">
        <v>616654.80000000005</v>
      </c>
      <c r="W772" s="11">
        <v>504527.1</v>
      </c>
      <c r="X772" s="11" t="s">
        <v>139</v>
      </c>
      <c r="Y772" s="11" t="s">
        <v>139</v>
      </c>
      <c r="Z772" s="11">
        <v>625684.9</v>
      </c>
      <c r="AA772" s="11" t="s">
        <v>139</v>
      </c>
      <c r="AB772" s="11" t="s">
        <v>139</v>
      </c>
      <c r="AC772" s="11">
        <v>222477.8</v>
      </c>
      <c r="AD772" s="11">
        <v>1138813.2</v>
      </c>
      <c r="AE772" s="11">
        <v>360339</v>
      </c>
      <c r="AF772" s="11">
        <v>21993.599999999999</v>
      </c>
      <c r="AG772" s="11">
        <v>1501802.9</v>
      </c>
      <c r="AH772" s="13">
        <v>11789434.1</v>
      </c>
      <c r="AI772" s="11">
        <v>7797875.5</v>
      </c>
      <c r="AJ772" s="11">
        <v>1756295.4</v>
      </c>
      <c r="AK772" s="11">
        <v>6041580.0999999996</v>
      </c>
      <c r="AL772" s="11">
        <v>1935581.2</v>
      </c>
      <c r="AM772" s="11">
        <v>-2093</v>
      </c>
      <c r="AN772" s="11">
        <v>747231.7</v>
      </c>
      <c r="AO772" s="13">
        <v>10478595.199999999</v>
      </c>
      <c r="AP772" s="11">
        <v>1310838.8</v>
      </c>
      <c r="AQ772" s="11">
        <v>18976.2</v>
      </c>
      <c r="AR772" s="11" t="s">
        <v>139</v>
      </c>
      <c r="AS772">
        <f t="shared" si="14"/>
        <v>15595751</v>
      </c>
      <c r="AT772">
        <f t="shared" si="15"/>
        <v>0.75593885155001506</v>
      </c>
    </row>
    <row r="773" spans="1:46" x14ac:dyDescent="0.4">
      <c r="A773" s="3" t="s">
        <v>904</v>
      </c>
      <c r="B773">
        <v>9003022.0999999996</v>
      </c>
      <c r="C773">
        <v>2439063.9</v>
      </c>
      <c r="D773">
        <v>1641131</v>
      </c>
      <c r="E773">
        <v>1091169.5</v>
      </c>
      <c r="F773">
        <v>549961.5</v>
      </c>
      <c r="G773">
        <v>797932.9</v>
      </c>
      <c r="H773">
        <v>167051.5</v>
      </c>
      <c r="I773">
        <v>630881.4</v>
      </c>
      <c r="J773">
        <v>6563958.2000000002</v>
      </c>
      <c r="K773">
        <v>1184918.2</v>
      </c>
      <c r="L773">
        <v>3627162.6</v>
      </c>
      <c r="M773">
        <v>2099186.4</v>
      </c>
      <c r="N773">
        <v>588669.69999999995</v>
      </c>
      <c r="O773">
        <v>1510516.7</v>
      </c>
      <c r="P773">
        <v>1527976.2</v>
      </c>
      <c r="Q773" t="s">
        <v>139</v>
      </c>
      <c r="R773" t="s">
        <v>139</v>
      </c>
      <c r="S773" t="s">
        <v>139</v>
      </c>
      <c r="T773" t="s">
        <v>139</v>
      </c>
      <c r="U773" s="11">
        <v>1114659.1000000001</v>
      </c>
      <c r="V773" s="12">
        <v>611965.4</v>
      </c>
      <c r="W773" s="11">
        <v>502693.6</v>
      </c>
      <c r="X773" s="11" t="s">
        <v>139</v>
      </c>
      <c r="Y773" s="11" t="s">
        <v>139</v>
      </c>
      <c r="Z773" s="11">
        <v>637218.4</v>
      </c>
      <c r="AA773" s="11" t="s">
        <v>139</v>
      </c>
      <c r="AB773" s="11" t="s">
        <v>139</v>
      </c>
      <c r="AC773" s="11">
        <v>217411.1</v>
      </c>
      <c r="AD773" s="11">
        <v>1149558.6000000001</v>
      </c>
      <c r="AE773" s="11">
        <v>368563.6</v>
      </c>
      <c r="AF773" s="11">
        <v>30196.5</v>
      </c>
      <c r="AG773" s="11">
        <v>1552032.8</v>
      </c>
      <c r="AH773" s="13">
        <v>11885962.5</v>
      </c>
      <c r="AI773" s="11">
        <v>7841647.9000000004</v>
      </c>
      <c r="AJ773" s="11">
        <v>1762885.1</v>
      </c>
      <c r="AK773" s="11">
        <v>6078762.7999999998</v>
      </c>
      <c r="AL773" s="11">
        <v>1928987.6</v>
      </c>
      <c r="AM773" s="11">
        <v>-26741.200000000001</v>
      </c>
      <c r="AN773" s="11">
        <v>801569.3</v>
      </c>
      <c r="AO773" s="13">
        <v>10545463.5</v>
      </c>
      <c r="AP773" s="11">
        <v>1340499</v>
      </c>
      <c r="AQ773" s="11">
        <v>20036.8</v>
      </c>
      <c r="AR773" s="11" t="s">
        <v>139</v>
      </c>
      <c r="AS773">
        <f t="shared" si="14"/>
        <v>15683295.800000001</v>
      </c>
      <c r="AT773">
        <f t="shared" si="15"/>
        <v>0.75787402415760086</v>
      </c>
    </row>
    <row r="774" spans="1:46" x14ac:dyDescent="0.4">
      <c r="A774" s="3" t="s">
        <v>905</v>
      </c>
      <c r="B774">
        <v>9017061.5999999996</v>
      </c>
      <c r="C774">
        <v>2454510.4</v>
      </c>
      <c r="D774">
        <v>1657820.4</v>
      </c>
      <c r="E774">
        <v>1120394.3</v>
      </c>
      <c r="F774">
        <v>537426</v>
      </c>
      <c r="G774">
        <v>796690</v>
      </c>
      <c r="H774">
        <v>164500.29999999999</v>
      </c>
      <c r="I774">
        <v>632189.69999999995</v>
      </c>
      <c r="J774">
        <v>6562551.2999999998</v>
      </c>
      <c r="K774">
        <v>1187119.6000000001</v>
      </c>
      <c r="L774">
        <v>3623903.7</v>
      </c>
      <c r="M774">
        <v>2108899.2999999998</v>
      </c>
      <c r="N774">
        <v>585385.4</v>
      </c>
      <c r="O774">
        <v>1523514</v>
      </c>
      <c r="P774">
        <v>1515004.3</v>
      </c>
      <c r="Q774" t="s">
        <v>139</v>
      </c>
      <c r="R774" t="s">
        <v>139</v>
      </c>
      <c r="S774" t="s">
        <v>139</v>
      </c>
      <c r="T774" t="s">
        <v>139</v>
      </c>
      <c r="U774" s="11">
        <v>1109970.2</v>
      </c>
      <c r="V774" s="12">
        <v>608154.4</v>
      </c>
      <c r="W774" s="11">
        <v>501815.8</v>
      </c>
      <c r="X774" s="11" t="s">
        <v>139</v>
      </c>
      <c r="Y774" s="11" t="s">
        <v>139</v>
      </c>
      <c r="Z774" s="11">
        <v>641557.69999999995</v>
      </c>
      <c r="AA774" s="11" t="s">
        <v>139</v>
      </c>
      <c r="AB774" s="11" t="s">
        <v>139</v>
      </c>
      <c r="AC774" s="11">
        <v>214943.2</v>
      </c>
      <c r="AD774" s="11">
        <v>1105631.5</v>
      </c>
      <c r="AE774" s="11">
        <v>360687.4</v>
      </c>
      <c r="AF774" s="11">
        <v>29600.5</v>
      </c>
      <c r="AG774" s="11">
        <v>1531764.3</v>
      </c>
      <c r="AH774" s="13">
        <v>11829802.1</v>
      </c>
      <c r="AI774" s="11">
        <v>7883763.5999999996</v>
      </c>
      <c r="AJ774" s="11">
        <v>1755022.8</v>
      </c>
      <c r="AK774" s="11">
        <v>6128740.7999999998</v>
      </c>
      <c r="AL774" s="11">
        <v>1882279.8</v>
      </c>
      <c r="AM774" s="11">
        <v>-41919.9</v>
      </c>
      <c r="AN774" s="11">
        <v>748609.1</v>
      </c>
      <c r="AO774" s="13">
        <v>10472732.6</v>
      </c>
      <c r="AP774" s="11">
        <v>1357069.5</v>
      </c>
      <c r="AQ774" s="11">
        <v>16835.8</v>
      </c>
      <c r="AR774" s="11" t="s">
        <v>139</v>
      </c>
      <c r="AS774">
        <f t="shared" si="14"/>
        <v>15767527.199999999</v>
      </c>
      <c r="AT774">
        <f t="shared" si="15"/>
        <v>0.75026362408938796</v>
      </c>
    </row>
    <row r="775" spans="1:46" x14ac:dyDescent="0.4">
      <c r="A775" s="3" t="s">
        <v>906</v>
      </c>
      <c r="B775">
        <v>8982732.0999999996</v>
      </c>
      <c r="C775">
        <v>2426758.2000000002</v>
      </c>
      <c r="D775">
        <v>1640856.4</v>
      </c>
      <c r="E775">
        <v>1110468.5</v>
      </c>
      <c r="F775">
        <v>530388</v>
      </c>
      <c r="G775">
        <v>785901.8</v>
      </c>
      <c r="H775">
        <v>159956.6</v>
      </c>
      <c r="I775">
        <v>625945.19999999995</v>
      </c>
      <c r="J775">
        <v>6555973.9000000004</v>
      </c>
      <c r="K775">
        <v>1192451.6000000001</v>
      </c>
      <c r="L775">
        <v>3613638</v>
      </c>
      <c r="M775">
        <v>2113127.5</v>
      </c>
      <c r="N775">
        <v>581565.9</v>
      </c>
      <c r="O775">
        <v>1531561.6</v>
      </c>
      <c r="P775">
        <v>1500510.5</v>
      </c>
      <c r="Q775" t="s">
        <v>139</v>
      </c>
      <c r="R775" t="s">
        <v>139</v>
      </c>
      <c r="S775" t="s">
        <v>139</v>
      </c>
      <c r="T775" t="s">
        <v>139</v>
      </c>
      <c r="U775" s="11">
        <v>1107190.3</v>
      </c>
      <c r="V775" s="12">
        <v>607386.9</v>
      </c>
      <c r="W775" s="11">
        <v>499803.4</v>
      </c>
      <c r="X775" s="11" t="s">
        <v>139</v>
      </c>
      <c r="Y775" s="11" t="s">
        <v>139</v>
      </c>
      <c r="Z775" s="11">
        <v>642694.1</v>
      </c>
      <c r="AA775" s="11" t="s">
        <v>139</v>
      </c>
      <c r="AB775" s="11" t="s">
        <v>139</v>
      </c>
      <c r="AC775" s="11">
        <v>211059.7</v>
      </c>
      <c r="AD775" s="11">
        <v>1176220.3</v>
      </c>
      <c r="AE775" s="11">
        <v>345471.6</v>
      </c>
      <c r="AF775" s="11">
        <v>30553.7</v>
      </c>
      <c r="AG775" s="11">
        <v>1492163.5</v>
      </c>
      <c r="AH775" s="13">
        <v>11816081.5</v>
      </c>
      <c r="AI775" s="11">
        <v>7865811.9000000004</v>
      </c>
      <c r="AJ775" s="11">
        <v>1724045.8</v>
      </c>
      <c r="AK775" s="11">
        <v>6141766.0999999996</v>
      </c>
      <c r="AL775" s="11">
        <v>1886488.4</v>
      </c>
      <c r="AM775" s="11">
        <v>-11318.9</v>
      </c>
      <c r="AN775" s="11">
        <v>717415.5</v>
      </c>
      <c r="AO775" s="13">
        <v>10458396.9</v>
      </c>
      <c r="AP775" s="11">
        <v>1357684.6</v>
      </c>
      <c r="AQ775" s="11">
        <v>5162.3</v>
      </c>
      <c r="AR775" s="11" t="s">
        <v>139</v>
      </c>
      <c r="AS775">
        <f t="shared" si="14"/>
        <v>15731623.800000001</v>
      </c>
      <c r="AT775">
        <f t="shared" si="15"/>
        <v>0.7511037417510581</v>
      </c>
    </row>
    <row r="776" spans="1:46" x14ac:dyDescent="0.4">
      <c r="A776" s="3" t="s">
        <v>907</v>
      </c>
      <c r="B776">
        <v>8949972.8000000007</v>
      </c>
      <c r="C776">
        <v>2424437.5</v>
      </c>
      <c r="D776">
        <v>1644194</v>
      </c>
      <c r="E776">
        <v>1111939.3999999999</v>
      </c>
      <c r="F776">
        <v>532254.6</v>
      </c>
      <c r="G776">
        <v>780243.5</v>
      </c>
      <c r="H776">
        <v>155680.20000000001</v>
      </c>
      <c r="I776">
        <v>624563.30000000005</v>
      </c>
      <c r="J776">
        <v>6525535.2999999998</v>
      </c>
      <c r="K776">
        <v>1196043.3999999999</v>
      </c>
      <c r="L776">
        <v>3603723.1</v>
      </c>
      <c r="M776">
        <v>2111885.2999999998</v>
      </c>
      <c r="N776">
        <v>577639.1</v>
      </c>
      <c r="O776">
        <v>1534246.1</v>
      </c>
      <c r="P776">
        <v>1491837.8</v>
      </c>
      <c r="Q776" t="s">
        <v>139</v>
      </c>
      <c r="R776" t="s">
        <v>139</v>
      </c>
      <c r="S776" t="s">
        <v>139</v>
      </c>
      <c r="T776" t="s">
        <v>139</v>
      </c>
      <c r="U776" s="11">
        <v>1075494.1000000001</v>
      </c>
      <c r="V776" s="12">
        <v>603696.19999999995</v>
      </c>
      <c r="W776" s="11">
        <v>471797.8</v>
      </c>
      <c r="X776" s="11" t="s">
        <v>139</v>
      </c>
      <c r="Y776" s="11" t="s">
        <v>139</v>
      </c>
      <c r="Z776" s="11">
        <v>650274.80000000005</v>
      </c>
      <c r="AA776" s="11" t="s">
        <v>139</v>
      </c>
      <c r="AB776" s="11" t="s">
        <v>139</v>
      </c>
      <c r="AC776" s="11">
        <v>207288.2</v>
      </c>
      <c r="AD776" s="11">
        <v>1231077.1000000001</v>
      </c>
      <c r="AE776" s="11">
        <v>347028.6</v>
      </c>
      <c r="AF776" s="11">
        <v>29564.5</v>
      </c>
      <c r="AG776" s="11">
        <v>1486789.6</v>
      </c>
      <c r="AH776" s="13">
        <v>11837144.4</v>
      </c>
      <c r="AI776" s="11">
        <v>7894418.9000000004</v>
      </c>
      <c r="AJ776" s="11">
        <v>1715025.8</v>
      </c>
      <c r="AK776" s="11">
        <v>6179393.0999999996</v>
      </c>
      <c r="AL776" s="11">
        <v>1785119.2</v>
      </c>
      <c r="AM776" s="11">
        <v>41844.9</v>
      </c>
      <c r="AN776" s="11">
        <v>715543.9</v>
      </c>
      <c r="AO776" s="13">
        <v>10436926.800000001</v>
      </c>
      <c r="AP776" s="11">
        <v>1400217.6000000001</v>
      </c>
      <c r="AQ776" s="11">
        <v>-331.5</v>
      </c>
      <c r="AR776" s="11" t="s">
        <v>139</v>
      </c>
      <c r="AS776">
        <f t="shared" si="14"/>
        <v>15788837.800000001</v>
      </c>
      <c r="AT776">
        <f t="shared" si="15"/>
        <v>0.74971600506276659</v>
      </c>
    </row>
    <row r="777" spans="1:46" x14ac:dyDescent="0.4">
      <c r="A777" s="3" t="s">
        <v>908</v>
      </c>
      <c r="B777">
        <v>8914256.5999999996</v>
      </c>
      <c r="C777">
        <v>2417869.2000000002</v>
      </c>
      <c r="D777">
        <v>1635242.8</v>
      </c>
      <c r="E777">
        <v>1108093.7</v>
      </c>
      <c r="F777">
        <v>527149.1</v>
      </c>
      <c r="G777">
        <v>782626.4</v>
      </c>
      <c r="H777">
        <v>155742.9</v>
      </c>
      <c r="I777">
        <v>626883.5</v>
      </c>
      <c r="J777">
        <v>6496387.4000000004</v>
      </c>
      <c r="K777">
        <v>1199767.8</v>
      </c>
      <c r="L777">
        <v>3570054.7</v>
      </c>
      <c r="M777">
        <v>2086737.3</v>
      </c>
      <c r="N777">
        <v>574513.30000000005</v>
      </c>
      <c r="O777">
        <v>1512224</v>
      </c>
      <c r="P777">
        <v>1483317.4</v>
      </c>
      <c r="Q777" t="s">
        <v>139</v>
      </c>
      <c r="R777" t="s">
        <v>139</v>
      </c>
      <c r="S777" t="s">
        <v>139</v>
      </c>
      <c r="T777" t="s">
        <v>139</v>
      </c>
      <c r="U777" s="11">
        <v>1071765.2</v>
      </c>
      <c r="V777" s="12">
        <v>600811.1</v>
      </c>
      <c r="W777" s="11">
        <v>470954.2</v>
      </c>
      <c r="X777" s="11" t="s">
        <v>139</v>
      </c>
      <c r="Y777" s="11" t="s">
        <v>139</v>
      </c>
      <c r="Z777" s="11">
        <v>654799.6</v>
      </c>
      <c r="AA777" s="11" t="s">
        <v>139</v>
      </c>
      <c r="AB777" s="11" t="s">
        <v>139</v>
      </c>
      <c r="AC777" s="11">
        <v>205422.7</v>
      </c>
      <c r="AD777" s="11">
        <v>1341875.2</v>
      </c>
      <c r="AE777" s="11">
        <v>341527.9</v>
      </c>
      <c r="AF777" s="11">
        <v>28025.5</v>
      </c>
      <c r="AG777" s="11">
        <v>1471687.9</v>
      </c>
      <c r="AH777" s="13">
        <v>11891950.4</v>
      </c>
      <c r="AI777" s="11">
        <v>7936798.4000000004</v>
      </c>
      <c r="AJ777" s="11">
        <v>1714183.3</v>
      </c>
      <c r="AK777" s="11">
        <v>6222615.0999999996</v>
      </c>
      <c r="AL777" s="11">
        <v>1780238.3</v>
      </c>
      <c r="AM777" s="11">
        <v>109504.7</v>
      </c>
      <c r="AN777" s="11">
        <v>673012.7</v>
      </c>
      <c r="AO777" s="13">
        <v>10499554</v>
      </c>
      <c r="AP777" s="11">
        <v>1392396.4</v>
      </c>
      <c r="AQ777" s="11">
        <v>-1543.3</v>
      </c>
      <c r="AR777" s="11" t="s">
        <v>139</v>
      </c>
      <c r="AS777">
        <f t="shared" ref="AS777:AS840" si="16">SUM(AI777:AK777)</f>
        <v>15873596.800000001</v>
      </c>
      <c r="AT777">
        <f t="shared" si="15"/>
        <v>0.74916545694294057</v>
      </c>
    </row>
    <row r="778" spans="1:46" x14ac:dyDescent="0.4">
      <c r="A778" s="3" t="s">
        <v>909</v>
      </c>
      <c r="B778">
        <v>8911672.5</v>
      </c>
      <c r="C778">
        <v>2430329.2999999998</v>
      </c>
      <c r="D778">
        <v>1644668.7</v>
      </c>
      <c r="E778">
        <v>1118507</v>
      </c>
      <c r="F778">
        <v>526161.69999999995</v>
      </c>
      <c r="G778">
        <v>785660.5</v>
      </c>
      <c r="H778">
        <v>157984.70000000001</v>
      </c>
      <c r="I778">
        <v>627675.80000000005</v>
      </c>
      <c r="J778">
        <v>6481343.2000000002</v>
      </c>
      <c r="K778">
        <v>1206904.8</v>
      </c>
      <c r="L778">
        <v>3539903.9</v>
      </c>
      <c r="M778">
        <v>2066433.7</v>
      </c>
      <c r="N778">
        <v>571732.5</v>
      </c>
      <c r="O778">
        <v>1494701.3</v>
      </c>
      <c r="P778">
        <v>1473470.2</v>
      </c>
      <c r="Q778" t="s">
        <v>139</v>
      </c>
      <c r="R778" t="s">
        <v>139</v>
      </c>
      <c r="S778" t="s">
        <v>139</v>
      </c>
      <c r="T778" t="s">
        <v>139</v>
      </c>
      <c r="U778" s="11">
        <v>1071298.3</v>
      </c>
      <c r="V778" s="12">
        <v>600012.9</v>
      </c>
      <c r="W778" s="11">
        <v>471285.5</v>
      </c>
      <c r="X778" s="11" t="s">
        <v>139</v>
      </c>
      <c r="Y778" s="11" t="s">
        <v>139</v>
      </c>
      <c r="Z778" s="11">
        <v>663236.19999999995</v>
      </c>
      <c r="AA778" s="11" t="s">
        <v>139</v>
      </c>
      <c r="AB778" s="11" t="s">
        <v>139</v>
      </c>
      <c r="AC778" s="11">
        <v>203305.4</v>
      </c>
      <c r="AD778" s="11">
        <v>1474155</v>
      </c>
      <c r="AE778" s="11">
        <v>336225</v>
      </c>
      <c r="AF778" s="11">
        <v>27938.5</v>
      </c>
      <c r="AG778" s="11">
        <v>1496902.7</v>
      </c>
      <c r="AH778" s="13">
        <v>12043588.300000001</v>
      </c>
      <c r="AI778" s="11">
        <v>7990990.0999999996</v>
      </c>
      <c r="AJ778" s="11">
        <v>1729160.1</v>
      </c>
      <c r="AK778" s="11">
        <v>6261830</v>
      </c>
      <c r="AL778" s="11">
        <v>1780779.7</v>
      </c>
      <c r="AM778" s="11">
        <v>210184.4</v>
      </c>
      <c r="AN778" s="11">
        <v>698956.1</v>
      </c>
      <c r="AO778" s="13">
        <v>10680910.300000001</v>
      </c>
      <c r="AP778" s="11">
        <v>1362678</v>
      </c>
      <c r="AQ778" s="11">
        <v>733</v>
      </c>
      <c r="AR778" s="11" t="s">
        <v>139</v>
      </c>
      <c r="AS778">
        <f t="shared" si="16"/>
        <v>15981980.199999999</v>
      </c>
      <c r="AT778">
        <f t="shared" si="15"/>
        <v>0.75357297088880149</v>
      </c>
    </row>
    <row r="779" spans="1:46" x14ac:dyDescent="0.4">
      <c r="A779" s="3" t="s">
        <v>910</v>
      </c>
      <c r="B779">
        <v>8929971.4000000004</v>
      </c>
      <c r="C779">
        <v>2443491</v>
      </c>
      <c r="D779">
        <v>1668648.6</v>
      </c>
      <c r="E779">
        <v>1145006.7</v>
      </c>
      <c r="F779">
        <v>523641.8</v>
      </c>
      <c r="G779">
        <v>774842.5</v>
      </c>
      <c r="H779">
        <v>150969.60000000001</v>
      </c>
      <c r="I779">
        <v>623872.9</v>
      </c>
      <c r="J779">
        <v>6486480.4000000004</v>
      </c>
      <c r="K779">
        <v>1214823.7</v>
      </c>
      <c r="L779">
        <v>3521191.8</v>
      </c>
      <c r="M779">
        <v>2055356.9</v>
      </c>
      <c r="N779">
        <v>568899.30000000005</v>
      </c>
      <c r="O779">
        <v>1486457.6</v>
      </c>
      <c r="P779">
        <v>1465834.9</v>
      </c>
      <c r="Q779" t="s">
        <v>139</v>
      </c>
      <c r="R779" t="s">
        <v>139</v>
      </c>
      <c r="S779" t="s">
        <v>139</v>
      </c>
      <c r="T779" t="s">
        <v>139</v>
      </c>
      <c r="U779" s="11">
        <v>1076680.2</v>
      </c>
      <c r="V779" s="12">
        <v>597900.4</v>
      </c>
      <c r="W779" s="11">
        <v>478779.8</v>
      </c>
      <c r="X779" s="11" t="s">
        <v>139</v>
      </c>
      <c r="Y779" s="11" t="s">
        <v>139</v>
      </c>
      <c r="Z779" s="11">
        <v>673784.7</v>
      </c>
      <c r="AA779" s="11" t="s">
        <v>139</v>
      </c>
      <c r="AB779" s="11" t="s">
        <v>139</v>
      </c>
      <c r="AC779" s="11">
        <v>196868.9</v>
      </c>
      <c r="AD779" s="11">
        <v>1597263.3</v>
      </c>
      <c r="AE779" s="11">
        <v>336593.9</v>
      </c>
      <c r="AF779" s="11">
        <v>26722.3</v>
      </c>
      <c r="AG779" s="11">
        <v>1507063.7</v>
      </c>
      <c r="AH779" s="13">
        <v>12200745.699999999</v>
      </c>
      <c r="AI779" s="11">
        <v>8078307.2999999998</v>
      </c>
      <c r="AJ779" s="11">
        <v>1752017</v>
      </c>
      <c r="AK779" s="11">
        <v>6326290.4000000004</v>
      </c>
      <c r="AL779" s="11">
        <v>1731058.2</v>
      </c>
      <c r="AM779" s="11">
        <v>316831.09999999998</v>
      </c>
      <c r="AN779" s="11">
        <v>699570.6</v>
      </c>
      <c r="AO779" s="13">
        <v>10825767.300000001</v>
      </c>
      <c r="AP779" s="11">
        <v>1374978.4</v>
      </c>
      <c r="AQ779" s="11">
        <v>3433.9</v>
      </c>
      <c r="AR779" s="11" t="s">
        <v>139</v>
      </c>
      <c r="AS779">
        <f t="shared" si="16"/>
        <v>16156614.700000001</v>
      </c>
      <c r="AT779">
        <f t="shared" si="15"/>
        <v>0.75515483450874143</v>
      </c>
    </row>
    <row r="780" spans="1:46" x14ac:dyDescent="0.4">
      <c r="A780" s="3" t="s">
        <v>911</v>
      </c>
      <c r="B780">
        <v>8927134.3000000007</v>
      </c>
      <c r="C780">
        <v>2437389.6</v>
      </c>
      <c r="D780">
        <v>1667594.5</v>
      </c>
      <c r="E780">
        <v>1152561</v>
      </c>
      <c r="F780">
        <v>515033.5</v>
      </c>
      <c r="G780">
        <v>769795.1</v>
      </c>
      <c r="H780">
        <v>149122.9</v>
      </c>
      <c r="I780">
        <v>620672.19999999995</v>
      </c>
      <c r="J780">
        <v>6489744.7999999998</v>
      </c>
      <c r="K780">
        <v>1228887.1000000001</v>
      </c>
      <c r="L780">
        <v>3508100.7</v>
      </c>
      <c r="M780">
        <v>2048035.2</v>
      </c>
      <c r="N780">
        <v>566354.9</v>
      </c>
      <c r="O780">
        <v>1481680.3</v>
      </c>
      <c r="P780">
        <v>1460065.5</v>
      </c>
      <c r="Q780" t="s">
        <v>139</v>
      </c>
      <c r="R780" t="s">
        <v>139</v>
      </c>
      <c r="S780" t="s">
        <v>139</v>
      </c>
      <c r="T780" t="s">
        <v>139</v>
      </c>
      <c r="U780" s="11">
        <v>1076204.3999999999</v>
      </c>
      <c r="V780" s="12">
        <v>597075.69999999995</v>
      </c>
      <c r="W780" s="11">
        <v>479128.7</v>
      </c>
      <c r="X780" s="11" t="s">
        <v>139</v>
      </c>
      <c r="Y780" s="11" t="s">
        <v>139</v>
      </c>
      <c r="Z780" s="11">
        <v>676552.5</v>
      </c>
      <c r="AA780" s="11" t="s">
        <v>139</v>
      </c>
      <c r="AB780" s="11" t="s">
        <v>139</v>
      </c>
      <c r="AC780" s="11">
        <v>193981.3</v>
      </c>
      <c r="AD780" s="11">
        <v>1635166.6</v>
      </c>
      <c r="AE780" s="11">
        <v>337296.8</v>
      </c>
      <c r="AF780" s="11">
        <v>26697.599999999999</v>
      </c>
      <c r="AG780" s="11">
        <v>1499060.3</v>
      </c>
      <c r="AH780" s="13">
        <v>12231374.300000001</v>
      </c>
      <c r="AI780" s="11">
        <v>8167218.7000000002</v>
      </c>
      <c r="AJ780" s="11">
        <v>1784984.8</v>
      </c>
      <c r="AK780" s="11">
        <v>6382233.9000000004</v>
      </c>
      <c r="AL780" s="11">
        <v>1675300.6</v>
      </c>
      <c r="AM780" s="11">
        <v>303568.59999999998</v>
      </c>
      <c r="AN780" s="11">
        <v>701912.9</v>
      </c>
      <c r="AO780" s="13">
        <v>10848000.800000001</v>
      </c>
      <c r="AP780" s="11">
        <v>1383373.5</v>
      </c>
      <c r="AQ780" s="11">
        <v>14333.5</v>
      </c>
      <c r="AR780" s="11" t="s">
        <v>139</v>
      </c>
      <c r="AS780">
        <f t="shared" si="16"/>
        <v>16334437.4</v>
      </c>
      <c r="AT780">
        <f t="shared" si="15"/>
        <v>0.74880903458603354</v>
      </c>
    </row>
    <row r="781" spans="1:46" x14ac:dyDescent="0.4">
      <c r="A781" s="3" t="s">
        <v>912</v>
      </c>
      <c r="B781">
        <v>8927506.4000000004</v>
      </c>
      <c r="C781">
        <v>2430899.7999999998</v>
      </c>
      <c r="D781">
        <v>1660010.9</v>
      </c>
      <c r="E781">
        <v>1159858.3</v>
      </c>
      <c r="F781">
        <v>500152.7</v>
      </c>
      <c r="G781">
        <v>770888.8</v>
      </c>
      <c r="H781">
        <v>145942.70000000001</v>
      </c>
      <c r="I781">
        <v>624946.1</v>
      </c>
      <c r="J781">
        <v>6496606.5999999996</v>
      </c>
      <c r="K781">
        <v>1233615</v>
      </c>
      <c r="L781">
        <v>3501120</v>
      </c>
      <c r="M781">
        <v>2047702.1</v>
      </c>
      <c r="N781">
        <v>563654.40000000002</v>
      </c>
      <c r="O781">
        <v>1484047.7</v>
      </c>
      <c r="P781">
        <v>1453417.9</v>
      </c>
      <c r="Q781" t="s">
        <v>139</v>
      </c>
      <c r="R781" t="s">
        <v>139</v>
      </c>
      <c r="S781" t="s">
        <v>139</v>
      </c>
      <c r="T781" t="s">
        <v>139</v>
      </c>
      <c r="U781" s="11">
        <v>1079871.8999999999</v>
      </c>
      <c r="V781" s="12">
        <v>600120.9</v>
      </c>
      <c r="W781" s="11">
        <v>479750.9</v>
      </c>
      <c r="X781" s="11" t="s">
        <v>139</v>
      </c>
      <c r="Y781" s="11" t="s">
        <v>139</v>
      </c>
      <c r="Z781" s="11">
        <v>681999.7</v>
      </c>
      <c r="AA781" s="11" t="s">
        <v>139</v>
      </c>
      <c r="AB781" s="11" t="s">
        <v>139</v>
      </c>
      <c r="AC781" s="11">
        <v>190259.20000000001</v>
      </c>
      <c r="AD781" s="11">
        <v>1714490.9</v>
      </c>
      <c r="AE781" s="11">
        <v>335932.4</v>
      </c>
      <c r="AF781" s="11">
        <v>35956.6</v>
      </c>
      <c r="AG781" s="11">
        <v>1485970.1</v>
      </c>
      <c r="AH781" s="13">
        <v>12309597.199999999</v>
      </c>
      <c r="AI781" s="11">
        <v>8194454.7999999998</v>
      </c>
      <c r="AJ781" s="11">
        <v>1731164.9</v>
      </c>
      <c r="AK781" s="11">
        <v>6463290</v>
      </c>
      <c r="AL781" s="11">
        <v>1674703.5</v>
      </c>
      <c r="AM781" s="11">
        <v>325965.90000000002</v>
      </c>
      <c r="AN781" s="11">
        <v>712024.9</v>
      </c>
      <c r="AO781" s="13">
        <v>10907149.1</v>
      </c>
      <c r="AP781" s="11">
        <v>1402448.1</v>
      </c>
      <c r="AQ781" s="11">
        <v>18822.599999999999</v>
      </c>
      <c r="AR781" s="11" t="s">
        <v>139</v>
      </c>
      <c r="AS781">
        <f t="shared" si="16"/>
        <v>16388909.699999999</v>
      </c>
      <c r="AT781">
        <f t="shared" si="15"/>
        <v>0.75109311267972878</v>
      </c>
    </row>
    <row r="782" spans="1:46" x14ac:dyDescent="0.4">
      <c r="A782" s="3" t="s">
        <v>913</v>
      </c>
      <c r="B782">
        <v>8948922.0999999996</v>
      </c>
      <c r="C782">
        <v>2433263.9</v>
      </c>
      <c r="D782">
        <v>1657573.7</v>
      </c>
      <c r="E782">
        <v>1171111.2</v>
      </c>
      <c r="F782">
        <v>486462.5</v>
      </c>
      <c r="G782">
        <v>775690.2</v>
      </c>
      <c r="H782">
        <v>139993.29999999999</v>
      </c>
      <c r="I782">
        <v>635696.9</v>
      </c>
      <c r="J782">
        <v>6515658.2000000002</v>
      </c>
      <c r="K782">
        <v>1244271.3999999999</v>
      </c>
      <c r="L782">
        <v>3497731</v>
      </c>
      <c r="M782">
        <v>2052617.3</v>
      </c>
      <c r="N782">
        <v>560578.19999999995</v>
      </c>
      <c r="O782">
        <v>1492039.2</v>
      </c>
      <c r="P782">
        <v>1445113.7</v>
      </c>
      <c r="Q782" t="s">
        <v>139</v>
      </c>
      <c r="R782" t="s">
        <v>139</v>
      </c>
      <c r="S782" t="s">
        <v>139</v>
      </c>
      <c r="T782" t="s">
        <v>139</v>
      </c>
      <c r="U782" s="11">
        <v>1081731.8999999999</v>
      </c>
      <c r="V782" s="12">
        <v>600883.4</v>
      </c>
      <c r="W782" s="11">
        <v>480848.5</v>
      </c>
      <c r="X782" s="11" t="s">
        <v>139</v>
      </c>
      <c r="Y782" s="11" t="s">
        <v>139</v>
      </c>
      <c r="Z782" s="11">
        <v>691923.9</v>
      </c>
      <c r="AA782" s="11" t="s">
        <v>139</v>
      </c>
      <c r="AB782" s="11" t="s">
        <v>139</v>
      </c>
      <c r="AC782" s="11">
        <v>186366.3</v>
      </c>
      <c r="AD782" s="11">
        <v>1732115</v>
      </c>
      <c r="AE782" s="11">
        <v>352573</v>
      </c>
      <c r="AF782" s="11">
        <v>10960.6</v>
      </c>
      <c r="AG782" s="11">
        <v>1466550.2</v>
      </c>
      <c r="AH782" s="13">
        <v>12324754.6</v>
      </c>
      <c r="AI782" s="11">
        <v>8282380.2999999998</v>
      </c>
      <c r="AJ782" s="11">
        <v>1654126.7</v>
      </c>
      <c r="AK782" s="11">
        <v>6628253.5999999996</v>
      </c>
      <c r="AL782" s="11">
        <v>1654821.8</v>
      </c>
      <c r="AM782" s="11">
        <v>290949.90000000002</v>
      </c>
      <c r="AN782" s="11">
        <v>727808</v>
      </c>
      <c r="AO782" s="13">
        <v>10955960</v>
      </c>
      <c r="AP782" s="11">
        <v>1368794.6</v>
      </c>
      <c r="AQ782" s="11">
        <v>18073.2</v>
      </c>
      <c r="AR782" s="11" t="s">
        <v>139</v>
      </c>
      <c r="AS782">
        <f t="shared" si="16"/>
        <v>16564760.6</v>
      </c>
      <c r="AT782">
        <f t="shared" si="15"/>
        <v>0.74403457421533759</v>
      </c>
    </row>
    <row r="783" spans="1:46" x14ac:dyDescent="0.4">
      <c r="A783" s="3" t="s">
        <v>914</v>
      </c>
      <c r="B783">
        <v>8990092.5999999996</v>
      </c>
      <c r="C783">
        <v>2453675.2999999998</v>
      </c>
      <c r="D783">
        <v>1670293.2</v>
      </c>
      <c r="E783">
        <v>1187818</v>
      </c>
      <c r="F783">
        <v>482475.2</v>
      </c>
      <c r="G783">
        <v>783382.1</v>
      </c>
      <c r="H783">
        <v>139765.29999999999</v>
      </c>
      <c r="I783">
        <v>643616.9</v>
      </c>
      <c r="J783">
        <v>6536417.2999999998</v>
      </c>
      <c r="K783">
        <v>1263327.7</v>
      </c>
      <c r="L783">
        <v>3492779.3</v>
      </c>
      <c r="M783">
        <v>2055739.2</v>
      </c>
      <c r="N783">
        <v>557859.69999999995</v>
      </c>
      <c r="O783">
        <v>1497879.4</v>
      </c>
      <c r="P783">
        <v>1437040.1</v>
      </c>
      <c r="Q783" t="s">
        <v>139</v>
      </c>
      <c r="R783" t="s">
        <v>139</v>
      </c>
      <c r="S783" t="s">
        <v>139</v>
      </c>
      <c r="T783" t="s">
        <v>139</v>
      </c>
      <c r="U783" s="11">
        <v>1080758.3</v>
      </c>
      <c r="V783" s="12">
        <v>600046.6</v>
      </c>
      <c r="W783" s="11">
        <v>480711.7</v>
      </c>
      <c r="X783" s="11" t="s">
        <v>139</v>
      </c>
      <c r="Y783" s="11" t="s">
        <v>139</v>
      </c>
      <c r="Z783" s="11">
        <v>699551.9</v>
      </c>
      <c r="AA783" s="11" t="s">
        <v>139</v>
      </c>
      <c r="AB783" s="11" t="s">
        <v>139</v>
      </c>
      <c r="AC783" s="11">
        <v>182979.3</v>
      </c>
      <c r="AD783" s="11">
        <v>1712881.9</v>
      </c>
      <c r="AE783" s="11">
        <v>372618.3</v>
      </c>
      <c r="AF783" s="11">
        <v>10662.6</v>
      </c>
      <c r="AG783" s="11">
        <v>1513988.1</v>
      </c>
      <c r="AH783" s="13">
        <v>12417264.199999999</v>
      </c>
      <c r="AI783" s="11">
        <v>8354020.9000000004</v>
      </c>
      <c r="AJ783" s="11">
        <v>1555498.5</v>
      </c>
      <c r="AK783" s="11">
        <v>6798522.4000000004</v>
      </c>
      <c r="AL783" s="11">
        <v>1647636.2</v>
      </c>
      <c r="AM783" s="11">
        <v>271416.7</v>
      </c>
      <c r="AN783" s="11">
        <v>761693.7</v>
      </c>
      <c r="AO783" s="13">
        <v>11034767.6</v>
      </c>
      <c r="AP783" s="11">
        <v>1382496.6</v>
      </c>
      <c r="AQ783" s="11">
        <v>26358.6</v>
      </c>
      <c r="AR783" s="11" t="s">
        <v>139</v>
      </c>
      <c r="AS783">
        <f t="shared" si="16"/>
        <v>16708041.800000001</v>
      </c>
      <c r="AT783">
        <f t="shared" si="15"/>
        <v>0.74319087470801026</v>
      </c>
    </row>
    <row r="784" spans="1:46" x14ac:dyDescent="0.4">
      <c r="A784" s="3" t="s">
        <v>915</v>
      </c>
      <c r="B784">
        <v>9009600.9000000004</v>
      </c>
      <c r="C784">
        <v>2466582.6</v>
      </c>
      <c r="D784">
        <v>1679551.4</v>
      </c>
      <c r="E784">
        <v>1207724.3999999999</v>
      </c>
      <c r="F784">
        <v>471827</v>
      </c>
      <c r="G784">
        <v>787031.2</v>
      </c>
      <c r="H784">
        <v>138394.1</v>
      </c>
      <c r="I784">
        <v>648637.1</v>
      </c>
      <c r="J784">
        <v>6543018.2999999998</v>
      </c>
      <c r="K784">
        <v>1269699.3999999999</v>
      </c>
      <c r="L784">
        <v>3488981.5</v>
      </c>
      <c r="M784">
        <v>2056443.7</v>
      </c>
      <c r="N784">
        <v>555987.5</v>
      </c>
      <c r="O784">
        <v>1500456.2</v>
      </c>
      <c r="P784">
        <v>1432537.7</v>
      </c>
      <c r="Q784" t="s">
        <v>139</v>
      </c>
      <c r="R784" t="s">
        <v>139</v>
      </c>
      <c r="S784" t="s">
        <v>139</v>
      </c>
      <c r="T784" t="s">
        <v>139</v>
      </c>
      <c r="U784" s="11">
        <v>1079306.8</v>
      </c>
      <c r="V784" s="12">
        <v>600107.80000000005</v>
      </c>
      <c r="W784" s="11">
        <v>479199</v>
      </c>
      <c r="X784" s="11" t="s">
        <v>139</v>
      </c>
      <c r="Y784" s="11" t="s">
        <v>139</v>
      </c>
      <c r="Z784" s="11">
        <v>705030.6</v>
      </c>
      <c r="AA784" s="11" t="s">
        <v>139</v>
      </c>
      <c r="AB784" s="11" t="s">
        <v>139</v>
      </c>
      <c r="AC784" s="11">
        <v>179807.8</v>
      </c>
      <c r="AD784" s="11">
        <v>1735503.4</v>
      </c>
      <c r="AE784" s="11">
        <v>362301.9</v>
      </c>
      <c r="AF784" s="11">
        <v>10189.299999999999</v>
      </c>
      <c r="AG784" s="11">
        <v>1512792.4</v>
      </c>
      <c r="AH784" s="13">
        <v>12450580.199999999</v>
      </c>
      <c r="AI784" s="11">
        <v>8380224.2000000002</v>
      </c>
      <c r="AJ784" s="11">
        <v>1552472.9</v>
      </c>
      <c r="AK784" s="11">
        <v>6827751.2999999998</v>
      </c>
      <c r="AL784" s="11">
        <v>1620002.9</v>
      </c>
      <c r="AM784" s="11">
        <v>300435.90000000002</v>
      </c>
      <c r="AN784" s="11">
        <v>753850.4</v>
      </c>
      <c r="AO784" s="13">
        <v>11054513.300000001</v>
      </c>
      <c r="AP784" s="11">
        <v>1396066.8</v>
      </c>
      <c r="AQ784" s="11">
        <v>30695.1</v>
      </c>
      <c r="AR784" s="11" t="s">
        <v>139</v>
      </c>
      <c r="AS784">
        <f t="shared" si="16"/>
        <v>16760448.399999999</v>
      </c>
      <c r="AT784">
        <f t="shared" si="15"/>
        <v>0.7428548391342561</v>
      </c>
    </row>
    <row r="785" spans="1:46" x14ac:dyDescent="0.4">
      <c r="A785" s="3" t="s">
        <v>916</v>
      </c>
      <c r="B785">
        <v>9046826.4000000004</v>
      </c>
      <c r="C785">
        <v>2470809.4</v>
      </c>
      <c r="D785">
        <v>1686939.9</v>
      </c>
      <c r="E785">
        <v>1223240</v>
      </c>
      <c r="F785">
        <v>463700</v>
      </c>
      <c r="G785">
        <v>783869.4</v>
      </c>
      <c r="H785">
        <v>139221.70000000001</v>
      </c>
      <c r="I785">
        <v>644647.69999999995</v>
      </c>
      <c r="J785">
        <v>6576017.0999999996</v>
      </c>
      <c r="K785">
        <v>1280113</v>
      </c>
      <c r="L785">
        <v>3497971.8</v>
      </c>
      <c r="M785">
        <v>2071866.8</v>
      </c>
      <c r="N785">
        <v>553482.80000000005</v>
      </c>
      <c r="O785">
        <v>1518384.1</v>
      </c>
      <c r="P785">
        <v>1426105</v>
      </c>
      <c r="Q785" t="s">
        <v>139</v>
      </c>
      <c r="R785" t="s">
        <v>139</v>
      </c>
      <c r="S785" t="s">
        <v>139</v>
      </c>
      <c r="T785" t="s">
        <v>139</v>
      </c>
      <c r="U785" s="11">
        <v>1082739.6000000001</v>
      </c>
      <c r="V785" s="12">
        <v>601678.19999999995</v>
      </c>
      <c r="W785" s="11">
        <v>481061.4</v>
      </c>
      <c r="X785" s="11" t="s">
        <v>139</v>
      </c>
      <c r="Y785" s="11" t="s">
        <v>139</v>
      </c>
      <c r="Z785" s="11">
        <v>715192.7</v>
      </c>
      <c r="AA785" s="11" t="s">
        <v>139</v>
      </c>
      <c r="AB785" s="11" t="s">
        <v>139</v>
      </c>
      <c r="AC785" s="11">
        <v>178082.7</v>
      </c>
      <c r="AD785" s="11">
        <v>1727814.8</v>
      </c>
      <c r="AE785" s="11">
        <v>372118.4</v>
      </c>
      <c r="AF785" s="11">
        <v>10452.700000000001</v>
      </c>
      <c r="AG785" s="11">
        <v>1502431</v>
      </c>
      <c r="AH785" s="13">
        <v>12481560.5</v>
      </c>
      <c r="AI785" s="11">
        <v>8379377.0999999996</v>
      </c>
      <c r="AJ785" s="11">
        <v>1528589.6</v>
      </c>
      <c r="AK785" s="11">
        <v>6850787.5</v>
      </c>
      <c r="AL785" s="11">
        <v>1597345.9</v>
      </c>
      <c r="AM785" s="11">
        <v>335775.3</v>
      </c>
      <c r="AN785" s="11">
        <v>757231.6</v>
      </c>
      <c r="AO785" s="13">
        <v>11069729.9</v>
      </c>
      <c r="AP785" s="11">
        <v>1411830.6</v>
      </c>
      <c r="AQ785" s="11">
        <v>22149.4</v>
      </c>
      <c r="AR785" s="11" t="s">
        <v>139</v>
      </c>
      <c r="AS785">
        <f t="shared" si="16"/>
        <v>16758754.199999999</v>
      </c>
      <c r="AT785">
        <f t="shared" si="15"/>
        <v>0.74477854087745976</v>
      </c>
    </row>
    <row r="786" spans="1:46" x14ac:dyDescent="0.4">
      <c r="A786" s="3" t="s">
        <v>917</v>
      </c>
      <c r="B786">
        <v>9091558.6999999993</v>
      </c>
      <c r="C786">
        <v>2484950.2000000002</v>
      </c>
      <c r="D786">
        <v>1695441.9</v>
      </c>
      <c r="E786">
        <v>1236567.6000000001</v>
      </c>
      <c r="F786">
        <v>458874.3</v>
      </c>
      <c r="G786">
        <v>789508.3</v>
      </c>
      <c r="H786">
        <v>138075.6</v>
      </c>
      <c r="I786">
        <v>651432.69999999995</v>
      </c>
      <c r="J786">
        <v>6606608.5</v>
      </c>
      <c r="K786">
        <v>1292910</v>
      </c>
      <c r="L786">
        <v>3505207.3</v>
      </c>
      <c r="M786">
        <v>2081526.5</v>
      </c>
      <c r="N786">
        <v>551496.9</v>
      </c>
      <c r="O786">
        <v>1530029.7</v>
      </c>
      <c r="P786">
        <v>1423680.8</v>
      </c>
      <c r="Q786" t="s">
        <v>139</v>
      </c>
      <c r="R786" t="s">
        <v>139</v>
      </c>
      <c r="S786" t="s">
        <v>139</v>
      </c>
      <c r="T786" t="s">
        <v>139</v>
      </c>
      <c r="U786" s="11">
        <v>1084488.5</v>
      </c>
      <c r="V786" s="12">
        <v>601845.80000000005</v>
      </c>
      <c r="W786" s="11">
        <v>482642.7</v>
      </c>
      <c r="X786" s="11" t="s">
        <v>139</v>
      </c>
      <c r="Y786" s="11" t="s">
        <v>139</v>
      </c>
      <c r="Z786" s="11">
        <v>724002.7</v>
      </c>
      <c r="AA786" s="11" t="s">
        <v>139</v>
      </c>
      <c r="AB786" s="11" t="s">
        <v>139</v>
      </c>
      <c r="AC786" s="11">
        <v>175610.6</v>
      </c>
      <c r="AD786" s="11">
        <v>1637430.3</v>
      </c>
      <c r="AE786" s="11">
        <v>400422.40000000002</v>
      </c>
      <c r="AF786" s="11">
        <v>10452.700000000001</v>
      </c>
      <c r="AG786" s="11">
        <v>1503514.8</v>
      </c>
      <c r="AH786" s="13">
        <v>12467768.4</v>
      </c>
      <c r="AI786" s="11">
        <v>8397119.6999999993</v>
      </c>
      <c r="AJ786" s="11">
        <v>1509510.7</v>
      </c>
      <c r="AK786" s="11">
        <v>6887609</v>
      </c>
      <c r="AL786" s="11">
        <v>1607330.5</v>
      </c>
      <c r="AM786" s="11">
        <v>283973.7</v>
      </c>
      <c r="AN786" s="11">
        <v>761008.3</v>
      </c>
      <c r="AO786" s="13">
        <v>11049432.199999999</v>
      </c>
      <c r="AP786" s="11">
        <v>1418336.2</v>
      </c>
      <c r="AQ786" s="11">
        <v>22368.1</v>
      </c>
      <c r="AR786" s="11" t="s">
        <v>139</v>
      </c>
      <c r="AS786">
        <f t="shared" si="16"/>
        <v>16794239.399999999</v>
      </c>
      <c r="AT786">
        <f t="shared" si="15"/>
        <v>0.74238362947237735</v>
      </c>
    </row>
    <row r="787" spans="1:46" x14ac:dyDescent="0.4">
      <c r="A787" s="3" t="s">
        <v>918</v>
      </c>
      <c r="B787">
        <v>9108311.9000000004</v>
      </c>
      <c r="C787">
        <v>2493352.1</v>
      </c>
      <c r="D787">
        <v>1699011.8</v>
      </c>
      <c r="E787">
        <v>1251541.3</v>
      </c>
      <c r="F787">
        <v>447470.5</v>
      </c>
      <c r="G787">
        <v>794340.3</v>
      </c>
      <c r="H787">
        <v>137490</v>
      </c>
      <c r="I787">
        <v>656850.30000000005</v>
      </c>
      <c r="J787">
        <v>6614959.7999999998</v>
      </c>
      <c r="K787">
        <v>1303840.8</v>
      </c>
      <c r="L787">
        <v>3495287.6</v>
      </c>
      <c r="M787">
        <v>2076921.5</v>
      </c>
      <c r="N787">
        <v>549554.1</v>
      </c>
      <c r="O787">
        <v>1527367.4</v>
      </c>
      <c r="P787">
        <v>1418366.2</v>
      </c>
      <c r="Q787" t="s">
        <v>139</v>
      </c>
      <c r="R787" t="s">
        <v>139</v>
      </c>
      <c r="S787" t="s">
        <v>139</v>
      </c>
      <c r="T787" t="s">
        <v>139</v>
      </c>
      <c r="U787" s="11">
        <v>1086249.5</v>
      </c>
      <c r="V787" s="12">
        <v>601973.4</v>
      </c>
      <c r="W787" s="11">
        <v>484276.1</v>
      </c>
      <c r="X787" s="11" t="s">
        <v>139</v>
      </c>
      <c r="Y787" s="11" t="s">
        <v>139</v>
      </c>
      <c r="Z787" s="11">
        <v>729581.9</v>
      </c>
      <c r="AA787" s="11" t="s">
        <v>139</v>
      </c>
      <c r="AB787" s="11" t="s">
        <v>139</v>
      </c>
      <c r="AC787" s="11">
        <v>174542.2</v>
      </c>
      <c r="AD787" s="11">
        <v>1721760.1</v>
      </c>
      <c r="AE787" s="11">
        <v>387414.7</v>
      </c>
      <c r="AF787" s="11">
        <v>10996.7</v>
      </c>
      <c r="AG787" s="11">
        <v>1491948</v>
      </c>
      <c r="AH787" s="13">
        <v>12545889.199999999</v>
      </c>
      <c r="AI787" s="11">
        <v>8425783.9000000004</v>
      </c>
      <c r="AJ787" s="11">
        <v>1494439.1</v>
      </c>
      <c r="AK787" s="11">
        <v>6931344.9000000004</v>
      </c>
      <c r="AL787" s="11">
        <v>1618607.5</v>
      </c>
      <c r="AM787" s="11">
        <v>317929.2</v>
      </c>
      <c r="AN787" s="11">
        <v>754699.4</v>
      </c>
      <c r="AO787" s="13">
        <v>11117020</v>
      </c>
      <c r="AP787" s="11">
        <v>1428869.2</v>
      </c>
      <c r="AQ787" s="11">
        <v>21546.1</v>
      </c>
      <c r="AR787" s="11" t="s">
        <v>139</v>
      </c>
      <c r="AS787">
        <f t="shared" si="16"/>
        <v>16851567.899999999</v>
      </c>
      <c r="AT787">
        <f t="shared" si="15"/>
        <v>0.74449388178295273</v>
      </c>
    </row>
    <row r="788" spans="1:46" x14ac:dyDescent="0.4">
      <c r="A788" s="3" t="s">
        <v>919</v>
      </c>
      <c r="B788">
        <v>9179372.5</v>
      </c>
      <c r="C788">
        <v>2526434.4</v>
      </c>
      <c r="D788">
        <v>1724241.2</v>
      </c>
      <c r="E788">
        <v>1271908.6000000001</v>
      </c>
      <c r="F788">
        <v>452332.6</v>
      </c>
      <c r="G788">
        <v>802193.2</v>
      </c>
      <c r="H788">
        <v>135660.5</v>
      </c>
      <c r="I788">
        <v>666532.69999999995</v>
      </c>
      <c r="J788">
        <v>6652938.0999999996</v>
      </c>
      <c r="K788">
        <v>1321385.2</v>
      </c>
      <c r="L788">
        <v>3511523.7</v>
      </c>
      <c r="M788">
        <v>2092406.8</v>
      </c>
      <c r="N788">
        <v>549960.6</v>
      </c>
      <c r="O788">
        <v>1542446.2</v>
      </c>
      <c r="P788">
        <v>1419116.9</v>
      </c>
      <c r="Q788" t="s">
        <v>139</v>
      </c>
      <c r="R788" t="s">
        <v>139</v>
      </c>
      <c r="S788" t="s">
        <v>139</v>
      </c>
      <c r="T788" t="s">
        <v>139</v>
      </c>
      <c r="U788" s="11">
        <v>1085787.1000000001</v>
      </c>
      <c r="V788" s="12">
        <v>600667</v>
      </c>
      <c r="W788" s="11">
        <v>485120.2</v>
      </c>
      <c r="X788" s="11" t="s">
        <v>139</v>
      </c>
      <c r="Y788" s="11" t="s">
        <v>139</v>
      </c>
      <c r="Z788" s="11">
        <v>734242.1</v>
      </c>
      <c r="AA788" s="11" t="s">
        <v>139</v>
      </c>
      <c r="AB788" s="11" t="s">
        <v>139</v>
      </c>
      <c r="AC788" s="11">
        <v>173537.1</v>
      </c>
      <c r="AD788" s="11">
        <v>1715438.8</v>
      </c>
      <c r="AE788" s="11">
        <v>383957</v>
      </c>
      <c r="AF788" s="11">
        <v>11545.2</v>
      </c>
      <c r="AG788" s="11">
        <v>1479492.9</v>
      </c>
      <c r="AH788" s="13">
        <v>12596269.199999999</v>
      </c>
      <c r="AI788" s="11">
        <v>8490086.3000000007</v>
      </c>
      <c r="AJ788" s="11">
        <v>1480668</v>
      </c>
      <c r="AK788" s="11">
        <v>7009418.2999999998</v>
      </c>
      <c r="AL788" s="11">
        <v>1578924.7</v>
      </c>
      <c r="AM788" s="11">
        <v>301815</v>
      </c>
      <c r="AN788" s="11">
        <v>768255.2</v>
      </c>
      <c r="AO788" s="13">
        <v>11139081.199999999</v>
      </c>
      <c r="AP788" s="11">
        <v>1457188</v>
      </c>
      <c r="AQ788" s="11">
        <v>24158.5</v>
      </c>
      <c r="AR788" s="11" t="s">
        <v>139</v>
      </c>
      <c r="AS788">
        <f t="shared" si="16"/>
        <v>16980172.600000001</v>
      </c>
      <c r="AT788">
        <f t="shared" si="15"/>
        <v>0.74182221210166011</v>
      </c>
    </row>
    <row r="789" spans="1:46" x14ac:dyDescent="0.4">
      <c r="A789" s="3" t="s">
        <v>920</v>
      </c>
      <c r="B789">
        <v>9272358.5</v>
      </c>
      <c r="C789">
        <v>2566985.7999999998</v>
      </c>
      <c r="D789">
        <v>1754360.4</v>
      </c>
      <c r="E789">
        <v>1296981.8</v>
      </c>
      <c r="F789">
        <v>457378.6</v>
      </c>
      <c r="G789">
        <v>812625.4</v>
      </c>
      <c r="H789">
        <v>135810.6</v>
      </c>
      <c r="I789">
        <v>676814.8</v>
      </c>
      <c r="J789">
        <v>6705372.7000000002</v>
      </c>
      <c r="K789">
        <v>1344465.8</v>
      </c>
      <c r="L789">
        <v>3539509.7</v>
      </c>
      <c r="M789">
        <v>2109486.5</v>
      </c>
      <c r="N789">
        <v>550858.30000000005</v>
      </c>
      <c r="O789">
        <v>1558628.2</v>
      </c>
      <c r="P789">
        <v>1430023.2</v>
      </c>
      <c r="Q789" t="s">
        <v>139</v>
      </c>
      <c r="R789" t="s">
        <v>139</v>
      </c>
      <c r="S789" t="s">
        <v>139</v>
      </c>
      <c r="T789" t="s">
        <v>139</v>
      </c>
      <c r="U789" s="11">
        <v>1087621.5</v>
      </c>
      <c r="V789" s="12">
        <v>598918.80000000005</v>
      </c>
      <c r="W789" s="11">
        <v>488702.7</v>
      </c>
      <c r="X789" s="11" t="s">
        <v>139</v>
      </c>
      <c r="Y789" s="11" t="s">
        <v>139</v>
      </c>
      <c r="Z789" s="11">
        <v>733775.7</v>
      </c>
      <c r="AA789" s="11" t="s">
        <v>139</v>
      </c>
      <c r="AB789" s="11" t="s">
        <v>139</v>
      </c>
      <c r="AC789" s="11">
        <v>170771.1</v>
      </c>
      <c r="AD789" s="11">
        <v>1717046.7</v>
      </c>
      <c r="AE789" s="11">
        <v>393947.3</v>
      </c>
      <c r="AF789" s="11">
        <v>12198.5</v>
      </c>
      <c r="AG789" s="11">
        <v>1467654.8</v>
      </c>
      <c r="AH789" s="13">
        <v>12692434.699999999</v>
      </c>
      <c r="AI789" s="11">
        <v>8557097.5999999996</v>
      </c>
      <c r="AJ789" s="11">
        <v>1471912.1</v>
      </c>
      <c r="AK789" s="11">
        <v>7085185.4000000004</v>
      </c>
      <c r="AL789" s="11">
        <v>1579198.5</v>
      </c>
      <c r="AM789" s="11">
        <v>298181.40000000002</v>
      </c>
      <c r="AN789" s="11">
        <v>772230.4</v>
      </c>
      <c r="AO789" s="13">
        <v>11206708</v>
      </c>
      <c r="AP789" s="11">
        <v>1485726.7</v>
      </c>
      <c r="AQ789" s="11">
        <v>28563.8</v>
      </c>
      <c r="AR789" s="11" t="s">
        <v>139</v>
      </c>
      <c r="AS789">
        <f t="shared" si="16"/>
        <v>17114195.100000001</v>
      </c>
      <c r="AT789">
        <f t="shared" si="15"/>
        <v>0.7416319976391994</v>
      </c>
    </row>
    <row r="790" spans="1:46" x14ac:dyDescent="0.4">
      <c r="A790" s="3" t="s">
        <v>921</v>
      </c>
      <c r="B790">
        <v>9298424.6999999993</v>
      </c>
      <c r="C790">
        <v>2581319.6</v>
      </c>
      <c r="D790">
        <v>1776667.5</v>
      </c>
      <c r="E790">
        <v>1318961.3999999999</v>
      </c>
      <c r="F790">
        <v>457706.1</v>
      </c>
      <c r="G790">
        <v>804652.1</v>
      </c>
      <c r="H790">
        <v>133702.39999999999</v>
      </c>
      <c r="I790">
        <v>670949.69999999995</v>
      </c>
      <c r="J790">
        <v>6717105.2000000002</v>
      </c>
      <c r="K790">
        <v>1351020.1</v>
      </c>
      <c r="L790">
        <v>3544011.8</v>
      </c>
      <c r="M790">
        <v>2114428.1</v>
      </c>
      <c r="N790">
        <v>547184.1</v>
      </c>
      <c r="O790">
        <v>1567243.9</v>
      </c>
      <c r="P790">
        <v>1429583.7</v>
      </c>
      <c r="Q790" t="s">
        <v>139</v>
      </c>
      <c r="R790" t="s">
        <v>139</v>
      </c>
      <c r="S790" t="s">
        <v>139</v>
      </c>
      <c r="T790" t="s">
        <v>139</v>
      </c>
      <c r="U790" s="11">
        <v>1090802.3999999999</v>
      </c>
      <c r="V790" s="12">
        <v>600016.19999999995</v>
      </c>
      <c r="W790" s="11">
        <v>490786.2</v>
      </c>
      <c r="X790" s="11" t="s">
        <v>139</v>
      </c>
      <c r="Y790" s="11" t="s">
        <v>139</v>
      </c>
      <c r="Z790" s="11">
        <v>731270.8</v>
      </c>
      <c r="AA790" s="11" t="s">
        <v>139</v>
      </c>
      <c r="AB790" s="11" t="s">
        <v>139</v>
      </c>
      <c r="AC790" s="11">
        <v>168253.4</v>
      </c>
      <c r="AD790" s="11">
        <v>1642639.6</v>
      </c>
      <c r="AE790" s="11">
        <v>392886.9</v>
      </c>
      <c r="AF790" s="11">
        <v>12485.2</v>
      </c>
      <c r="AG790" s="11">
        <v>1453536.2</v>
      </c>
      <c r="AH790" s="13">
        <v>12631719.300000001</v>
      </c>
      <c r="AI790" s="11">
        <v>8606852</v>
      </c>
      <c r="AJ790" s="11">
        <v>1468305.7</v>
      </c>
      <c r="AK790" s="11">
        <v>7138546.2999999998</v>
      </c>
      <c r="AL790" s="11">
        <v>1566677.2</v>
      </c>
      <c r="AM790" s="11">
        <v>242622.3</v>
      </c>
      <c r="AN790" s="11">
        <v>757322.9</v>
      </c>
      <c r="AO790" s="13">
        <v>11173474.4</v>
      </c>
      <c r="AP790" s="11">
        <v>1458244.9</v>
      </c>
      <c r="AQ790" s="11">
        <v>25539.3</v>
      </c>
      <c r="AR790" s="11" t="s">
        <v>139</v>
      </c>
      <c r="AS790">
        <f t="shared" si="16"/>
        <v>17213704</v>
      </c>
      <c r="AT790">
        <f t="shared" si="15"/>
        <v>0.73381761996139827</v>
      </c>
    </row>
    <row r="791" spans="1:46" x14ac:dyDescent="0.4">
      <c r="A791" s="3" t="s">
        <v>922</v>
      </c>
      <c r="B791">
        <v>9336421.4000000004</v>
      </c>
      <c r="C791">
        <v>2595963.7000000002</v>
      </c>
      <c r="D791">
        <v>1795229.7</v>
      </c>
      <c r="E791">
        <v>1334358.8999999999</v>
      </c>
      <c r="F791">
        <v>460870.7</v>
      </c>
      <c r="G791">
        <v>800734</v>
      </c>
      <c r="H791">
        <v>138213.1</v>
      </c>
      <c r="I791">
        <v>662520.9</v>
      </c>
      <c r="J791">
        <v>6740457.7000000002</v>
      </c>
      <c r="K791">
        <v>1368479.4</v>
      </c>
      <c r="L791">
        <v>3540464.1</v>
      </c>
      <c r="M791">
        <v>2110874.7000000002</v>
      </c>
      <c r="N791">
        <v>545053.19999999995</v>
      </c>
      <c r="O791">
        <v>1565821.5</v>
      </c>
      <c r="P791">
        <v>1429589.4</v>
      </c>
      <c r="Q791" t="s">
        <v>139</v>
      </c>
      <c r="R791" t="s">
        <v>139</v>
      </c>
      <c r="S791" t="s">
        <v>139</v>
      </c>
      <c r="T791" t="s">
        <v>139</v>
      </c>
      <c r="U791" s="11">
        <v>1092599.8</v>
      </c>
      <c r="V791" s="12">
        <v>600972.19999999995</v>
      </c>
      <c r="W791" s="11">
        <v>491627.6</v>
      </c>
      <c r="X791" s="11" t="s">
        <v>139</v>
      </c>
      <c r="Y791" s="11" t="s">
        <v>139</v>
      </c>
      <c r="Z791" s="11">
        <v>738914.3</v>
      </c>
      <c r="AA791" s="11" t="s">
        <v>139</v>
      </c>
      <c r="AB791" s="11" t="s">
        <v>139</v>
      </c>
      <c r="AC791" s="11">
        <v>165507.9</v>
      </c>
      <c r="AD791" s="11">
        <v>1639582.1</v>
      </c>
      <c r="AE791" s="11">
        <v>390774.6</v>
      </c>
      <c r="AF791" s="11">
        <v>12514.6</v>
      </c>
      <c r="AG791" s="11">
        <v>1472160.8</v>
      </c>
      <c r="AH791" s="13">
        <v>12685945.6</v>
      </c>
      <c r="AI791" s="11">
        <v>8648187.5999999996</v>
      </c>
      <c r="AJ791" s="11">
        <v>1469967.9</v>
      </c>
      <c r="AK791" s="11">
        <v>7178219.7000000002</v>
      </c>
      <c r="AL791" s="11">
        <v>1563485.7</v>
      </c>
      <c r="AM791" s="11">
        <v>280543.90000000002</v>
      </c>
      <c r="AN791" s="11">
        <v>753627.7</v>
      </c>
      <c r="AO791" s="13">
        <v>11245844.9</v>
      </c>
      <c r="AP791" s="11">
        <v>1440100.7</v>
      </c>
      <c r="AQ791" s="11">
        <v>30016.6</v>
      </c>
      <c r="AR791" s="11" t="s">
        <v>139</v>
      </c>
      <c r="AS791">
        <f t="shared" si="16"/>
        <v>17296375.199999999</v>
      </c>
      <c r="AT791">
        <f t="shared" si="15"/>
        <v>0.7334453290536852</v>
      </c>
    </row>
    <row r="792" spans="1:46" x14ac:dyDescent="0.4">
      <c r="A792" s="3" t="s">
        <v>923</v>
      </c>
      <c r="B792">
        <v>9366793.4000000004</v>
      </c>
      <c r="C792">
        <v>2601070.5</v>
      </c>
      <c r="D792">
        <v>1803610</v>
      </c>
      <c r="E792">
        <v>1334383.3</v>
      </c>
      <c r="F792">
        <v>469226.7</v>
      </c>
      <c r="G792">
        <v>797460.5</v>
      </c>
      <c r="H792">
        <v>135429</v>
      </c>
      <c r="I792">
        <v>662031.5</v>
      </c>
      <c r="J792">
        <v>6765722.9000000004</v>
      </c>
      <c r="K792">
        <v>1378876.7</v>
      </c>
      <c r="L792">
        <v>3538888.7</v>
      </c>
      <c r="M792">
        <v>2115662.5</v>
      </c>
      <c r="N792">
        <v>542287.9</v>
      </c>
      <c r="O792">
        <v>1573374.6</v>
      </c>
      <c r="P792">
        <v>1423226.3</v>
      </c>
      <c r="Q792" t="s">
        <v>139</v>
      </c>
      <c r="R792" t="s">
        <v>139</v>
      </c>
      <c r="S792" t="s">
        <v>139</v>
      </c>
      <c r="T792" t="s">
        <v>139</v>
      </c>
      <c r="U792" s="11">
        <v>1101463.3999999999</v>
      </c>
      <c r="V792" s="12">
        <v>609046.4</v>
      </c>
      <c r="W792" s="11">
        <v>492417</v>
      </c>
      <c r="X792" s="11" t="s">
        <v>139</v>
      </c>
      <c r="Y792" s="11" t="s">
        <v>139</v>
      </c>
      <c r="Z792" s="11">
        <v>746494</v>
      </c>
      <c r="AA792" s="11" t="s">
        <v>139</v>
      </c>
      <c r="AB792" s="11" t="s">
        <v>139</v>
      </c>
      <c r="AC792" s="11">
        <v>162679.9</v>
      </c>
      <c r="AD792" s="11">
        <v>1630658.9</v>
      </c>
      <c r="AE792" s="11">
        <v>399770</v>
      </c>
      <c r="AF792" s="11">
        <v>11361.5</v>
      </c>
      <c r="AG792" s="11">
        <v>1468809.4</v>
      </c>
      <c r="AH792" s="13">
        <v>12714713.300000001</v>
      </c>
      <c r="AI792" s="11">
        <v>8670082.6999999993</v>
      </c>
      <c r="AJ792" s="11">
        <v>1457706.9</v>
      </c>
      <c r="AK792" s="11">
        <v>7212375.7999999998</v>
      </c>
      <c r="AL792" s="11">
        <v>1575667.2</v>
      </c>
      <c r="AM792" s="11">
        <v>274112.3</v>
      </c>
      <c r="AN792" s="11">
        <v>758236.5</v>
      </c>
      <c r="AO792" s="13">
        <v>11278098.800000001</v>
      </c>
      <c r="AP792" s="11">
        <v>1436614.6</v>
      </c>
      <c r="AQ792" s="11">
        <v>35980.6</v>
      </c>
      <c r="AR792" s="11" t="s">
        <v>139</v>
      </c>
      <c r="AS792">
        <f t="shared" si="16"/>
        <v>17340165.399999999</v>
      </c>
      <c r="AT792">
        <f t="shared" si="15"/>
        <v>0.73325213495368402</v>
      </c>
    </row>
    <row r="793" spans="1:46" x14ac:dyDescent="0.4">
      <c r="A793" s="3" t="s">
        <v>924</v>
      </c>
      <c r="B793">
        <v>9385625.1999999993</v>
      </c>
      <c r="C793">
        <v>2605084.2999999998</v>
      </c>
      <c r="D793">
        <v>1804226.6</v>
      </c>
      <c r="E793">
        <v>1331431.2</v>
      </c>
      <c r="F793">
        <v>472795.3</v>
      </c>
      <c r="G793">
        <v>800857.7</v>
      </c>
      <c r="H793">
        <v>135943.20000000001</v>
      </c>
      <c r="I793">
        <v>664914.5</v>
      </c>
      <c r="J793">
        <v>6780540.9000000004</v>
      </c>
      <c r="K793">
        <v>1397962.6</v>
      </c>
      <c r="L793">
        <v>3528521.2</v>
      </c>
      <c r="M793">
        <v>2106623.1</v>
      </c>
      <c r="N793">
        <v>539094.5</v>
      </c>
      <c r="O793">
        <v>1567528.6</v>
      </c>
      <c r="P793">
        <v>1421898.2</v>
      </c>
      <c r="Q793" t="s">
        <v>139</v>
      </c>
      <c r="R793" t="s">
        <v>139</v>
      </c>
      <c r="S793" t="s">
        <v>139</v>
      </c>
      <c r="T793" t="s">
        <v>139</v>
      </c>
      <c r="U793" s="11">
        <v>1100967</v>
      </c>
      <c r="V793" s="12">
        <v>608947.19999999995</v>
      </c>
      <c r="W793" s="11">
        <v>492019.8</v>
      </c>
      <c r="X793" s="11" t="s">
        <v>139</v>
      </c>
      <c r="Y793" s="11" t="s">
        <v>139</v>
      </c>
      <c r="Z793" s="11">
        <v>753090.1</v>
      </c>
      <c r="AA793" s="11" t="s">
        <v>139</v>
      </c>
      <c r="AB793" s="11" t="s">
        <v>139</v>
      </c>
      <c r="AC793" s="11">
        <v>160697.5</v>
      </c>
      <c r="AD793" s="11">
        <v>1629035.1</v>
      </c>
      <c r="AE793" s="11">
        <v>404658.4</v>
      </c>
      <c r="AF793" s="11">
        <v>11755.5</v>
      </c>
      <c r="AG793" s="11">
        <v>1474691.9</v>
      </c>
      <c r="AH793" s="13">
        <v>12745068.6</v>
      </c>
      <c r="AI793" s="11">
        <v>8737706</v>
      </c>
      <c r="AJ793" s="11">
        <v>1466628.1</v>
      </c>
      <c r="AK793" s="11">
        <v>7271077.9000000004</v>
      </c>
      <c r="AL793" s="11">
        <v>1570444.8</v>
      </c>
      <c r="AM793" s="11">
        <v>223005.7</v>
      </c>
      <c r="AN793" s="11">
        <v>766372.1</v>
      </c>
      <c r="AO793" s="13">
        <v>11297528.6</v>
      </c>
      <c r="AP793" s="11">
        <v>1447540</v>
      </c>
      <c r="AQ793" s="11">
        <v>33678.6</v>
      </c>
      <c r="AR793" s="11" t="s">
        <v>139</v>
      </c>
      <c r="AS793">
        <f t="shared" si="16"/>
        <v>17475412</v>
      </c>
      <c r="AT793">
        <f t="shared" si="15"/>
        <v>0.72931434177345855</v>
      </c>
    </row>
    <row r="794" spans="1:46" x14ac:dyDescent="0.4">
      <c r="A794" s="3" t="s">
        <v>925</v>
      </c>
      <c r="B794">
        <v>9433819.8000000007</v>
      </c>
      <c r="C794">
        <v>2640594.6</v>
      </c>
      <c r="D794">
        <v>1832751.9</v>
      </c>
      <c r="E794">
        <v>1333101.7</v>
      </c>
      <c r="F794">
        <v>499650.3</v>
      </c>
      <c r="G794">
        <v>807842.6</v>
      </c>
      <c r="H794">
        <v>137468</v>
      </c>
      <c r="I794">
        <v>670374.69999999995</v>
      </c>
      <c r="J794">
        <v>6793225.2000000002</v>
      </c>
      <c r="K794">
        <v>1413652.3</v>
      </c>
      <c r="L794">
        <v>3525605</v>
      </c>
      <c r="M794">
        <v>2103623.4</v>
      </c>
      <c r="N794">
        <v>534963.6</v>
      </c>
      <c r="O794">
        <v>1568659.9</v>
      </c>
      <c r="P794">
        <v>1421981.6</v>
      </c>
      <c r="Q794" t="s">
        <v>139</v>
      </c>
      <c r="R794" t="s">
        <v>139</v>
      </c>
      <c r="S794" t="s">
        <v>139</v>
      </c>
      <c r="T794" t="s">
        <v>139</v>
      </c>
      <c r="U794" s="11">
        <v>1098690.7</v>
      </c>
      <c r="V794" s="12">
        <v>607070.69999999995</v>
      </c>
      <c r="W794" s="11">
        <v>491620</v>
      </c>
      <c r="X794" s="11" t="s">
        <v>139</v>
      </c>
      <c r="Y794" s="11" t="s">
        <v>139</v>
      </c>
      <c r="Z794" s="11">
        <v>755277.3</v>
      </c>
      <c r="AA794" s="11" t="s">
        <v>139</v>
      </c>
      <c r="AB794" s="11" t="s">
        <v>139</v>
      </c>
      <c r="AC794" s="11">
        <v>158868.29999999999</v>
      </c>
      <c r="AD794" s="11">
        <v>1635554.3</v>
      </c>
      <c r="AE794" s="11">
        <v>405863.7</v>
      </c>
      <c r="AF794" s="11">
        <v>12146.7</v>
      </c>
      <c r="AG794" s="11">
        <v>1474214.3</v>
      </c>
      <c r="AH794" s="13">
        <v>12802730.5</v>
      </c>
      <c r="AI794" s="11">
        <v>8806052.1999999993</v>
      </c>
      <c r="AJ794" s="11">
        <v>1483557.6</v>
      </c>
      <c r="AK794" s="11">
        <v>7322494.5999999996</v>
      </c>
      <c r="AL794" s="11">
        <v>1568988.2</v>
      </c>
      <c r="AM794" s="11">
        <v>208993.4</v>
      </c>
      <c r="AN794" s="11">
        <v>760313.7</v>
      </c>
      <c r="AO794" s="13">
        <v>11344347.5</v>
      </c>
      <c r="AP794" s="11">
        <v>1458383</v>
      </c>
      <c r="AQ794" s="11">
        <v>35902.5</v>
      </c>
      <c r="AR794" s="11" t="s">
        <v>139</v>
      </c>
      <c r="AS794">
        <f t="shared" si="16"/>
        <v>17612104.399999999</v>
      </c>
      <c r="AT794">
        <f t="shared" si="15"/>
        <v>0.72692792463801204</v>
      </c>
    </row>
    <row r="795" spans="1:46" x14ac:dyDescent="0.4">
      <c r="A795" s="3" t="s">
        <v>926</v>
      </c>
      <c r="B795">
        <v>9469802.3000000007</v>
      </c>
      <c r="C795">
        <v>2654878.1</v>
      </c>
      <c r="D795">
        <v>1845095.3</v>
      </c>
      <c r="E795">
        <v>1340604.7</v>
      </c>
      <c r="F795">
        <v>504490.6</v>
      </c>
      <c r="G795">
        <v>809782.7</v>
      </c>
      <c r="H795">
        <v>138662.20000000001</v>
      </c>
      <c r="I795">
        <v>671120.6</v>
      </c>
      <c r="J795">
        <v>6814924.2999999998</v>
      </c>
      <c r="K795">
        <v>1425840.8</v>
      </c>
      <c r="L795">
        <v>3526878.8</v>
      </c>
      <c r="M795">
        <v>2106484.6</v>
      </c>
      <c r="N795">
        <v>531098.9</v>
      </c>
      <c r="O795">
        <v>1575385.8</v>
      </c>
      <c r="P795">
        <v>1420394.1</v>
      </c>
      <c r="Q795" t="s">
        <v>139</v>
      </c>
      <c r="R795" t="s">
        <v>139</v>
      </c>
      <c r="S795" t="s">
        <v>139</v>
      </c>
      <c r="T795" t="s">
        <v>139</v>
      </c>
      <c r="U795" s="11">
        <v>1100906.1000000001</v>
      </c>
      <c r="V795" s="12">
        <v>607728.80000000005</v>
      </c>
      <c r="W795" s="11">
        <v>493177.3</v>
      </c>
      <c r="X795" s="11" t="s">
        <v>139</v>
      </c>
      <c r="Y795" s="11" t="s">
        <v>139</v>
      </c>
      <c r="Z795" s="11">
        <v>761298.7</v>
      </c>
      <c r="AA795" s="11" t="s">
        <v>139</v>
      </c>
      <c r="AB795" s="11" t="s">
        <v>139</v>
      </c>
      <c r="AC795" s="11">
        <v>156831.4</v>
      </c>
      <c r="AD795" s="11">
        <v>1648574.3</v>
      </c>
      <c r="AE795" s="11">
        <v>409762.4</v>
      </c>
      <c r="AF795" s="11">
        <v>11904.1</v>
      </c>
      <c r="AG795" s="11">
        <v>1448441.4</v>
      </c>
      <c r="AH795" s="13">
        <v>12831653</v>
      </c>
      <c r="AI795" s="11">
        <v>8876022</v>
      </c>
      <c r="AJ795" s="11">
        <v>1499415.1</v>
      </c>
      <c r="AK795" s="11">
        <v>7376607</v>
      </c>
      <c r="AL795" s="11">
        <v>1557208.8</v>
      </c>
      <c r="AM795" s="11">
        <v>201241.7</v>
      </c>
      <c r="AN795" s="11">
        <v>745527</v>
      </c>
      <c r="AO795" s="13">
        <v>11379999.5</v>
      </c>
      <c r="AP795" s="11">
        <v>1451653.6</v>
      </c>
      <c r="AQ795" s="11">
        <v>36019</v>
      </c>
      <c r="AR795" s="11" t="s">
        <v>139</v>
      </c>
      <c r="AS795">
        <f t="shared" si="16"/>
        <v>17752044.100000001</v>
      </c>
      <c r="AT795">
        <f t="shared" si="15"/>
        <v>0.72282678702899339</v>
      </c>
    </row>
    <row r="796" spans="1:46" x14ac:dyDescent="0.4">
      <c r="A796" s="3" t="s">
        <v>927</v>
      </c>
      <c r="B796">
        <v>9501687.8000000007</v>
      </c>
      <c r="C796">
        <v>2672303.7000000002</v>
      </c>
      <c r="D796">
        <v>1847196.8</v>
      </c>
      <c r="E796">
        <v>1341181.2</v>
      </c>
      <c r="F796">
        <v>506015.6</v>
      </c>
      <c r="G796">
        <v>825106.9</v>
      </c>
      <c r="H796">
        <v>138900.9</v>
      </c>
      <c r="I796">
        <v>686206</v>
      </c>
      <c r="J796">
        <v>6829384.0999999996</v>
      </c>
      <c r="K796">
        <v>1434370.2</v>
      </c>
      <c r="L796">
        <v>3530409.7</v>
      </c>
      <c r="M796">
        <v>2109298.7000000002</v>
      </c>
      <c r="N796">
        <v>526830.5</v>
      </c>
      <c r="O796">
        <v>1582468.2</v>
      </c>
      <c r="P796">
        <v>1421111</v>
      </c>
      <c r="Q796" t="s">
        <v>139</v>
      </c>
      <c r="R796" t="s">
        <v>139</v>
      </c>
      <c r="S796" t="s">
        <v>139</v>
      </c>
      <c r="T796" t="s">
        <v>139</v>
      </c>
      <c r="U796" s="11">
        <v>1103066.8999999999</v>
      </c>
      <c r="V796" s="12">
        <v>607150.5</v>
      </c>
      <c r="W796" s="11">
        <v>495916.4</v>
      </c>
      <c r="X796" s="11" t="s">
        <v>139</v>
      </c>
      <c r="Y796" s="11" t="s">
        <v>139</v>
      </c>
      <c r="Z796" s="11">
        <v>761537.3</v>
      </c>
      <c r="AA796" s="11" t="s">
        <v>139</v>
      </c>
      <c r="AB796" s="11" t="s">
        <v>139</v>
      </c>
      <c r="AC796" s="11">
        <v>154273.20000000001</v>
      </c>
      <c r="AD796" s="11">
        <v>1604888.3</v>
      </c>
      <c r="AE796" s="11">
        <v>416684.9</v>
      </c>
      <c r="AF796" s="11">
        <v>11948</v>
      </c>
      <c r="AG796" s="11">
        <v>1459706.2</v>
      </c>
      <c r="AH796" s="13">
        <v>12840642</v>
      </c>
      <c r="AI796" s="11">
        <v>8926496.3000000007</v>
      </c>
      <c r="AJ796" s="11">
        <v>1498408.2</v>
      </c>
      <c r="AK796" s="11">
        <v>7428088.0999999996</v>
      </c>
      <c r="AL796" s="11">
        <v>1565483.7</v>
      </c>
      <c r="AM796" s="11">
        <v>133976.4</v>
      </c>
      <c r="AN796" s="11">
        <v>744843.7</v>
      </c>
      <c r="AO796" s="13">
        <v>11370800.199999999</v>
      </c>
      <c r="AP796" s="11">
        <v>1469841.8</v>
      </c>
      <c r="AQ796" s="11">
        <v>39832.300000000003</v>
      </c>
      <c r="AR796" s="11" t="s">
        <v>139</v>
      </c>
      <c r="AS796">
        <f t="shared" si="16"/>
        <v>17852992.600000001</v>
      </c>
      <c r="AT796">
        <f t="shared" si="15"/>
        <v>0.71924311445690059</v>
      </c>
    </row>
    <row r="797" spans="1:46" x14ac:dyDescent="0.4">
      <c r="A797" s="3" t="s">
        <v>928</v>
      </c>
      <c r="B797">
        <v>9517962.4000000004</v>
      </c>
      <c r="C797">
        <v>2678582.4</v>
      </c>
      <c r="D797">
        <v>1843265.5</v>
      </c>
      <c r="E797">
        <v>1327632.5</v>
      </c>
      <c r="F797">
        <v>515633</v>
      </c>
      <c r="G797">
        <v>835316.9</v>
      </c>
      <c r="H797">
        <v>137938.1</v>
      </c>
      <c r="I797">
        <v>697378.7</v>
      </c>
      <c r="J797">
        <v>6839380</v>
      </c>
      <c r="K797">
        <v>1449301.7</v>
      </c>
      <c r="L797">
        <v>3526750.9</v>
      </c>
      <c r="M797">
        <v>2104870.2000000002</v>
      </c>
      <c r="N797">
        <v>522259</v>
      </c>
      <c r="O797">
        <v>1582611.2</v>
      </c>
      <c r="P797">
        <v>1421880.7</v>
      </c>
      <c r="Q797" t="s">
        <v>139</v>
      </c>
      <c r="R797" t="s">
        <v>139</v>
      </c>
      <c r="S797" t="s">
        <v>139</v>
      </c>
      <c r="T797" t="s">
        <v>139</v>
      </c>
      <c r="U797" s="11">
        <v>1104743.6000000001</v>
      </c>
      <c r="V797" s="12">
        <v>608283.9</v>
      </c>
      <c r="W797" s="11">
        <v>496459.7</v>
      </c>
      <c r="X797" s="11" t="s">
        <v>139</v>
      </c>
      <c r="Y797" s="11" t="s">
        <v>139</v>
      </c>
      <c r="Z797" s="11">
        <v>758583.8</v>
      </c>
      <c r="AA797" s="11" t="s">
        <v>139</v>
      </c>
      <c r="AB797" s="11" t="s">
        <v>139</v>
      </c>
      <c r="AC797" s="11">
        <v>151173.70000000001</v>
      </c>
      <c r="AD797" s="11">
        <v>1600200.8</v>
      </c>
      <c r="AE797" s="11">
        <v>425142.8</v>
      </c>
      <c r="AF797" s="11">
        <v>11546</v>
      </c>
      <c r="AG797" s="11">
        <v>1457528.4</v>
      </c>
      <c r="AH797" s="13">
        <v>12861206.699999999</v>
      </c>
      <c r="AI797" s="11">
        <v>8995602.6999999993</v>
      </c>
      <c r="AJ797" s="11">
        <v>1491088.9</v>
      </c>
      <c r="AK797" s="11">
        <v>7504513.7999999998</v>
      </c>
      <c r="AL797" s="11">
        <v>1553494.4</v>
      </c>
      <c r="AM797" s="11">
        <v>83913.8</v>
      </c>
      <c r="AN797" s="11">
        <v>734428.8</v>
      </c>
      <c r="AO797" s="13">
        <v>11367439.6</v>
      </c>
      <c r="AP797" s="11">
        <v>1493767.1</v>
      </c>
      <c r="AQ797" s="11">
        <v>41976.800000000003</v>
      </c>
      <c r="AR797" s="11" t="s">
        <v>139</v>
      </c>
      <c r="AS797">
        <f t="shared" si="16"/>
        <v>17991205.399999999</v>
      </c>
      <c r="AT797">
        <f t="shared" si="15"/>
        <v>0.71486075635599156</v>
      </c>
    </row>
    <row r="798" spans="1:46" x14ac:dyDescent="0.4">
      <c r="A798" s="3" t="s">
        <v>929</v>
      </c>
      <c r="B798">
        <v>9576699.0999999996</v>
      </c>
      <c r="C798">
        <v>2701526</v>
      </c>
      <c r="D798">
        <v>1856117.9</v>
      </c>
      <c r="E798">
        <v>1332593.7</v>
      </c>
      <c r="F798">
        <v>523524.2</v>
      </c>
      <c r="G798">
        <v>845408.1</v>
      </c>
      <c r="H798">
        <v>140836.70000000001</v>
      </c>
      <c r="I798">
        <v>704571.4</v>
      </c>
      <c r="J798">
        <v>6875173</v>
      </c>
      <c r="K798">
        <v>1457289.7</v>
      </c>
      <c r="L798">
        <v>3555769</v>
      </c>
      <c r="M798">
        <v>2131445.1</v>
      </c>
      <c r="N798">
        <v>519099.8</v>
      </c>
      <c r="O798">
        <v>1612345.3</v>
      </c>
      <c r="P798">
        <v>1424323.8</v>
      </c>
      <c r="Q798" t="s">
        <v>139</v>
      </c>
      <c r="R798" t="s">
        <v>139</v>
      </c>
      <c r="S798" t="s">
        <v>139</v>
      </c>
      <c r="T798" t="s">
        <v>139</v>
      </c>
      <c r="U798" s="11">
        <v>1104589.7</v>
      </c>
      <c r="V798" s="12">
        <v>608936.69999999995</v>
      </c>
      <c r="W798" s="11">
        <v>495652.9</v>
      </c>
      <c r="X798" s="11" t="s">
        <v>139</v>
      </c>
      <c r="Y798" s="11" t="s">
        <v>139</v>
      </c>
      <c r="Z798" s="11">
        <v>757524.7</v>
      </c>
      <c r="AA798" s="11" t="s">
        <v>139</v>
      </c>
      <c r="AB798" s="11" t="s">
        <v>139</v>
      </c>
      <c r="AC798" s="11">
        <v>148871</v>
      </c>
      <c r="AD798" s="11">
        <v>1664275.5</v>
      </c>
      <c r="AE798" s="11">
        <v>425611.1</v>
      </c>
      <c r="AF798" s="11">
        <v>11764</v>
      </c>
      <c r="AG798" s="11">
        <v>1455941.7</v>
      </c>
      <c r="AH798" s="13">
        <v>12985420.4</v>
      </c>
      <c r="AI798" s="11">
        <v>9112472.8000000007</v>
      </c>
      <c r="AJ798" s="11">
        <v>1490811.2</v>
      </c>
      <c r="AK798" s="11">
        <v>7621661.5999999996</v>
      </c>
      <c r="AL798" s="11">
        <v>1542579.6</v>
      </c>
      <c r="AM798" s="11">
        <v>90049.7</v>
      </c>
      <c r="AN798" s="11">
        <v>728084.9</v>
      </c>
      <c r="AO798" s="13">
        <v>11473186.9</v>
      </c>
      <c r="AP798" s="11">
        <v>1512233.5</v>
      </c>
      <c r="AQ798" s="11">
        <v>42055.7</v>
      </c>
      <c r="AR798" s="11" t="s">
        <v>139</v>
      </c>
      <c r="AS798">
        <f t="shared" si="16"/>
        <v>18224945.600000001</v>
      </c>
      <c r="AT798">
        <f t="shared" si="15"/>
        <v>0.71250804721194883</v>
      </c>
    </row>
    <row r="799" spans="1:46" x14ac:dyDescent="0.4">
      <c r="A799" s="3" t="s">
        <v>930</v>
      </c>
      <c r="B799">
        <v>9626727.1999999993</v>
      </c>
      <c r="C799">
        <v>2733881.4</v>
      </c>
      <c r="D799">
        <v>1872831.7</v>
      </c>
      <c r="E799">
        <v>1343024</v>
      </c>
      <c r="F799">
        <v>529807.6</v>
      </c>
      <c r="G799">
        <v>861049.7</v>
      </c>
      <c r="H799">
        <v>140700.5</v>
      </c>
      <c r="I799">
        <v>720349.3</v>
      </c>
      <c r="J799">
        <v>6892845.9000000004</v>
      </c>
      <c r="K799">
        <v>1474497.1</v>
      </c>
      <c r="L799">
        <v>3550981.7</v>
      </c>
      <c r="M799">
        <v>2122668.5</v>
      </c>
      <c r="N799">
        <v>515286.4</v>
      </c>
      <c r="O799">
        <v>1607382.1</v>
      </c>
      <c r="P799">
        <v>1428313.2</v>
      </c>
      <c r="Q799" t="s">
        <v>139</v>
      </c>
      <c r="R799" t="s">
        <v>139</v>
      </c>
      <c r="S799" t="s">
        <v>139</v>
      </c>
      <c r="T799" t="s">
        <v>139</v>
      </c>
      <c r="U799" s="11">
        <v>1102707.3</v>
      </c>
      <c r="V799" s="12">
        <v>607156.69999999995</v>
      </c>
      <c r="W799" s="11">
        <v>495550.6</v>
      </c>
      <c r="X799" s="11" t="s">
        <v>139</v>
      </c>
      <c r="Y799" s="11" t="s">
        <v>139</v>
      </c>
      <c r="Z799" s="11">
        <v>764659.7</v>
      </c>
      <c r="AA799" s="11" t="s">
        <v>139</v>
      </c>
      <c r="AB799" s="11" t="s">
        <v>139</v>
      </c>
      <c r="AC799" s="11">
        <v>146471.70000000001</v>
      </c>
      <c r="AD799" s="11">
        <v>1745530.3</v>
      </c>
      <c r="AE799" s="11">
        <v>438472.3</v>
      </c>
      <c r="AF799" s="11">
        <v>11189.6</v>
      </c>
      <c r="AG799" s="11">
        <v>1448119</v>
      </c>
      <c r="AH799" s="13">
        <v>13123566.699999999</v>
      </c>
      <c r="AI799" s="11">
        <v>9251214</v>
      </c>
      <c r="AJ799" s="11">
        <v>1521688.5</v>
      </c>
      <c r="AK799" s="11">
        <v>7729525.5</v>
      </c>
      <c r="AL799" s="11">
        <v>1552703.1</v>
      </c>
      <c r="AM799" s="11">
        <v>69374</v>
      </c>
      <c r="AN799" s="11">
        <v>733927.4</v>
      </c>
      <c r="AO799" s="13">
        <v>11607218.4</v>
      </c>
      <c r="AP799" s="11">
        <v>1516348.3</v>
      </c>
      <c r="AQ799" s="11">
        <v>39837</v>
      </c>
      <c r="AR799" s="11" t="s">
        <v>139</v>
      </c>
      <c r="AS799">
        <f t="shared" si="16"/>
        <v>18502428</v>
      </c>
      <c r="AT799">
        <f t="shared" si="15"/>
        <v>0.7092888944088851</v>
      </c>
    </row>
    <row r="800" spans="1:46" x14ac:dyDescent="0.4">
      <c r="A800" s="3" t="s">
        <v>931</v>
      </c>
      <c r="B800">
        <v>9654229.1999999993</v>
      </c>
      <c r="C800">
        <v>2728800.4</v>
      </c>
      <c r="D800">
        <v>1862510.6</v>
      </c>
      <c r="E800">
        <v>1339749</v>
      </c>
      <c r="F800">
        <v>522761.6</v>
      </c>
      <c r="G800">
        <v>866289.9</v>
      </c>
      <c r="H800">
        <v>140464.70000000001</v>
      </c>
      <c r="I800">
        <v>725825.2</v>
      </c>
      <c r="J800">
        <v>6925428.7999999998</v>
      </c>
      <c r="K800">
        <v>1485080.7</v>
      </c>
      <c r="L800">
        <v>3560367.4</v>
      </c>
      <c r="M800">
        <v>2127438.2000000002</v>
      </c>
      <c r="N800">
        <v>511254.1</v>
      </c>
      <c r="O800">
        <v>1616184.1</v>
      </c>
      <c r="P800">
        <v>1432929.2</v>
      </c>
      <c r="Q800" t="s">
        <v>139</v>
      </c>
      <c r="R800" t="s">
        <v>139</v>
      </c>
      <c r="S800" t="s">
        <v>139</v>
      </c>
      <c r="T800" t="s">
        <v>139</v>
      </c>
      <c r="U800" s="11">
        <v>1103889.1000000001</v>
      </c>
      <c r="V800" s="12">
        <v>607406</v>
      </c>
      <c r="W800" s="11">
        <v>496483.1</v>
      </c>
      <c r="X800" s="11" t="s">
        <v>139</v>
      </c>
      <c r="Y800" s="11" t="s">
        <v>139</v>
      </c>
      <c r="Z800" s="11">
        <v>776091.6</v>
      </c>
      <c r="AA800" s="11" t="s">
        <v>139</v>
      </c>
      <c r="AB800" s="11" t="s">
        <v>139</v>
      </c>
      <c r="AC800" s="11">
        <v>144630</v>
      </c>
      <c r="AD800" s="11">
        <v>1800867.2</v>
      </c>
      <c r="AE800" s="11">
        <v>442424.1</v>
      </c>
      <c r="AF800" s="11">
        <v>11732.7</v>
      </c>
      <c r="AG800" s="11">
        <v>1442600.2</v>
      </c>
      <c r="AH800" s="13">
        <v>13207223.300000001</v>
      </c>
      <c r="AI800" s="11">
        <v>9255009.5999999996</v>
      </c>
      <c r="AJ800" s="11">
        <v>1530908.3</v>
      </c>
      <c r="AK800" s="11">
        <v>7724101.2999999998</v>
      </c>
      <c r="AL800" s="11">
        <v>1564738.2</v>
      </c>
      <c r="AM800" s="11">
        <v>165185.70000000001</v>
      </c>
      <c r="AN800" s="11">
        <v>714452.4</v>
      </c>
      <c r="AO800" s="13">
        <v>11699385.800000001</v>
      </c>
      <c r="AP800" s="11">
        <v>1507837.5</v>
      </c>
      <c r="AQ800" s="11">
        <v>38175.9</v>
      </c>
      <c r="AR800" s="11" t="s">
        <v>139</v>
      </c>
      <c r="AS800">
        <f t="shared" si="16"/>
        <v>18510019.199999999</v>
      </c>
      <c r="AT800">
        <f t="shared" si="15"/>
        <v>0.71351753649180449</v>
      </c>
    </row>
    <row r="801" spans="1:46" x14ac:dyDescent="0.4">
      <c r="A801" s="3" t="s">
        <v>932</v>
      </c>
      <c r="B801">
        <v>9667475.1999999993</v>
      </c>
      <c r="C801">
        <v>2724862.4</v>
      </c>
      <c r="D801">
        <v>1856706.2</v>
      </c>
      <c r="E801">
        <v>1339311.8999999999</v>
      </c>
      <c r="F801">
        <v>517394.3</v>
      </c>
      <c r="G801">
        <v>868156.2</v>
      </c>
      <c r="H801">
        <v>140786.70000000001</v>
      </c>
      <c r="I801">
        <v>727369.5</v>
      </c>
      <c r="J801">
        <v>6942612.9000000004</v>
      </c>
      <c r="K801">
        <v>1491535.5</v>
      </c>
      <c r="L801">
        <v>3553873</v>
      </c>
      <c r="M801">
        <v>2122280.4</v>
      </c>
      <c r="N801">
        <v>508799.4</v>
      </c>
      <c r="O801">
        <v>1613481</v>
      </c>
      <c r="P801">
        <v>1431592.6</v>
      </c>
      <c r="Q801" t="s">
        <v>139</v>
      </c>
      <c r="R801" t="s">
        <v>139</v>
      </c>
      <c r="S801" t="s">
        <v>139</v>
      </c>
      <c r="T801" t="s">
        <v>139</v>
      </c>
      <c r="U801" s="11">
        <v>1108683.3999999999</v>
      </c>
      <c r="V801" s="12">
        <v>608895.69999999995</v>
      </c>
      <c r="W801" s="11">
        <v>499787.7</v>
      </c>
      <c r="X801" s="11" t="s">
        <v>139</v>
      </c>
      <c r="Y801" s="11" t="s">
        <v>139</v>
      </c>
      <c r="Z801" s="11">
        <v>788521</v>
      </c>
      <c r="AA801" s="11" t="s">
        <v>139</v>
      </c>
      <c r="AB801" s="11" t="s">
        <v>139</v>
      </c>
      <c r="AC801" s="11">
        <v>143225.1</v>
      </c>
      <c r="AD801" s="11">
        <v>1841690.7</v>
      </c>
      <c r="AE801" s="11">
        <v>437242.5</v>
      </c>
      <c r="AF801" s="11">
        <v>11572.1</v>
      </c>
      <c r="AG801" s="11">
        <v>1437608.6</v>
      </c>
      <c r="AH801" s="13">
        <v>13252363.9</v>
      </c>
      <c r="AI801" s="11">
        <v>9263505.9000000004</v>
      </c>
      <c r="AJ801" s="11">
        <v>1537320.3</v>
      </c>
      <c r="AK801" s="11">
        <v>7726185.5999999996</v>
      </c>
      <c r="AL801" s="11">
        <v>1561381.3</v>
      </c>
      <c r="AM801" s="11">
        <v>192861.7</v>
      </c>
      <c r="AN801" s="11">
        <v>708517.7</v>
      </c>
      <c r="AO801" s="13">
        <v>11726266.6</v>
      </c>
      <c r="AP801" s="11">
        <v>1526097.3</v>
      </c>
      <c r="AQ801" s="11">
        <v>34066.5</v>
      </c>
      <c r="AR801" s="11" t="s">
        <v>139</v>
      </c>
      <c r="AS801">
        <f t="shared" si="16"/>
        <v>18527011.800000001</v>
      </c>
      <c r="AT801">
        <f t="shared" si="15"/>
        <v>0.71529958759998202</v>
      </c>
    </row>
    <row r="802" spans="1:46" x14ac:dyDescent="0.4">
      <c r="A802" s="3" t="s">
        <v>933</v>
      </c>
      <c r="B802">
        <v>9669757.6999999993</v>
      </c>
      <c r="C802">
        <v>2722733.3</v>
      </c>
      <c r="D802">
        <v>1850805.7</v>
      </c>
      <c r="E802">
        <v>1339186.2</v>
      </c>
      <c r="F802">
        <v>511619.5</v>
      </c>
      <c r="G802">
        <v>871927.6</v>
      </c>
      <c r="H802">
        <v>140827.6</v>
      </c>
      <c r="I802">
        <v>731100</v>
      </c>
      <c r="J802">
        <v>6947024.4000000004</v>
      </c>
      <c r="K802">
        <v>1499847.7</v>
      </c>
      <c r="L802">
        <v>3548808</v>
      </c>
      <c r="M802">
        <v>2115572.1</v>
      </c>
      <c r="N802">
        <v>505381.7</v>
      </c>
      <c r="O802">
        <v>1610190.5</v>
      </c>
      <c r="P802">
        <v>1433235.8</v>
      </c>
      <c r="Q802" t="s">
        <v>139</v>
      </c>
      <c r="R802" t="s">
        <v>139</v>
      </c>
      <c r="S802" t="s">
        <v>139</v>
      </c>
      <c r="T802" t="s">
        <v>139</v>
      </c>
      <c r="U802" s="11">
        <v>1112744.2</v>
      </c>
      <c r="V802" s="12">
        <v>611177.6</v>
      </c>
      <c r="W802" s="11">
        <v>501566.6</v>
      </c>
      <c r="X802" s="11" t="s">
        <v>139</v>
      </c>
      <c r="Y802" s="11" t="s">
        <v>139</v>
      </c>
      <c r="Z802" s="11">
        <v>785624.5</v>
      </c>
      <c r="AA802" s="11" t="s">
        <v>139</v>
      </c>
      <c r="AB802" s="11" t="s">
        <v>139</v>
      </c>
      <c r="AC802" s="11">
        <v>141143.9</v>
      </c>
      <c r="AD802" s="11">
        <v>1917839.1</v>
      </c>
      <c r="AE802" s="11">
        <v>437913.5</v>
      </c>
      <c r="AF802" s="11">
        <v>11675</v>
      </c>
      <c r="AG802" s="11">
        <v>1424547.9</v>
      </c>
      <c r="AH802" s="13">
        <v>13320589.300000001</v>
      </c>
      <c r="AI802" s="11">
        <v>9329484.5999999996</v>
      </c>
      <c r="AJ802" s="11">
        <v>1530280.2</v>
      </c>
      <c r="AK802" s="11">
        <v>7799204.4000000004</v>
      </c>
      <c r="AL802" s="11">
        <v>1552974</v>
      </c>
      <c r="AM802" s="11">
        <v>223656.8</v>
      </c>
      <c r="AN802" s="11">
        <v>715336.5</v>
      </c>
      <c r="AO802" s="13">
        <v>11821452</v>
      </c>
      <c r="AP802" s="11">
        <v>1499137.3</v>
      </c>
      <c r="AQ802" s="11">
        <v>33319.4</v>
      </c>
      <c r="AR802" s="11" t="s">
        <v>139</v>
      </c>
      <c r="AS802">
        <f t="shared" si="16"/>
        <v>18658969.199999999</v>
      </c>
      <c r="AT802">
        <f t="shared" si="15"/>
        <v>0.71389738399911185</v>
      </c>
    </row>
    <row r="803" spans="1:46" x14ac:dyDescent="0.4">
      <c r="A803" s="3" t="s">
        <v>934</v>
      </c>
      <c r="B803">
        <v>9727666.1999999993</v>
      </c>
      <c r="C803">
        <v>2754709.6</v>
      </c>
      <c r="D803">
        <v>1870637.8</v>
      </c>
      <c r="E803">
        <v>1363585.1</v>
      </c>
      <c r="F803">
        <v>507052.7</v>
      </c>
      <c r="G803">
        <v>884071.8</v>
      </c>
      <c r="H803">
        <v>140150.20000000001</v>
      </c>
      <c r="I803">
        <v>743921.6</v>
      </c>
      <c r="J803">
        <v>6972956.5</v>
      </c>
      <c r="K803">
        <v>1507262.4</v>
      </c>
      <c r="L803">
        <v>3552614</v>
      </c>
      <c r="M803">
        <v>2114819.2000000002</v>
      </c>
      <c r="N803">
        <v>499617</v>
      </c>
      <c r="O803">
        <v>1615202.2</v>
      </c>
      <c r="P803">
        <v>1437794.8</v>
      </c>
      <c r="Q803" t="s">
        <v>139</v>
      </c>
      <c r="R803" t="s">
        <v>139</v>
      </c>
      <c r="S803" t="s">
        <v>139</v>
      </c>
      <c r="T803" t="s">
        <v>139</v>
      </c>
      <c r="U803" s="11">
        <v>1116299.6000000001</v>
      </c>
      <c r="V803" s="12">
        <v>611867.1</v>
      </c>
      <c r="W803" s="11">
        <v>504432.5</v>
      </c>
      <c r="X803" s="11" t="s">
        <v>139</v>
      </c>
      <c r="Y803" s="11" t="s">
        <v>139</v>
      </c>
      <c r="Z803" s="11">
        <v>796780.5</v>
      </c>
      <c r="AA803" s="11" t="s">
        <v>139</v>
      </c>
      <c r="AB803" s="11" t="s">
        <v>139</v>
      </c>
      <c r="AC803" s="11">
        <v>139116.1</v>
      </c>
      <c r="AD803" s="11">
        <v>1953249.4</v>
      </c>
      <c r="AE803" s="11">
        <v>434145.7</v>
      </c>
      <c r="AF803" s="11">
        <v>12401.2</v>
      </c>
      <c r="AG803" s="11">
        <v>1396110.3</v>
      </c>
      <c r="AH803" s="13">
        <v>13384456.800000001</v>
      </c>
      <c r="AI803" s="11">
        <v>9365379.5999999996</v>
      </c>
      <c r="AJ803" s="11">
        <v>1512496.5</v>
      </c>
      <c r="AK803" s="11">
        <v>7852883.0999999996</v>
      </c>
      <c r="AL803" s="11">
        <v>1538109.8</v>
      </c>
      <c r="AM803" s="11">
        <v>251129.8</v>
      </c>
      <c r="AN803" s="11">
        <v>719615.3</v>
      </c>
      <c r="AO803" s="13">
        <v>11874234.6</v>
      </c>
      <c r="AP803" s="11">
        <v>1510222.2</v>
      </c>
      <c r="AQ803" s="11">
        <v>36505.4</v>
      </c>
      <c r="AR803" s="11" t="s">
        <v>139</v>
      </c>
      <c r="AS803">
        <f t="shared" si="16"/>
        <v>18730759.199999999</v>
      </c>
      <c r="AT803">
        <f t="shared" si="15"/>
        <v>0.71457097158133354</v>
      </c>
    </row>
    <row r="804" spans="1:46" x14ac:dyDescent="0.4">
      <c r="A804" s="3" t="s">
        <v>935</v>
      </c>
      <c r="B804">
        <v>9726136.8000000007</v>
      </c>
      <c r="C804">
        <v>2744794.7</v>
      </c>
      <c r="D804">
        <v>1852543.1</v>
      </c>
      <c r="E804">
        <v>1360464.1</v>
      </c>
      <c r="F804">
        <v>492078.9</v>
      </c>
      <c r="G804">
        <v>892251.6</v>
      </c>
      <c r="H804">
        <v>140905.20000000001</v>
      </c>
      <c r="I804">
        <v>751346.4</v>
      </c>
      <c r="J804">
        <v>6981342.2000000002</v>
      </c>
      <c r="K804">
        <v>1510267.8</v>
      </c>
      <c r="L804">
        <v>3545233.2</v>
      </c>
      <c r="M804">
        <v>2100498.2999999998</v>
      </c>
      <c r="N804">
        <v>494729.4</v>
      </c>
      <c r="O804">
        <v>1605769</v>
      </c>
      <c r="P804">
        <v>1444734.9</v>
      </c>
      <c r="Q804" t="s">
        <v>139</v>
      </c>
      <c r="R804" t="s">
        <v>139</v>
      </c>
      <c r="S804" t="s">
        <v>139</v>
      </c>
      <c r="T804" t="s">
        <v>139</v>
      </c>
      <c r="U804" s="11">
        <v>1120915.5</v>
      </c>
      <c r="V804" s="12">
        <v>613426.4</v>
      </c>
      <c r="W804" s="11">
        <v>507489.1</v>
      </c>
      <c r="X804" s="11" t="s">
        <v>139</v>
      </c>
      <c r="Y804" s="11" t="s">
        <v>139</v>
      </c>
      <c r="Z804" s="11">
        <v>804925.7</v>
      </c>
      <c r="AA804" s="11" t="s">
        <v>139</v>
      </c>
      <c r="AB804" s="11" t="s">
        <v>139</v>
      </c>
      <c r="AC804" s="11">
        <v>137666.29999999999</v>
      </c>
      <c r="AD804" s="11">
        <v>2059251.9</v>
      </c>
      <c r="AE804" s="11">
        <v>419923</v>
      </c>
      <c r="AF804" s="11">
        <v>13413.2</v>
      </c>
      <c r="AG804" s="11">
        <v>1388964.6</v>
      </c>
      <c r="AH804" s="13">
        <v>13470023.199999999</v>
      </c>
      <c r="AI804" s="11">
        <v>9389236.6999999993</v>
      </c>
      <c r="AJ804" s="11">
        <v>1521529.4</v>
      </c>
      <c r="AK804" s="11">
        <v>7867707.2999999998</v>
      </c>
      <c r="AL804" s="11">
        <v>1535819.8</v>
      </c>
      <c r="AM804" s="11">
        <v>337207.3</v>
      </c>
      <c r="AN804" s="11">
        <v>707069.9</v>
      </c>
      <c r="AO804" s="13">
        <v>11969333.699999999</v>
      </c>
      <c r="AP804" s="11">
        <v>1500689.6</v>
      </c>
      <c r="AQ804" s="11">
        <v>32883.199999999997</v>
      </c>
      <c r="AR804" s="11" t="s">
        <v>139</v>
      </c>
      <c r="AS804">
        <f t="shared" si="16"/>
        <v>18778473.399999999</v>
      </c>
      <c r="AT804">
        <f t="shared" si="15"/>
        <v>0.7173119408098424</v>
      </c>
    </row>
    <row r="805" spans="1:46" x14ac:dyDescent="0.4">
      <c r="A805" s="3" t="s">
        <v>936</v>
      </c>
      <c r="B805">
        <v>9734494</v>
      </c>
      <c r="C805">
        <v>2732370</v>
      </c>
      <c r="D805">
        <v>1845248.7</v>
      </c>
      <c r="E805">
        <v>1358601.2</v>
      </c>
      <c r="F805">
        <v>486647.5</v>
      </c>
      <c r="G805">
        <v>887121.3</v>
      </c>
      <c r="H805">
        <v>141074.1</v>
      </c>
      <c r="I805">
        <v>746047.2</v>
      </c>
      <c r="J805">
        <v>7002124</v>
      </c>
      <c r="K805">
        <v>1521744.9</v>
      </c>
      <c r="L805">
        <v>3544234.1</v>
      </c>
      <c r="M805">
        <v>2095112.6</v>
      </c>
      <c r="N805">
        <v>491487.5</v>
      </c>
      <c r="O805">
        <v>1603625.1</v>
      </c>
      <c r="P805">
        <v>1449121.5</v>
      </c>
      <c r="Q805" t="s">
        <v>139</v>
      </c>
      <c r="R805" t="s">
        <v>139</v>
      </c>
      <c r="S805" t="s">
        <v>139</v>
      </c>
      <c r="T805" t="s">
        <v>139</v>
      </c>
      <c r="U805" s="11">
        <v>1125393.8</v>
      </c>
      <c r="V805" s="12">
        <v>614791.19999999995</v>
      </c>
      <c r="W805" s="11">
        <v>510602.5</v>
      </c>
      <c r="X805" s="11" t="s">
        <v>139</v>
      </c>
      <c r="Y805" s="11" t="s">
        <v>139</v>
      </c>
      <c r="Z805" s="11">
        <v>810751.1</v>
      </c>
      <c r="AA805" s="11" t="s">
        <v>139</v>
      </c>
      <c r="AB805" s="11" t="s">
        <v>139</v>
      </c>
      <c r="AC805" s="11">
        <v>135593.20000000001</v>
      </c>
      <c r="AD805" s="11">
        <v>2133832.5</v>
      </c>
      <c r="AE805" s="11">
        <v>407360</v>
      </c>
      <c r="AF805" s="11">
        <v>13695.5</v>
      </c>
      <c r="AG805" s="11">
        <v>1382235.5</v>
      </c>
      <c r="AH805" s="13">
        <v>13536024.300000001</v>
      </c>
      <c r="AI805" s="11">
        <v>9429025.3000000007</v>
      </c>
      <c r="AJ805" s="11">
        <v>1543285</v>
      </c>
      <c r="AK805" s="11">
        <v>7885740.2999999998</v>
      </c>
      <c r="AL805" s="11">
        <v>1524178.2</v>
      </c>
      <c r="AM805" s="11">
        <v>393921.4</v>
      </c>
      <c r="AN805" s="11">
        <v>691290.4</v>
      </c>
      <c r="AO805" s="13">
        <v>12038415.300000001</v>
      </c>
      <c r="AP805" s="11">
        <v>1497609</v>
      </c>
      <c r="AQ805" s="11">
        <v>11407.2</v>
      </c>
      <c r="AR805" s="11" t="s">
        <v>139</v>
      </c>
      <c r="AS805">
        <f t="shared" si="16"/>
        <v>18858050.600000001</v>
      </c>
      <c r="AT805">
        <f t="shared" si="15"/>
        <v>0.71778491781117604</v>
      </c>
    </row>
    <row r="806" spans="1:46" x14ac:dyDescent="0.4">
      <c r="A806" s="3" t="s">
        <v>937</v>
      </c>
      <c r="B806">
        <v>9728207.0999999996</v>
      </c>
      <c r="C806">
        <v>2710821.1</v>
      </c>
      <c r="D806">
        <v>1821179.9</v>
      </c>
      <c r="E806">
        <v>1349917.1</v>
      </c>
      <c r="F806">
        <v>471262.7</v>
      </c>
      <c r="G806">
        <v>889641.2</v>
      </c>
      <c r="H806">
        <v>141368.29999999999</v>
      </c>
      <c r="I806">
        <v>748272.9</v>
      </c>
      <c r="J806">
        <v>7017386.0999999996</v>
      </c>
      <c r="K806">
        <v>1531759.9</v>
      </c>
      <c r="L806">
        <v>3537811.4</v>
      </c>
      <c r="M806">
        <v>2081905</v>
      </c>
      <c r="N806">
        <v>488294.9</v>
      </c>
      <c r="O806">
        <v>1593610.1</v>
      </c>
      <c r="P806">
        <v>1455906.4</v>
      </c>
      <c r="Q806" t="s">
        <v>139</v>
      </c>
      <c r="R806" t="s">
        <v>139</v>
      </c>
      <c r="S806" t="s">
        <v>139</v>
      </c>
      <c r="T806" t="s">
        <v>139</v>
      </c>
      <c r="U806" s="11">
        <v>1124464.3999999999</v>
      </c>
      <c r="V806" s="12">
        <v>611852.19999999995</v>
      </c>
      <c r="W806" s="11">
        <v>512612.2</v>
      </c>
      <c r="X806" s="11" t="s">
        <v>139</v>
      </c>
      <c r="Y806" s="11" t="s">
        <v>139</v>
      </c>
      <c r="Z806" s="11">
        <v>823350.4</v>
      </c>
      <c r="AA806" s="11" t="s">
        <v>139</v>
      </c>
      <c r="AB806" s="11" t="s">
        <v>139</v>
      </c>
      <c r="AC806" s="11">
        <v>133358.39999999999</v>
      </c>
      <c r="AD806" s="11">
        <v>2201976.2000000002</v>
      </c>
      <c r="AE806" s="11">
        <v>398207.3</v>
      </c>
      <c r="AF806" s="11">
        <v>13962.5</v>
      </c>
      <c r="AG806" s="11">
        <v>1367992.9</v>
      </c>
      <c r="AH806" s="13">
        <v>13576987.699999999</v>
      </c>
      <c r="AI806" s="11">
        <v>9489833.5999999996</v>
      </c>
      <c r="AJ806" s="11">
        <v>1556052.6</v>
      </c>
      <c r="AK806" s="11">
        <v>7933781</v>
      </c>
      <c r="AL806" s="11">
        <v>1510451.6</v>
      </c>
      <c r="AM806" s="11">
        <v>425073.8</v>
      </c>
      <c r="AN806" s="11">
        <v>665420.9</v>
      </c>
      <c r="AO806" s="13">
        <v>12090779.800000001</v>
      </c>
      <c r="AP806" s="11">
        <v>1486207.9</v>
      </c>
      <c r="AQ806" s="11">
        <v>-5564.8</v>
      </c>
      <c r="AR806" s="11" t="s">
        <v>139</v>
      </c>
      <c r="AS806">
        <f t="shared" si="16"/>
        <v>18979667.199999999</v>
      </c>
      <c r="AT806">
        <f t="shared" si="15"/>
        <v>0.71534382331003143</v>
      </c>
    </row>
    <row r="807" spans="1:46" x14ac:dyDescent="0.4">
      <c r="A807" s="3" t="s">
        <v>938</v>
      </c>
      <c r="B807">
        <v>9718144</v>
      </c>
      <c r="C807">
        <v>2700184.2</v>
      </c>
      <c r="D807">
        <v>1802418.8</v>
      </c>
      <c r="E807">
        <v>1333945.8999999999</v>
      </c>
      <c r="F807">
        <v>468472.9</v>
      </c>
      <c r="G807">
        <v>897765.4</v>
      </c>
      <c r="H807">
        <v>144428.20000000001</v>
      </c>
      <c r="I807">
        <v>753337.2</v>
      </c>
      <c r="J807">
        <v>7017959.7999999998</v>
      </c>
      <c r="K807">
        <v>1533296.9</v>
      </c>
      <c r="L807">
        <v>3527819.8</v>
      </c>
      <c r="M807">
        <v>2063497</v>
      </c>
      <c r="N807">
        <v>486167.3</v>
      </c>
      <c r="O807">
        <v>1577329.7</v>
      </c>
      <c r="P807">
        <v>1464322.8</v>
      </c>
      <c r="Q807" t="s">
        <v>139</v>
      </c>
      <c r="R807" t="s">
        <v>139</v>
      </c>
      <c r="S807" t="s">
        <v>139</v>
      </c>
      <c r="T807" t="s">
        <v>139</v>
      </c>
      <c r="U807" s="11">
        <v>1127304.1000000001</v>
      </c>
      <c r="V807" s="12">
        <v>611452.69999999995</v>
      </c>
      <c r="W807" s="11">
        <v>515851.5</v>
      </c>
      <c r="X807" s="11" t="s">
        <v>139</v>
      </c>
      <c r="Y807" s="11" t="s">
        <v>139</v>
      </c>
      <c r="Z807" s="11">
        <v>829538.9</v>
      </c>
      <c r="AA807" s="11" t="s">
        <v>139</v>
      </c>
      <c r="AB807" s="11" t="s">
        <v>139</v>
      </c>
      <c r="AC807" s="11">
        <v>131338.6</v>
      </c>
      <c r="AD807" s="11">
        <v>2307854.5</v>
      </c>
      <c r="AE807" s="11">
        <v>388850.4</v>
      </c>
      <c r="AF807" s="11">
        <v>14544.5</v>
      </c>
      <c r="AG807" s="11">
        <v>1352440.8</v>
      </c>
      <c r="AH807" s="13">
        <v>13650495.6</v>
      </c>
      <c r="AI807" s="11">
        <v>9533875.8000000007</v>
      </c>
      <c r="AJ807" s="11">
        <v>1558403.6</v>
      </c>
      <c r="AK807" s="11">
        <v>7975472.2999999998</v>
      </c>
      <c r="AL807" s="11">
        <v>1513024.7</v>
      </c>
      <c r="AM807" s="11">
        <v>468103.2</v>
      </c>
      <c r="AN807" s="11">
        <v>652421.6</v>
      </c>
      <c r="AO807" s="13">
        <v>12167425.300000001</v>
      </c>
      <c r="AP807" s="11">
        <v>1483070.3</v>
      </c>
      <c r="AQ807" s="11">
        <v>-11977.6</v>
      </c>
      <c r="AR807" s="11" t="s">
        <v>139</v>
      </c>
      <c r="AS807">
        <f t="shared" si="16"/>
        <v>19067751.699999999</v>
      </c>
      <c r="AT807">
        <f t="shared" si="15"/>
        <v>0.71589434427132803</v>
      </c>
    </row>
    <row r="808" spans="1:46" x14ac:dyDescent="0.4">
      <c r="A808" s="3" t="s">
        <v>939</v>
      </c>
      <c r="B808">
        <v>9729784</v>
      </c>
      <c r="C808">
        <v>2690773.1</v>
      </c>
      <c r="D808">
        <v>1793018.4</v>
      </c>
      <c r="E808">
        <v>1325197</v>
      </c>
      <c r="F808">
        <v>467821.5</v>
      </c>
      <c r="G808">
        <v>897754.7</v>
      </c>
      <c r="H808">
        <v>142614.6</v>
      </c>
      <c r="I808">
        <v>755140.1</v>
      </c>
      <c r="J808">
        <v>7039010.7999999998</v>
      </c>
      <c r="K808">
        <v>1539969.8</v>
      </c>
      <c r="L808">
        <v>3527126.2</v>
      </c>
      <c r="M808">
        <v>2055116.3</v>
      </c>
      <c r="N808">
        <v>483201.3</v>
      </c>
      <c r="O808">
        <v>1571915</v>
      </c>
      <c r="P808">
        <v>1472010</v>
      </c>
      <c r="Q808" t="s">
        <v>139</v>
      </c>
      <c r="R808" t="s">
        <v>139</v>
      </c>
      <c r="S808" t="s">
        <v>139</v>
      </c>
      <c r="T808" t="s">
        <v>139</v>
      </c>
      <c r="U808" s="11">
        <v>1129958.8999999999</v>
      </c>
      <c r="V808" s="12">
        <v>611774.6</v>
      </c>
      <c r="W808" s="11">
        <v>518184.4</v>
      </c>
      <c r="X808" s="11" t="s">
        <v>139</v>
      </c>
      <c r="Y808" s="11" t="s">
        <v>139</v>
      </c>
      <c r="Z808" s="11">
        <v>841955.9</v>
      </c>
      <c r="AA808" s="11" t="s">
        <v>139</v>
      </c>
      <c r="AB808" s="11" t="s">
        <v>139</v>
      </c>
      <c r="AC808" s="11">
        <v>129578.7</v>
      </c>
      <c r="AD808" s="11">
        <v>2430560.2999999998</v>
      </c>
      <c r="AE808" s="11">
        <v>391228.9</v>
      </c>
      <c r="AF808" s="11">
        <v>15633.7</v>
      </c>
      <c r="AG808" s="11">
        <v>1343700.6</v>
      </c>
      <c r="AH808" s="13">
        <v>13781328.800000001</v>
      </c>
      <c r="AI808" s="11">
        <v>9598757.8000000007</v>
      </c>
      <c r="AJ808" s="11">
        <v>1590429.4</v>
      </c>
      <c r="AK808" s="11">
        <v>8008328.4000000004</v>
      </c>
      <c r="AL808" s="11">
        <v>1521335.4</v>
      </c>
      <c r="AM808" s="11">
        <v>527582.5</v>
      </c>
      <c r="AN808" s="11">
        <v>636294.69999999995</v>
      </c>
      <c r="AO808" s="13">
        <v>12283970.4</v>
      </c>
      <c r="AP808" s="11">
        <v>1497358.4</v>
      </c>
      <c r="AQ808" s="11">
        <v>-10455.9</v>
      </c>
      <c r="AR808" s="11" t="s">
        <v>139</v>
      </c>
      <c r="AS808">
        <f t="shared" si="16"/>
        <v>19197515.600000001</v>
      </c>
      <c r="AT808">
        <f t="shared" si="15"/>
        <v>0.71787043110932536</v>
      </c>
    </row>
    <row r="809" spans="1:46" x14ac:dyDescent="0.4">
      <c r="A809" s="3" t="s">
        <v>940</v>
      </c>
      <c r="B809">
        <v>9760757.3000000007</v>
      </c>
      <c r="C809">
        <v>2695714.1</v>
      </c>
      <c r="D809">
        <v>1792215</v>
      </c>
      <c r="E809">
        <v>1322310.1000000001</v>
      </c>
      <c r="F809">
        <v>469904.8</v>
      </c>
      <c r="G809">
        <v>903499.2</v>
      </c>
      <c r="H809">
        <v>141629.1</v>
      </c>
      <c r="I809">
        <v>761870.1</v>
      </c>
      <c r="J809">
        <v>7065043.2000000002</v>
      </c>
      <c r="K809">
        <v>1549320.8</v>
      </c>
      <c r="L809">
        <v>3524135.2</v>
      </c>
      <c r="M809">
        <v>2043371.7</v>
      </c>
      <c r="N809">
        <v>480231</v>
      </c>
      <c r="O809">
        <v>1563140.6</v>
      </c>
      <c r="P809">
        <v>1480763.6</v>
      </c>
      <c r="Q809" t="s">
        <v>139</v>
      </c>
      <c r="R809" t="s">
        <v>139</v>
      </c>
      <c r="S809" t="s">
        <v>139</v>
      </c>
      <c r="T809" t="s">
        <v>139</v>
      </c>
      <c r="U809" s="11">
        <v>1135163.5</v>
      </c>
      <c r="V809" s="12">
        <v>614029</v>
      </c>
      <c r="W809" s="11">
        <v>521134.5</v>
      </c>
      <c r="X809" s="11" t="s">
        <v>139</v>
      </c>
      <c r="Y809" s="11" t="s">
        <v>139</v>
      </c>
      <c r="Z809" s="11">
        <v>856423.6</v>
      </c>
      <c r="AA809" s="11" t="s">
        <v>139</v>
      </c>
      <c r="AB809" s="11" t="s">
        <v>139</v>
      </c>
      <c r="AC809" s="11">
        <v>127432.7</v>
      </c>
      <c r="AD809" s="11">
        <v>2529193.2000000002</v>
      </c>
      <c r="AE809" s="11">
        <v>383108</v>
      </c>
      <c r="AF809" s="11">
        <v>14936.2</v>
      </c>
      <c r="AG809" s="11">
        <v>1328687.6000000001</v>
      </c>
      <c r="AH809" s="13">
        <v>13889249.699999999</v>
      </c>
      <c r="AI809" s="11">
        <v>9687492.3000000007</v>
      </c>
      <c r="AJ809" s="11">
        <v>1563248.6</v>
      </c>
      <c r="AK809" s="11">
        <v>8124243.7000000002</v>
      </c>
      <c r="AL809" s="11">
        <v>1533821.1</v>
      </c>
      <c r="AM809" s="11">
        <v>519889</v>
      </c>
      <c r="AN809" s="11">
        <v>628945.9</v>
      </c>
      <c r="AO809" s="13">
        <v>12370148.300000001</v>
      </c>
      <c r="AP809" s="11">
        <v>1519101.4</v>
      </c>
      <c r="AQ809" s="11">
        <v>-679.4</v>
      </c>
      <c r="AR809" s="11" t="s">
        <v>139</v>
      </c>
      <c r="AS809">
        <f t="shared" si="16"/>
        <v>19374984.600000001</v>
      </c>
      <c r="AT809">
        <f t="shared" si="15"/>
        <v>0.71686507043726877</v>
      </c>
    </row>
    <row r="810" spans="1:46" x14ac:dyDescent="0.4">
      <c r="A810" s="3" t="s">
        <v>941</v>
      </c>
      <c r="B810">
        <v>9794618.5999999996</v>
      </c>
      <c r="C810">
        <v>2709389.5</v>
      </c>
      <c r="D810">
        <v>1802693.3</v>
      </c>
      <c r="E810">
        <v>1327863.7</v>
      </c>
      <c r="F810">
        <v>474829.6</v>
      </c>
      <c r="G810">
        <v>906696.2</v>
      </c>
      <c r="H810">
        <v>141662.29999999999</v>
      </c>
      <c r="I810">
        <v>765033.9</v>
      </c>
      <c r="J810">
        <v>7085229.0999999996</v>
      </c>
      <c r="K810">
        <v>1558604.4</v>
      </c>
      <c r="L810">
        <v>3529938.7</v>
      </c>
      <c r="M810">
        <v>2038167.2</v>
      </c>
      <c r="N810">
        <v>476380.3</v>
      </c>
      <c r="O810">
        <v>1561786.9</v>
      </c>
      <c r="P810">
        <v>1491771.6</v>
      </c>
      <c r="Q810" t="s">
        <v>139</v>
      </c>
      <c r="R810" t="s">
        <v>139</v>
      </c>
      <c r="S810" t="s">
        <v>139</v>
      </c>
      <c r="T810" t="s">
        <v>139</v>
      </c>
      <c r="U810" s="11">
        <v>1130894.8999999999</v>
      </c>
      <c r="V810" s="12">
        <v>606042.6</v>
      </c>
      <c r="W810" s="11">
        <v>524852.30000000005</v>
      </c>
      <c r="X810" s="11" t="s">
        <v>139</v>
      </c>
      <c r="Y810" s="11" t="s">
        <v>139</v>
      </c>
      <c r="Z810" s="11">
        <v>865791</v>
      </c>
      <c r="AA810" s="11" t="s">
        <v>139</v>
      </c>
      <c r="AB810" s="11" t="s">
        <v>139</v>
      </c>
      <c r="AC810" s="11">
        <v>125887.2</v>
      </c>
      <c r="AD810" s="11">
        <v>2586150.2999999998</v>
      </c>
      <c r="AE810" s="11">
        <v>378762.2</v>
      </c>
      <c r="AF810" s="11">
        <v>11537.9</v>
      </c>
      <c r="AG810" s="11">
        <v>1314789.3</v>
      </c>
      <c r="AH810" s="13">
        <v>13959971.199999999</v>
      </c>
      <c r="AI810" s="11">
        <v>9723193.9000000004</v>
      </c>
      <c r="AJ810" s="11">
        <v>1590541.9</v>
      </c>
      <c r="AK810" s="11">
        <v>8132652.0999999996</v>
      </c>
      <c r="AL810" s="11">
        <v>1545326.6</v>
      </c>
      <c r="AM810" s="11">
        <v>562776.30000000005</v>
      </c>
      <c r="AN810" s="11">
        <v>616814.5</v>
      </c>
      <c r="AO810" s="13">
        <v>12448111.4</v>
      </c>
      <c r="AP810" s="11">
        <v>1511859.8</v>
      </c>
      <c r="AQ810" s="11">
        <v>-1271.7</v>
      </c>
      <c r="AR810" s="11" t="s">
        <v>139</v>
      </c>
      <c r="AS810">
        <f t="shared" si="16"/>
        <v>19446387.899999999</v>
      </c>
      <c r="AT810">
        <f t="shared" si="15"/>
        <v>0.71786962554624345</v>
      </c>
    </row>
    <row r="811" spans="1:46" x14ac:dyDescent="0.4">
      <c r="A811" s="3" t="s">
        <v>942</v>
      </c>
      <c r="B811">
        <v>9828201.4000000004</v>
      </c>
      <c r="C811">
        <v>2722120.6</v>
      </c>
      <c r="D811">
        <v>1809262.4</v>
      </c>
      <c r="E811">
        <v>1326707.8</v>
      </c>
      <c r="F811">
        <v>482554.6</v>
      </c>
      <c r="G811">
        <v>912858.3</v>
      </c>
      <c r="H811">
        <v>140812.5</v>
      </c>
      <c r="I811">
        <v>772045.8</v>
      </c>
      <c r="J811">
        <v>7106080.7999999998</v>
      </c>
      <c r="K811">
        <v>1574349.6</v>
      </c>
      <c r="L811">
        <v>3531845.9</v>
      </c>
      <c r="M811">
        <v>2033552.8</v>
      </c>
      <c r="N811">
        <v>473751.1</v>
      </c>
      <c r="O811">
        <v>1559801.7</v>
      </c>
      <c r="P811">
        <v>1498293.1</v>
      </c>
      <c r="Q811" t="s">
        <v>139</v>
      </c>
      <c r="R811" t="s">
        <v>139</v>
      </c>
      <c r="S811" t="s">
        <v>139</v>
      </c>
      <c r="T811" t="s">
        <v>139</v>
      </c>
      <c r="U811" s="11">
        <v>1128151.3999999999</v>
      </c>
      <c r="V811" s="12">
        <v>600226.69999999995</v>
      </c>
      <c r="W811" s="11">
        <v>527924.69999999995</v>
      </c>
      <c r="X811" s="11" t="s">
        <v>139</v>
      </c>
      <c r="Y811" s="11" t="s">
        <v>139</v>
      </c>
      <c r="Z811" s="11">
        <v>871733.8</v>
      </c>
      <c r="AA811" s="11" t="s">
        <v>139</v>
      </c>
      <c r="AB811" s="11" t="s">
        <v>139</v>
      </c>
      <c r="AC811" s="11">
        <v>123940.9</v>
      </c>
      <c r="AD811" s="11">
        <v>2645959.2999999998</v>
      </c>
      <c r="AE811" s="11">
        <v>370827.2</v>
      </c>
      <c r="AF811" s="11">
        <v>11162.4</v>
      </c>
      <c r="AG811" s="11">
        <v>1332266.3999999999</v>
      </c>
      <c r="AH811" s="13">
        <v>14064475.800000001</v>
      </c>
      <c r="AI811" s="11">
        <v>9803196.6999999993</v>
      </c>
      <c r="AJ811" s="11">
        <v>1602658.6</v>
      </c>
      <c r="AK811" s="11">
        <v>8200538.0999999996</v>
      </c>
      <c r="AL811" s="11">
        <v>1541524.3</v>
      </c>
      <c r="AM811" s="11">
        <v>541908.9</v>
      </c>
      <c r="AN811" s="11">
        <v>622921.69999999995</v>
      </c>
      <c r="AO811" s="13">
        <v>12509551.5</v>
      </c>
      <c r="AP811" s="11">
        <v>1554924.3</v>
      </c>
      <c r="AQ811" s="11">
        <v>-8737.2999999999993</v>
      </c>
      <c r="AR811" s="11" t="s">
        <v>139</v>
      </c>
      <c r="AS811">
        <f t="shared" si="16"/>
        <v>19606393.399999999</v>
      </c>
      <c r="AT811">
        <f t="shared" si="15"/>
        <v>0.71734130357702619</v>
      </c>
    </row>
    <row r="812" spans="1:46" x14ac:dyDescent="0.4">
      <c r="A812" s="3" t="s">
        <v>943</v>
      </c>
      <c r="B812">
        <v>9861145.8000000007</v>
      </c>
      <c r="C812">
        <v>2730651.8</v>
      </c>
      <c r="D812">
        <v>1819521.1</v>
      </c>
      <c r="E812">
        <v>1333233</v>
      </c>
      <c r="F812">
        <v>486288.2</v>
      </c>
      <c r="G812">
        <v>911130.7</v>
      </c>
      <c r="H812">
        <v>140044.1</v>
      </c>
      <c r="I812">
        <v>771086.5</v>
      </c>
      <c r="J812">
        <v>7130494</v>
      </c>
      <c r="K812">
        <v>1586746.5</v>
      </c>
      <c r="L812">
        <v>3535409.5</v>
      </c>
      <c r="M812">
        <v>2029441.9</v>
      </c>
      <c r="N812">
        <v>471189.6</v>
      </c>
      <c r="O812">
        <v>1558252.2</v>
      </c>
      <c r="P812">
        <v>1505967.6</v>
      </c>
      <c r="Q812" t="s">
        <v>139</v>
      </c>
      <c r="R812" t="s">
        <v>139</v>
      </c>
      <c r="S812" t="s">
        <v>139</v>
      </c>
      <c r="T812" t="s">
        <v>139</v>
      </c>
      <c r="U812" s="11">
        <v>1130296.7</v>
      </c>
      <c r="V812" s="12">
        <v>600510.6</v>
      </c>
      <c r="W812" s="11">
        <v>529786.1</v>
      </c>
      <c r="X812" s="11" t="s">
        <v>139</v>
      </c>
      <c r="Y812" s="11" t="s">
        <v>139</v>
      </c>
      <c r="Z812" s="11">
        <v>878041.3</v>
      </c>
      <c r="AA812" s="11" t="s">
        <v>139</v>
      </c>
      <c r="AB812" s="11" t="s">
        <v>139</v>
      </c>
      <c r="AC812" s="11">
        <v>120907.4</v>
      </c>
      <c r="AD812" s="11">
        <v>2677178.5</v>
      </c>
      <c r="AE812" s="11">
        <v>373172.2</v>
      </c>
      <c r="AF812" s="11">
        <v>11170.4</v>
      </c>
      <c r="AG812" s="11">
        <v>1327658.6000000001</v>
      </c>
      <c r="AH812" s="13">
        <v>14129418.1</v>
      </c>
      <c r="AI812" s="11">
        <v>9866126.3000000007</v>
      </c>
      <c r="AJ812" s="11">
        <v>1624435.2</v>
      </c>
      <c r="AK812" s="11">
        <v>8241691.0999999996</v>
      </c>
      <c r="AL812" s="11">
        <v>1551948</v>
      </c>
      <c r="AM812" s="11">
        <v>552879.30000000005</v>
      </c>
      <c r="AN812" s="11">
        <v>608475.30000000005</v>
      </c>
      <c r="AO812" s="13">
        <v>12579428.9</v>
      </c>
      <c r="AP812" s="11">
        <v>1549989.2</v>
      </c>
      <c r="AQ812" s="11">
        <v>-6583</v>
      </c>
      <c r="AR812" s="11" t="s">
        <v>139</v>
      </c>
      <c r="AS812">
        <f t="shared" si="16"/>
        <v>19732252.600000001</v>
      </c>
      <c r="AT812">
        <f t="shared" si="15"/>
        <v>0.7160570253393167</v>
      </c>
    </row>
    <row r="813" spans="1:46" x14ac:dyDescent="0.4">
      <c r="A813" s="3" t="s">
        <v>944</v>
      </c>
      <c r="B813">
        <v>9941431.5</v>
      </c>
      <c r="C813">
        <v>2750348.8</v>
      </c>
      <c r="D813">
        <v>1836299</v>
      </c>
      <c r="E813">
        <v>1342739.2</v>
      </c>
      <c r="F813">
        <v>493559.8</v>
      </c>
      <c r="G813">
        <v>914049.7</v>
      </c>
      <c r="H813">
        <v>138835.4</v>
      </c>
      <c r="I813">
        <v>775214.4</v>
      </c>
      <c r="J813">
        <v>7191082.7000000002</v>
      </c>
      <c r="K813">
        <v>1619924.2</v>
      </c>
      <c r="L813">
        <v>3545823.8</v>
      </c>
      <c r="M813">
        <v>2029656.2</v>
      </c>
      <c r="N813">
        <v>469349.8</v>
      </c>
      <c r="O813">
        <v>1560306.5</v>
      </c>
      <c r="P813">
        <v>1516167.6</v>
      </c>
      <c r="Q813" t="s">
        <v>139</v>
      </c>
      <c r="R813" t="s">
        <v>139</v>
      </c>
      <c r="S813" t="s">
        <v>139</v>
      </c>
      <c r="T813" t="s">
        <v>139</v>
      </c>
      <c r="U813" s="11">
        <v>1136148.6000000001</v>
      </c>
      <c r="V813" s="12">
        <v>602799.6</v>
      </c>
      <c r="W813" s="11">
        <v>533349</v>
      </c>
      <c r="X813" s="11" t="s">
        <v>139</v>
      </c>
      <c r="Y813" s="11" t="s">
        <v>139</v>
      </c>
      <c r="Z813" s="11">
        <v>889186.1</v>
      </c>
      <c r="AA813" s="11" t="s">
        <v>139</v>
      </c>
      <c r="AB813" s="11" t="s">
        <v>139</v>
      </c>
      <c r="AC813" s="11">
        <v>120054.3</v>
      </c>
      <c r="AD813" s="11">
        <v>2689557.1</v>
      </c>
      <c r="AE813" s="11">
        <v>379667.20000000001</v>
      </c>
      <c r="AF813" s="11">
        <v>11378.1</v>
      </c>
      <c r="AG813" s="11">
        <v>1325009.8999999999</v>
      </c>
      <c r="AH813" s="13">
        <v>14226989.4</v>
      </c>
      <c r="AI813" s="11">
        <v>9929216.8000000007</v>
      </c>
      <c r="AJ813" s="11">
        <v>1628077.3</v>
      </c>
      <c r="AK813" s="11">
        <v>8301139.4000000004</v>
      </c>
      <c r="AL813" s="11">
        <v>1544026.9</v>
      </c>
      <c r="AM813" s="11">
        <v>579383.9</v>
      </c>
      <c r="AN813" s="11">
        <v>602438.80000000005</v>
      </c>
      <c r="AO813" s="13">
        <v>12655066.4</v>
      </c>
      <c r="AP813" s="11">
        <v>1571923</v>
      </c>
      <c r="AQ813" s="11">
        <v>-560</v>
      </c>
      <c r="AR813" s="11" t="s">
        <v>139</v>
      </c>
      <c r="AS813">
        <f t="shared" si="16"/>
        <v>19858433.5</v>
      </c>
      <c r="AT813">
        <f t="shared" si="15"/>
        <v>0.71642052732910677</v>
      </c>
    </row>
    <row r="814" spans="1:46" x14ac:dyDescent="0.4">
      <c r="A814" s="3" t="s">
        <v>945</v>
      </c>
      <c r="B814">
        <v>10014619.199999999</v>
      </c>
      <c r="C814">
        <v>2774342.8</v>
      </c>
      <c r="D814">
        <v>1857973.2</v>
      </c>
      <c r="E814">
        <v>1347757.1</v>
      </c>
      <c r="F814">
        <v>510216.2</v>
      </c>
      <c r="G814">
        <v>916369.6</v>
      </c>
      <c r="H814">
        <v>138361.29999999999</v>
      </c>
      <c r="I814">
        <v>778008.3</v>
      </c>
      <c r="J814">
        <v>7240276.4000000004</v>
      </c>
      <c r="K814">
        <v>1634149.2</v>
      </c>
      <c r="L814">
        <v>3561077.3</v>
      </c>
      <c r="M814">
        <v>2036143.9</v>
      </c>
      <c r="N814">
        <v>469199.5</v>
      </c>
      <c r="O814">
        <v>1566944.4</v>
      </c>
      <c r="P814">
        <v>1524933.4</v>
      </c>
      <c r="Q814" t="s">
        <v>139</v>
      </c>
      <c r="R814" t="s">
        <v>139</v>
      </c>
      <c r="S814" t="s">
        <v>139</v>
      </c>
      <c r="T814" t="s">
        <v>139</v>
      </c>
      <c r="U814" s="11">
        <v>1139961.8</v>
      </c>
      <c r="V814" s="12">
        <v>603325</v>
      </c>
      <c r="W814" s="11">
        <v>536636.9</v>
      </c>
      <c r="X814" s="11" t="s">
        <v>139</v>
      </c>
      <c r="Y814" s="11" t="s">
        <v>139</v>
      </c>
      <c r="Z814" s="11">
        <v>905088.1</v>
      </c>
      <c r="AA814" s="11" t="s">
        <v>139</v>
      </c>
      <c r="AB814" s="11" t="s">
        <v>139</v>
      </c>
      <c r="AC814" s="11">
        <v>119198.6</v>
      </c>
      <c r="AD814" s="11">
        <v>2716819.2</v>
      </c>
      <c r="AE814" s="11">
        <v>391074.7</v>
      </c>
      <c r="AF814" s="11">
        <v>12236.9</v>
      </c>
      <c r="AG814" s="11">
        <v>1327476.3999999999</v>
      </c>
      <c r="AH814" s="13">
        <v>14343027.699999999</v>
      </c>
      <c r="AI814" s="11">
        <v>9996503.6999999993</v>
      </c>
      <c r="AJ814" s="11">
        <v>1643819.3</v>
      </c>
      <c r="AK814" s="11">
        <v>8352684.4000000004</v>
      </c>
      <c r="AL814" s="11">
        <v>1593655.9</v>
      </c>
      <c r="AM814" s="11">
        <v>599060.69999999995</v>
      </c>
      <c r="AN814" s="11">
        <v>611753</v>
      </c>
      <c r="AO814" s="13">
        <v>12800973.199999999</v>
      </c>
      <c r="AP814" s="11">
        <v>1542054.5</v>
      </c>
      <c r="AQ814" s="11">
        <v>-1395.9</v>
      </c>
      <c r="AR814" s="11" t="s">
        <v>139</v>
      </c>
      <c r="AS814">
        <f t="shared" si="16"/>
        <v>19993007.399999999</v>
      </c>
      <c r="AT814">
        <f t="shared" si="15"/>
        <v>0.71740221033479934</v>
      </c>
    </row>
    <row r="815" spans="1:46" x14ac:dyDescent="0.4">
      <c r="A815" s="3" t="s">
        <v>946</v>
      </c>
      <c r="B815">
        <v>10058090.699999999</v>
      </c>
      <c r="C815">
        <v>2782516.2</v>
      </c>
      <c r="D815">
        <v>1870090.7</v>
      </c>
      <c r="E815">
        <v>1345556.7</v>
      </c>
      <c r="F815">
        <v>524534</v>
      </c>
      <c r="G815">
        <v>912425.5</v>
      </c>
      <c r="H815">
        <v>136715.20000000001</v>
      </c>
      <c r="I815">
        <v>775710.3</v>
      </c>
      <c r="J815">
        <v>7275574.5999999996</v>
      </c>
      <c r="K815">
        <v>1650920</v>
      </c>
      <c r="L815">
        <v>3573752.6</v>
      </c>
      <c r="M815">
        <v>2039465.7</v>
      </c>
      <c r="N815">
        <v>467890</v>
      </c>
      <c r="O815">
        <v>1571575.7</v>
      </c>
      <c r="P815">
        <v>1534286.9</v>
      </c>
      <c r="Q815" t="s">
        <v>139</v>
      </c>
      <c r="R815" t="s">
        <v>139</v>
      </c>
      <c r="S815" t="s">
        <v>139</v>
      </c>
      <c r="T815" t="s">
        <v>139</v>
      </c>
      <c r="U815" s="11">
        <v>1147292.8999999999</v>
      </c>
      <c r="V815" s="12">
        <v>606322.19999999995</v>
      </c>
      <c r="W815" s="11">
        <v>540970.69999999995</v>
      </c>
      <c r="X815" s="11" t="s">
        <v>139</v>
      </c>
      <c r="Y815" s="11" t="s">
        <v>139</v>
      </c>
      <c r="Z815" s="11">
        <v>903609.2</v>
      </c>
      <c r="AA815" s="11" t="s">
        <v>139</v>
      </c>
      <c r="AB815" s="11" t="s">
        <v>139</v>
      </c>
      <c r="AC815" s="11">
        <v>117737.1</v>
      </c>
      <c r="AD815" s="11">
        <v>2737120.1</v>
      </c>
      <c r="AE815" s="11">
        <v>398884.4</v>
      </c>
      <c r="AF815" s="11">
        <v>11979.2</v>
      </c>
      <c r="AG815" s="11">
        <v>1331885.6000000001</v>
      </c>
      <c r="AH815" s="13">
        <v>14420223</v>
      </c>
      <c r="AI815" s="11">
        <v>10087310.5</v>
      </c>
      <c r="AJ815" s="11">
        <v>1672888.8</v>
      </c>
      <c r="AK815" s="11">
        <v>8414421.5999999996</v>
      </c>
      <c r="AL815" s="11">
        <v>1619860.6</v>
      </c>
      <c r="AM815" s="11">
        <v>577351.5</v>
      </c>
      <c r="AN815" s="11">
        <v>587910.9</v>
      </c>
      <c r="AO815" s="13">
        <v>12872433.4</v>
      </c>
      <c r="AP815" s="11">
        <v>1547789.5</v>
      </c>
      <c r="AQ815" s="11">
        <v>1594.4</v>
      </c>
      <c r="AR815" s="11" t="s">
        <v>139</v>
      </c>
      <c r="AS815">
        <f t="shared" si="16"/>
        <v>20174620.899999999</v>
      </c>
      <c r="AT815">
        <f t="shared" si="15"/>
        <v>0.71477045697547659</v>
      </c>
    </row>
    <row r="816" spans="1:46" x14ac:dyDescent="0.4">
      <c r="A816" s="3" t="s">
        <v>947</v>
      </c>
      <c r="B816">
        <v>10116399.4</v>
      </c>
      <c r="C816">
        <v>2800652.5</v>
      </c>
      <c r="D816">
        <v>1892575.5</v>
      </c>
      <c r="E816">
        <v>1350881.2</v>
      </c>
      <c r="F816">
        <v>541694.30000000005</v>
      </c>
      <c r="G816">
        <v>908077.1</v>
      </c>
      <c r="H816">
        <v>134005.79999999999</v>
      </c>
      <c r="I816">
        <v>774071.3</v>
      </c>
      <c r="J816">
        <v>7315746.9000000004</v>
      </c>
      <c r="K816">
        <v>1663543</v>
      </c>
      <c r="L816">
        <v>3581815.8</v>
      </c>
      <c r="M816">
        <v>2039213.5</v>
      </c>
      <c r="N816">
        <v>466580.9</v>
      </c>
      <c r="O816">
        <v>1572632.6</v>
      </c>
      <c r="P816">
        <v>1542602.4</v>
      </c>
      <c r="Q816" t="s">
        <v>139</v>
      </c>
      <c r="R816" t="s">
        <v>139</v>
      </c>
      <c r="S816" t="s">
        <v>139</v>
      </c>
      <c r="T816" t="s">
        <v>139</v>
      </c>
      <c r="U816" s="11">
        <v>1154801.3999999999</v>
      </c>
      <c r="V816" s="12">
        <v>609941.4</v>
      </c>
      <c r="W816" s="11">
        <v>544860</v>
      </c>
      <c r="X816" s="11" t="s">
        <v>139</v>
      </c>
      <c r="Y816" s="11" t="s">
        <v>139</v>
      </c>
      <c r="Z816" s="11">
        <v>915586.7</v>
      </c>
      <c r="AA816" s="11" t="s">
        <v>139</v>
      </c>
      <c r="AB816" s="11" t="s">
        <v>139</v>
      </c>
      <c r="AC816" s="11">
        <v>116741</v>
      </c>
      <c r="AD816" s="11">
        <v>2770983.7</v>
      </c>
      <c r="AE816" s="11">
        <v>406827.9</v>
      </c>
      <c r="AF816" s="11">
        <v>12593.4</v>
      </c>
      <c r="AG816" s="11">
        <v>1332484.3999999999</v>
      </c>
      <c r="AH816" s="13">
        <v>14522547.9</v>
      </c>
      <c r="AI816" s="11">
        <v>10141412.9</v>
      </c>
      <c r="AJ816" s="11">
        <v>1676321.8</v>
      </c>
      <c r="AK816" s="11">
        <v>8465091.0999999996</v>
      </c>
      <c r="AL816" s="11">
        <v>1638277.3</v>
      </c>
      <c r="AM816" s="11">
        <v>590756.30000000005</v>
      </c>
      <c r="AN816" s="11">
        <v>590110.6</v>
      </c>
      <c r="AO816" s="13">
        <v>12960557.1</v>
      </c>
      <c r="AP816" s="11">
        <v>1561990.8</v>
      </c>
      <c r="AQ816" s="11">
        <v>10220.299999999999</v>
      </c>
      <c r="AR816" s="11" t="s">
        <v>139</v>
      </c>
      <c r="AS816">
        <f t="shared" si="16"/>
        <v>20282825.800000001</v>
      </c>
      <c r="AT816">
        <f t="shared" si="15"/>
        <v>0.71600220024568761</v>
      </c>
    </row>
    <row r="817" spans="1:46" x14ac:dyDescent="0.4">
      <c r="A817" s="3" t="s">
        <v>948</v>
      </c>
      <c r="B817">
        <v>10181726</v>
      </c>
      <c r="C817">
        <v>2819301.9</v>
      </c>
      <c r="D817">
        <v>1909652</v>
      </c>
      <c r="E817">
        <v>1356037.6</v>
      </c>
      <c r="F817">
        <v>553614.4</v>
      </c>
      <c r="G817">
        <v>909649.9</v>
      </c>
      <c r="H817">
        <v>133516.6</v>
      </c>
      <c r="I817">
        <v>776133.3</v>
      </c>
      <c r="J817">
        <v>7362424.0999999996</v>
      </c>
      <c r="K817">
        <v>1676782.9</v>
      </c>
      <c r="L817">
        <v>3597902.3</v>
      </c>
      <c r="M817">
        <v>2045863.8</v>
      </c>
      <c r="N817">
        <v>465425.6</v>
      </c>
      <c r="O817">
        <v>1580438.2</v>
      </c>
      <c r="P817">
        <v>1552038.6</v>
      </c>
      <c r="Q817" t="s">
        <v>139</v>
      </c>
      <c r="R817" t="s">
        <v>139</v>
      </c>
      <c r="S817" t="s">
        <v>139</v>
      </c>
      <c r="T817" t="s">
        <v>139</v>
      </c>
      <c r="U817" s="11">
        <v>1160398.3999999999</v>
      </c>
      <c r="V817" s="12">
        <v>611119.6</v>
      </c>
      <c r="W817" s="11">
        <v>549278.80000000005</v>
      </c>
      <c r="X817" s="11" t="s">
        <v>139</v>
      </c>
      <c r="Y817" s="11" t="s">
        <v>139</v>
      </c>
      <c r="Z817" s="11">
        <v>927340.5</v>
      </c>
      <c r="AA817" s="11" t="s">
        <v>139</v>
      </c>
      <c r="AB817" s="11" t="s">
        <v>139</v>
      </c>
      <c r="AC817" s="11">
        <v>115568.6</v>
      </c>
      <c r="AD817" s="11">
        <v>2850691.1</v>
      </c>
      <c r="AE817" s="11">
        <v>416451.7</v>
      </c>
      <c r="AF817" s="11">
        <v>12219.2</v>
      </c>
      <c r="AG817" s="11">
        <v>1329286.8999999999</v>
      </c>
      <c r="AH817" s="13">
        <v>14674806.300000001</v>
      </c>
      <c r="AI817" s="11">
        <v>10168673.4</v>
      </c>
      <c r="AJ817" s="11">
        <v>1657359.2</v>
      </c>
      <c r="AK817" s="11">
        <v>8511314.1999999993</v>
      </c>
      <c r="AL817" s="11">
        <v>1693993</v>
      </c>
      <c r="AM817" s="11">
        <v>655800.19999999995</v>
      </c>
      <c r="AN817" s="11">
        <v>580213.5</v>
      </c>
      <c r="AO817" s="13">
        <v>13098680.1</v>
      </c>
      <c r="AP817" s="11">
        <v>1576126.2</v>
      </c>
      <c r="AQ817" s="11">
        <v>8916.2000000000007</v>
      </c>
      <c r="AR817" s="11" t="s">
        <v>139</v>
      </c>
      <c r="AS817">
        <f t="shared" si="16"/>
        <v>20337346.799999997</v>
      </c>
      <c r="AT817">
        <f t="shared" si="15"/>
        <v>0.72156935928338517</v>
      </c>
    </row>
    <row r="818" spans="1:46" x14ac:dyDescent="0.4">
      <c r="A818" s="3" t="s">
        <v>949</v>
      </c>
      <c r="B818">
        <v>10251997.6</v>
      </c>
      <c r="C818">
        <v>2848314.1</v>
      </c>
      <c r="D818">
        <v>1938973.4</v>
      </c>
      <c r="E818">
        <v>1363796.4</v>
      </c>
      <c r="F818">
        <v>575177</v>
      </c>
      <c r="G818">
        <v>909340.7</v>
      </c>
      <c r="H818">
        <v>132656.6</v>
      </c>
      <c r="I818">
        <v>776684</v>
      </c>
      <c r="J818">
        <v>7403683.5999999996</v>
      </c>
      <c r="K818">
        <v>1694786.3</v>
      </c>
      <c r="L818">
        <v>3605349.7</v>
      </c>
      <c r="M818">
        <v>2043942.9</v>
      </c>
      <c r="N818">
        <v>464052.6</v>
      </c>
      <c r="O818">
        <v>1579890.3</v>
      </c>
      <c r="P818">
        <v>1561406.8</v>
      </c>
      <c r="Q818" t="s">
        <v>139</v>
      </c>
      <c r="R818" t="s">
        <v>139</v>
      </c>
      <c r="S818" t="s">
        <v>139</v>
      </c>
      <c r="T818" t="s">
        <v>139</v>
      </c>
      <c r="U818" s="11">
        <v>1166195.8999999999</v>
      </c>
      <c r="V818" s="12">
        <v>613148.30000000005</v>
      </c>
      <c r="W818" s="11">
        <v>553047.69999999995</v>
      </c>
      <c r="X818" s="11" t="s">
        <v>139</v>
      </c>
      <c r="Y818" s="11" t="s">
        <v>139</v>
      </c>
      <c r="Z818" s="11">
        <v>937351.6</v>
      </c>
      <c r="AA818" s="11" t="s">
        <v>139</v>
      </c>
      <c r="AB818" s="11" t="s">
        <v>139</v>
      </c>
      <c r="AC818" s="11">
        <v>114292.5</v>
      </c>
      <c r="AD818" s="11">
        <v>2866712.1</v>
      </c>
      <c r="AE818" s="11">
        <v>429654</v>
      </c>
      <c r="AF818" s="11">
        <v>11697.2</v>
      </c>
      <c r="AG818" s="11">
        <v>1333482.3</v>
      </c>
      <c r="AH818" s="13">
        <v>14779250.699999999</v>
      </c>
      <c r="AI818" s="11">
        <v>10220801.9</v>
      </c>
      <c r="AJ818" s="11">
        <v>1659001.7</v>
      </c>
      <c r="AK818" s="11">
        <v>8561800.1999999993</v>
      </c>
      <c r="AL818" s="11">
        <v>1714832.5</v>
      </c>
      <c r="AM818" s="11">
        <v>667607.5</v>
      </c>
      <c r="AN818" s="11">
        <v>592242.6</v>
      </c>
      <c r="AO818" s="13">
        <v>13195484.5</v>
      </c>
      <c r="AP818" s="11">
        <v>1583766.2</v>
      </c>
      <c r="AQ818" s="11">
        <v>9081.1</v>
      </c>
      <c r="AR818" s="11" t="s">
        <v>139</v>
      </c>
      <c r="AS818">
        <f t="shared" si="16"/>
        <v>20441603.799999997</v>
      </c>
      <c r="AT818">
        <f t="shared" si="15"/>
        <v>0.72299858878978962</v>
      </c>
    </row>
    <row r="819" spans="1:46" x14ac:dyDescent="0.4">
      <c r="A819" s="3" t="s">
        <v>950</v>
      </c>
      <c r="B819">
        <v>10303746.300000001</v>
      </c>
      <c r="C819">
        <v>2850504.2</v>
      </c>
      <c r="D819">
        <v>1950389.8</v>
      </c>
      <c r="E819">
        <v>1364826.2</v>
      </c>
      <c r="F819">
        <v>585563.6</v>
      </c>
      <c r="G819">
        <v>900114.4</v>
      </c>
      <c r="H819">
        <v>131494.6</v>
      </c>
      <c r="I819">
        <v>768619.7</v>
      </c>
      <c r="J819">
        <v>7453242.2000000002</v>
      </c>
      <c r="K819">
        <v>1711934</v>
      </c>
      <c r="L819">
        <v>3616129</v>
      </c>
      <c r="M819">
        <v>2044469.7</v>
      </c>
      <c r="N819">
        <v>462112.3</v>
      </c>
      <c r="O819">
        <v>1582357.5</v>
      </c>
      <c r="P819">
        <v>1571659.3</v>
      </c>
      <c r="Q819" t="s">
        <v>139</v>
      </c>
      <c r="R819" t="s">
        <v>139</v>
      </c>
      <c r="S819" t="s">
        <v>139</v>
      </c>
      <c r="T819" t="s">
        <v>139</v>
      </c>
      <c r="U819" s="11">
        <v>1170320.1000000001</v>
      </c>
      <c r="V819" s="12">
        <v>615207.30000000005</v>
      </c>
      <c r="W819" s="11">
        <v>555112.80000000005</v>
      </c>
      <c r="X819" s="11" t="s">
        <v>139</v>
      </c>
      <c r="Y819" s="11" t="s">
        <v>139</v>
      </c>
      <c r="Z819" s="11">
        <v>954859.1</v>
      </c>
      <c r="AA819" s="11" t="s">
        <v>139</v>
      </c>
      <c r="AB819" s="11" t="s">
        <v>139</v>
      </c>
      <c r="AC819" s="11">
        <v>113084.3</v>
      </c>
      <c r="AD819" s="11">
        <v>2870152.3</v>
      </c>
      <c r="AE819" s="11">
        <v>409766</v>
      </c>
      <c r="AF819" s="11">
        <v>11023.8</v>
      </c>
      <c r="AG819" s="11">
        <v>1334360.8</v>
      </c>
      <c r="AH819" s="13">
        <v>14815965</v>
      </c>
      <c r="AI819" s="11">
        <v>10227327.5</v>
      </c>
      <c r="AJ819" s="11">
        <v>1649058.3</v>
      </c>
      <c r="AK819" s="11">
        <v>8578269.1999999993</v>
      </c>
      <c r="AL819" s="11">
        <v>1722648.2</v>
      </c>
      <c r="AM819" s="11">
        <v>687853.6</v>
      </c>
      <c r="AN819" s="11">
        <v>593005.5</v>
      </c>
      <c r="AO819" s="13">
        <v>13230834.800000001</v>
      </c>
      <c r="AP819" s="11">
        <v>1585130.2</v>
      </c>
      <c r="AQ819" s="11">
        <v>10923</v>
      </c>
      <c r="AR819" s="11" t="s">
        <v>139</v>
      </c>
      <c r="AS819">
        <f t="shared" si="16"/>
        <v>20454655</v>
      </c>
      <c r="AT819">
        <f t="shared" si="15"/>
        <v>0.72433218746539607</v>
      </c>
    </row>
    <row r="820" spans="1:46" x14ac:dyDescent="0.4">
      <c r="A820" s="3" t="s">
        <v>951</v>
      </c>
      <c r="B820">
        <v>10357591.800000001</v>
      </c>
      <c r="C820">
        <v>2874480.9</v>
      </c>
      <c r="D820">
        <v>1983477.5</v>
      </c>
      <c r="E820">
        <v>1375999.2</v>
      </c>
      <c r="F820">
        <v>607478.30000000005</v>
      </c>
      <c r="G820">
        <v>891003.4</v>
      </c>
      <c r="H820">
        <v>130936.3</v>
      </c>
      <c r="I820">
        <v>760067.2</v>
      </c>
      <c r="J820">
        <v>7483110.7999999998</v>
      </c>
      <c r="K820">
        <v>1725606.8</v>
      </c>
      <c r="L820">
        <v>3619679.4</v>
      </c>
      <c r="M820">
        <v>2040823.6</v>
      </c>
      <c r="N820">
        <v>460563.5</v>
      </c>
      <c r="O820">
        <v>1580260.1</v>
      </c>
      <c r="P820">
        <v>1578855.8</v>
      </c>
      <c r="Q820" t="s">
        <v>139</v>
      </c>
      <c r="R820" t="s">
        <v>139</v>
      </c>
      <c r="S820" t="s">
        <v>139</v>
      </c>
      <c r="T820" t="s">
        <v>139</v>
      </c>
      <c r="U820" s="11">
        <v>1175001.8</v>
      </c>
      <c r="V820" s="12">
        <v>617487.5</v>
      </c>
      <c r="W820" s="11">
        <v>557514.4</v>
      </c>
      <c r="X820" s="11" t="s">
        <v>139</v>
      </c>
      <c r="Y820" s="11" t="s">
        <v>139</v>
      </c>
      <c r="Z820" s="11">
        <v>962822.8</v>
      </c>
      <c r="AA820" s="11" t="s">
        <v>139</v>
      </c>
      <c r="AB820" s="11" t="s">
        <v>139</v>
      </c>
      <c r="AC820" s="11">
        <v>112025.7</v>
      </c>
      <c r="AD820" s="11">
        <v>2944750.1</v>
      </c>
      <c r="AE820" s="11">
        <v>406950</v>
      </c>
      <c r="AF820" s="11">
        <v>12210.7</v>
      </c>
      <c r="AG820" s="11">
        <v>1331801.5</v>
      </c>
      <c r="AH820" s="13">
        <v>14941278.4</v>
      </c>
      <c r="AI820" s="11">
        <v>10329937.199999999</v>
      </c>
      <c r="AJ820" s="11">
        <v>1653292.5</v>
      </c>
      <c r="AK820" s="11">
        <v>8676644.6999999993</v>
      </c>
      <c r="AL820" s="11">
        <v>1746654.7</v>
      </c>
      <c r="AM820" s="11">
        <v>660903.80000000005</v>
      </c>
      <c r="AN820" s="11">
        <v>607424.30000000005</v>
      </c>
      <c r="AO820" s="13">
        <v>13344919.9</v>
      </c>
      <c r="AP820" s="11">
        <v>1596358.4</v>
      </c>
      <c r="AQ820" s="11">
        <v>8582.5</v>
      </c>
      <c r="AR820" s="11" t="s">
        <v>139</v>
      </c>
      <c r="AS820">
        <f t="shared" si="16"/>
        <v>20659874.399999999</v>
      </c>
      <c r="AT820">
        <f t="shared" si="15"/>
        <v>0.72320277029370528</v>
      </c>
    </row>
    <row r="821" spans="1:46" x14ac:dyDescent="0.4">
      <c r="A821" s="3" t="s">
        <v>952</v>
      </c>
      <c r="B821">
        <v>10386141.4</v>
      </c>
      <c r="C821">
        <v>2879634.5</v>
      </c>
      <c r="D821">
        <v>1993412.5</v>
      </c>
      <c r="E821">
        <v>1387113.5</v>
      </c>
      <c r="F821">
        <v>606299</v>
      </c>
      <c r="G821">
        <v>886222</v>
      </c>
      <c r="H821">
        <v>130514.4</v>
      </c>
      <c r="I821">
        <v>755707.6</v>
      </c>
      <c r="J821">
        <v>7506507</v>
      </c>
      <c r="K821">
        <v>1730400.6</v>
      </c>
      <c r="L821">
        <v>3621107.6</v>
      </c>
      <c r="M821">
        <v>2034572.2</v>
      </c>
      <c r="N821">
        <v>460204.3</v>
      </c>
      <c r="O821">
        <v>1574367.9</v>
      </c>
      <c r="P821">
        <v>1586535.3</v>
      </c>
      <c r="Q821" t="s">
        <v>139</v>
      </c>
      <c r="R821" t="s">
        <v>139</v>
      </c>
      <c r="S821" t="s">
        <v>139</v>
      </c>
      <c r="T821" t="s">
        <v>139</v>
      </c>
      <c r="U821" s="11">
        <v>1177566.3999999999</v>
      </c>
      <c r="V821" s="12">
        <v>618765.19999999995</v>
      </c>
      <c r="W821" s="11">
        <v>558801.19999999995</v>
      </c>
      <c r="X821" s="11" t="s">
        <v>139</v>
      </c>
      <c r="Y821" s="11" t="s">
        <v>139</v>
      </c>
      <c r="Z821" s="11">
        <v>977432.4</v>
      </c>
      <c r="AA821" s="11" t="s">
        <v>139</v>
      </c>
      <c r="AB821" s="11" t="s">
        <v>139</v>
      </c>
      <c r="AC821" s="11">
        <v>111232.5</v>
      </c>
      <c r="AD821" s="11">
        <v>2954046.9</v>
      </c>
      <c r="AE821" s="11">
        <v>406202.4</v>
      </c>
      <c r="AF821" s="11">
        <v>9932.7000000000007</v>
      </c>
      <c r="AG821" s="11">
        <v>1351856.2</v>
      </c>
      <c r="AH821" s="13">
        <v>14996947.1</v>
      </c>
      <c r="AI821" s="11">
        <v>10291824.4</v>
      </c>
      <c r="AJ821" s="11">
        <v>1645734</v>
      </c>
      <c r="AK821" s="11">
        <v>8646090.4000000004</v>
      </c>
      <c r="AL821" s="11">
        <v>1774419.9</v>
      </c>
      <c r="AM821" s="11">
        <v>685071.8</v>
      </c>
      <c r="AN821" s="11">
        <v>630206.5</v>
      </c>
      <c r="AO821" s="13">
        <v>13381522.6</v>
      </c>
      <c r="AP821" s="11">
        <v>1615424.5</v>
      </c>
      <c r="AQ821" s="11">
        <v>17117.7</v>
      </c>
      <c r="AR821" s="11" t="s">
        <v>139</v>
      </c>
      <c r="AS821">
        <f t="shared" si="16"/>
        <v>20583648.800000001</v>
      </c>
      <c r="AT821">
        <f t="shared" si="15"/>
        <v>0.72858545371217176</v>
      </c>
    </row>
    <row r="822" spans="1:46" x14ac:dyDescent="0.4">
      <c r="A822" s="3" t="s">
        <v>953</v>
      </c>
      <c r="B822">
        <v>10445091.800000001</v>
      </c>
      <c r="C822">
        <v>2890403.5</v>
      </c>
      <c r="D822">
        <v>2002402.1</v>
      </c>
      <c r="E822">
        <v>1388605.2</v>
      </c>
      <c r="F822">
        <v>613796.9</v>
      </c>
      <c r="G822">
        <v>888001.4</v>
      </c>
      <c r="H822">
        <v>127208.7</v>
      </c>
      <c r="I822">
        <v>760792.7</v>
      </c>
      <c r="J822">
        <v>7554688.2999999998</v>
      </c>
      <c r="K822">
        <v>1751436.6</v>
      </c>
      <c r="L822">
        <v>3627444.9</v>
      </c>
      <c r="M822">
        <v>2032471.6</v>
      </c>
      <c r="N822">
        <v>459249.5</v>
      </c>
      <c r="O822">
        <v>1573222.2</v>
      </c>
      <c r="P822">
        <v>1594973.3</v>
      </c>
      <c r="Q822" t="s">
        <v>139</v>
      </c>
      <c r="R822" t="s">
        <v>139</v>
      </c>
      <c r="S822" t="s">
        <v>139</v>
      </c>
      <c r="T822" t="s">
        <v>139</v>
      </c>
      <c r="U822" s="11">
        <v>1182551.6000000001</v>
      </c>
      <c r="V822" s="12">
        <v>621632.80000000005</v>
      </c>
      <c r="W822" s="11">
        <v>560918.80000000005</v>
      </c>
      <c r="X822" s="11" t="s">
        <v>139</v>
      </c>
      <c r="Y822" s="11" t="s">
        <v>139</v>
      </c>
      <c r="Z822" s="11">
        <v>993255.2</v>
      </c>
      <c r="AA822" s="11" t="s">
        <v>139</v>
      </c>
      <c r="AB822" s="11" t="s">
        <v>139</v>
      </c>
      <c r="AC822" s="11">
        <v>110097.7</v>
      </c>
      <c r="AD822" s="11">
        <v>2923113</v>
      </c>
      <c r="AE822" s="11">
        <v>410074.9</v>
      </c>
      <c r="AF822" s="11">
        <v>10262.6</v>
      </c>
      <c r="AG822" s="11">
        <v>1356782.3</v>
      </c>
      <c r="AH822" s="13">
        <v>15035226.9</v>
      </c>
      <c r="AI822" s="11">
        <v>10383160.1</v>
      </c>
      <c r="AJ822" s="11">
        <v>1693922.3</v>
      </c>
      <c r="AK822" s="11">
        <v>8689237.8000000007</v>
      </c>
      <c r="AL822" s="11">
        <v>1776309.8</v>
      </c>
      <c r="AM822" s="11">
        <v>634520.19999999995</v>
      </c>
      <c r="AN822" s="11">
        <v>643489.19999999995</v>
      </c>
      <c r="AO822" s="13">
        <v>13437479.300000001</v>
      </c>
      <c r="AP822" s="11">
        <v>1597747.6</v>
      </c>
      <c r="AQ822" s="11">
        <v>16822.8</v>
      </c>
      <c r="AR822" s="11" t="s">
        <v>139</v>
      </c>
      <c r="AS822">
        <f t="shared" si="16"/>
        <v>20766320.200000003</v>
      </c>
      <c r="AT822">
        <f t="shared" si="15"/>
        <v>0.7240197952837113</v>
      </c>
    </row>
    <row r="823" spans="1:46" x14ac:dyDescent="0.4">
      <c r="A823" s="3" t="s">
        <v>954</v>
      </c>
      <c r="B823">
        <v>10540059.699999999</v>
      </c>
      <c r="C823">
        <v>2932631.6</v>
      </c>
      <c r="D823">
        <v>2040376.5</v>
      </c>
      <c r="E823">
        <v>1400892.9</v>
      </c>
      <c r="F823">
        <v>639483.6</v>
      </c>
      <c r="G823">
        <v>892255</v>
      </c>
      <c r="H823">
        <v>129291</v>
      </c>
      <c r="I823">
        <v>762964.1</v>
      </c>
      <c r="J823">
        <v>7607428.0999999996</v>
      </c>
      <c r="K823">
        <v>1773360.3</v>
      </c>
      <c r="L823">
        <v>3638639.9</v>
      </c>
      <c r="M823">
        <v>2033188.6</v>
      </c>
      <c r="N823">
        <v>458084.1</v>
      </c>
      <c r="O823">
        <v>1575104.5</v>
      </c>
      <c r="P823">
        <v>1605451.3</v>
      </c>
      <c r="Q823" t="s">
        <v>139</v>
      </c>
      <c r="R823" t="s">
        <v>139</v>
      </c>
      <c r="S823" t="s">
        <v>139</v>
      </c>
      <c r="T823" t="s">
        <v>139</v>
      </c>
      <c r="U823" s="11">
        <v>1186716</v>
      </c>
      <c r="V823" s="12">
        <v>623451.6</v>
      </c>
      <c r="W823" s="11">
        <v>563264.4</v>
      </c>
      <c r="X823" s="11" t="s">
        <v>139</v>
      </c>
      <c r="Y823" s="11" t="s">
        <v>139</v>
      </c>
      <c r="Z823" s="11">
        <v>1008712</v>
      </c>
      <c r="AA823" s="11" t="s">
        <v>139</v>
      </c>
      <c r="AB823" s="11" t="s">
        <v>139</v>
      </c>
      <c r="AC823" s="11">
        <v>109052.7</v>
      </c>
      <c r="AD823" s="11">
        <v>2865806</v>
      </c>
      <c r="AE823" s="11">
        <v>389444.2</v>
      </c>
      <c r="AF823" s="11">
        <v>10961.4</v>
      </c>
      <c r="AG823" s="11">
        <v>1367975.3</v>
      </c>
      <c r="AH823" s="13">
        <v>15065193.9</v>
      </c>
      <c r="AI823" s="11">
        <v>10469825.1</v>
      </c>
      <c r="AJ823" s="11">
        <v>1705280.7</v>
      </c>
      <c r="AK823" s="11">
        <v>8764544.4000000004</v>
      </c>
      <c r="AL823" s="11">
        <v>1782817.8</v>
      </c>
      <c r="AM823" s="11">
        <v>499482.7</v>
      </c>
      <c r="AN823" s="11">
        <v>667391</v>
      </c>
      <c r="AO823" s="13">
        <v>13419516.6</v>
      </c>
      <c r="AP823" s="11">
        <v>1645677.3</v>
      </c>
      <c r="AQ823" s="11">
        <v>17812.2</v>
      </c>
      <c r="AR823" s="11" t="s">
        <v>139</v>
      </c>
      <c r="AS823">
        <f t="shared" si="16"/>
        <v>20939650.199999999</v>
      </c>
      <c r="AT823">
        <f t="shared" si="15"/>
        <v>0.7194577634348448</v>
      </c>
    </row>
    <row r="824" spans="1:46" x14ac:dyDescent="0.4">
      <c r="A824" s="3" t="s">
        <v>955</v>
      </c>
      <c r="B824">
        <v>10621735.1</v>
      </c>
      <c r="C824">
        <v>2959366.5</v>
      </c>
      <c r="D824">
        <v>2066807.1</v>
      </c>
      <c r="E824">
        <v>1417692.8</v>
      </c>
      <c r="F824">
        <v>649114.30000000005</v>
      </c>
      <c r="G824">
        <v>892559.4</v>
      </c>
      <c r="H824">
        <v>129763.8</v>
      </c>
      <c r="I824">
        <v>762795.5</v>
      </c>
      <c r="J824">
        <v>7662368.5999999996</v>
      </c>
      <c r="K824">
        <v>1791541.4</v>
      </c>
      <c r="L824">
        <v>3653686.1</v>
      </c>
      <c r="M824">
        <v>2038195.6</v>
      </c>
      <c r="N824">
        <v>457292.6</v>
      </c>
      <c r="O824">
        <v>1580903.1</v>
      </c>
      <c r="P824">
        <v>1615490.5</v>
      </c>
      <c r="Q824">
        <v>225060.6</v>
      </c>
      <c r="R824">
        <v>81679.100000000006</v>
      </c>
      <c r="S824">
        <v>232157.6</v>
      </c>
      <c r="T824">
        <v>1076593.1000000001</v>
      </c>
      <c r="U824" s="11">
        <v>1187227</v>
      </c>
      <c r="V824" s="12">
        <v>625665.4</v>
      </c>
      <c r="W824" s="11">
        <v>561561.59999999998</v>
      </c>
      <c r="X824" s="11">
        <v>358304.8</v>
      </c>
      <c r="Y824" s="11">
        <v>203256.8</v>
      </c>
      <c r="Z824" s="11">
        <v>1029914.1</v>
      </c>
      <c r="AA824" s="11">
        <v>324121</v>
      </c>
      <c r="AB824" s="11">
        <v>705793.1</v>
      </c>
      <c r="AC824" s="11">
        <v>108530.6</v>
      </c>
      <c r="AD824" s="11">
        <v>2868935</v>
      </c>
      <c r="AE824" s="11">
        <v>414152.1</v>
      </c>
      <c r="AF824" s="11">
        <v>12795.6</v>
      </c>
      <c r="AG824" s="11">
        <v>1406205.3</v>
      </c>
      <c r="AH824" s="13">
        <v>15215292.5</v>
      </c>
      <c r="AI824" s="11">
        <v>10520654.1</v>
      </c>
      <c r="AJ824" s="11">
        <v>1703566.8</v>
      </c>
      <c r="AK824" s="11">
        <v>8817087.3000000007</v>
      </c>
      <c r="AL824" s="11">
        <v>1798735.4</v>
      </c>
      <c r="AM824" s="11">
        <v>532767.80000000005</v>
      </c>
      <c r="AN824" s="11">
        <v>718323.5</v>
      </c>
      <c r="AO824" s="13">
        <v>13570480.800000001</v>
      </c>
      <c r="AP824" s="11">
        <v>1644811.6</v>
      </c>
      <c r="AQ824" s="11">
        <v>25437.1</v>
      </c>
      <c r="AR824" s="11">
        <v>18762</v>
      </c>
      <c r="AS824">
        <f t="shared" si="16"/>
        <v>21041308.200000003</v>
      </c>
      <c r="AT824">
        <f t="shared" si="15"/>
        <v>0.72311532892237174</v>
      </c>
    </row>
    <row r="825" spans="1:46" x14ac:dyDescent="0.4">
      <c r="A825" s="3" t="s">
        <v>956</v>
      </c>
      <c r="B825">
        <v>10706716.1</v>
      </c>
      <c r="C825">
        <v>2990925.9</v>
      </c>
      <c r="D825">
        <v>2096822.2</v>
      </c>
      <c r="E825">
        <v>1440809.3</v>
      </c>
      <c r="F825">
        <v>656012.9</v>
      </c>
      <c r="G825">
        <v>894103.7</v>
      </c>
      <c r="H825">
        <v>128783.1</v>
      </c>
      <c r="I825">
        <v>765320.6</v>
      </c>
      <c r="J825">
        <v>7715790.2000000002</v>
      </c>
      <c r="K825">
        <v>1808063.2</v>
      </c>
      <c r="L825">
        <v>3676094.2</v>
      </c>
      <c r="M825">
        <v>2045785.3</v>
      </c>
      <c r="N825">
        <v>456568.2</v>
      </c>
      <c r="O825">
        <v>1589217.1</v>
      </c>
      <c r="P825">
        <v>1630308.9</v>
      </c>
      <c r="Q825">
        <v>229095.7</v>
      </c>
      <c r="R825">
        <v>82259.899999999994</v>
      </c>
      <c r="S825">
        <v>234833.7</v>
      </c>
      <c r="T825">
        <v>1084119.6000000001</v>
      </c>
      <c r="U825" s="11">
        <v>1190670</v>
      </c>
      <c r="V825" s="12">
        <v>626879.1</v>
      </c>
      <c r="W825" s="11">
        <v>563790.80000000005</v>
      </c>
      <c r="X825" s="11">
        <v>360199.5</v>
      </c>
      <c r="Y825" s="11">
        <v>203591.4</v>
      </c>
      <c r="Z825" s="11">
        <v>1040962.7</v>
      </c>
      <c r="AA825" s="11">
        <v>329204.8</v>
      </c>
      <c r="AB825" s="11">
        <v>711758</v>
      </c>
      <c r="AC825" s="11">
        <v>108018.5</v>
      </c>
      <c r="AD825" s="11">
        <v>2821530.2</v>
      </c>
      <c r="AE825" s="11">
        <v>415377</v>
      </c>
      <c r="AF825" s="11">
        <v>12083.5</v>
      </c>
      <c r="AG825" s="11">
        <v>1382587.3</v>
      </c>
      <c r="AH825" s="13">
        <v>15230275.6</v>
      </c>
      <c r="AI825" s="11">
        <v>10623789</v>
      </c>
      <c r="AJ825" s="11">
        <v>1712029.2</v>
      </c>
      <c r="AK825" s="11">
        <v>8911759.8000000007</v>
      </c>
      <c r="AL825" s="11">
        <v>1772921.2</v>
      </c>
      <c r="AM825" s="11">
        <v>479583.4</v>
      </c>
      <c r="AN825" s="11">
        <v>688053.7</v>
      </c>
      <c r="AO825" s="13">
        <v>13564347.199999999</v>
      </c>
      <c r="AP825" s="11">
        <v>1665928.4</v>
      </c>
      <c r="AQ825" s="11">
        <v>20524.7</v>
      </c>
      <c r="AR825" s="11">
        <v>18616.599999999999</v>
      </c>
      <c r="AS825">
        <f t="shared" si="16"/>
        <v>21247578</v>
      </c>
      <c r="AT825">
        <f t="shared" si="15"/>
        <v>0.71680055016152899</v>
      </c>
    </row>
    <row r="826" spans="1:46" x14ac:dyDescent="0.4">
      <c r="A826" s="3" t="s">
        <v>957</v>
      </c>
      <c r="B826">
        <v>10797639.4</v>
      </c>
      <c r="C826">
        <v>3004318.6</v>
      </c>
      <c r="D826">
        <v>2108969.1</v>
      </c>
      <c r="E826">
        <v>1460081.3</v>
      </c>
      <c r="F826">
        <v>648887.80000000005</v>
      </c>
      <c r="G826">
        <v>895349.6</v>
      </c>
      <c r="H826">
        <v>129789.2</v>
      </c>
      <c r="I826">
        <v>765560.4</v>
      </c>
      <c r="J826">
        <v>7793320.7000000002</v>
      </c>
      <c r="K826">
        <v>1834518.4</v>
      </c>
      <c r="L826">
        <v>3710441.5</v>
      </c>
      <c r="M826">
        <v>2056210.1</v>
      </c>
      <c r="N826">
        <v>455481.4</v>
      </c>
      <c r="O826">
        <v>1600728.7</v>
      </c>
      <c r="P826">
        <v>1654231.4</v>
      </c>
      <c r="Q826">
        <v>232684.4</v>
      </c>
      <c r="R826">
        <v>82723.100000000006</v>
      </c>
      <c r="S826">
        <v>241038.6</v>
      </c>
      <c r="T826">
        <v>1097785.3999999999</v>
      </c>
      <c r="U826" s="11">
        <v>1192900.5</v>
      </c>
      <c r="V826" s="12">
        <v>627253.30000000005</v>
      </c>
      <c r="W826" s="11">
        <v>565647.19999999995</v>
      </c>
      <c r="X826" s="11">
        <v>361701.1</v>
      </c>
      <c r="Y826" s="11">
        <v>203946.2</v>
      </c>
      <c r="Z826" s="11">
        <v>1055460.3</v>
      </c>
      <c r="AA826" s="11">
        <v>337885.3</v>
      </c>
      <c r="AB826" s="11">
        <v>717575</v>
      </c>
      <c r="AC826" s="11">
        <v>107521.8</v>
      </c>
      <c r="AD826" s="11">
        <v>2824706.7</v>
      </c>
      <c r="AE826" s="11">
        <v>415364.8</v>
      </c>
      <c r="AF826" s="11">
        <v>10846</v>
      </c>
      <c r="AG826" s="11">
        <v>1408344.2</v>
      </c>
      <c r="AH826" s="13">
        <v>15349379.199999999</v>
      </c>
      <c r="AI826" s="11">
        <v>10677879.9</v>
      </c>
      <c r="AJ826" s="11">
        <v>1708778.5</v>
      </c>
      <c r="AK826" s="11">
        <v>8969101.4000000004</v>
      </c>
      <c r="AL826" s="11">
        <v>1817667.8</v>
      </c>
      <c r="AM826" s="11">
        <v>511292.7</v>
      </c>
      <c r="AN826" s="11">
        <v>696204.4</v>
      </c>
      <c r="AO826" s="13">
        <v>13703044.800000001</v>
      </c>
      <c r="AP826" s="11">
        <v>1646334.4</v>
      </c>
      <c r="AQ826" s="11">
        <v>22943.1</v>
      </c>
      <c r="AR826" s="11">
        <v>17088.400000000001</v>
      </c>
      <c r="AS826">
        <f t="shared" si="16"/>
        <v>21355759.800000001</v>
      </c>
      <c r="AT826">
        <f t="shared" si="15"/>
        <v>0.71874657440190903</v>
      </c>
    </row>
    <row r="827" spans="1:46" x14ac:dyDescent="0.4">
      <c r="A827" s="3" t="s">
        <v>958</v>
      </c>
      <c r="B827">
        <v>10859365</v>
      </c>
      <c r="C827">
        <v>3020979.1</v>
      </c>
      <c r="D827">
        <v>2119831.2999999998</v>
      </c>
      <c r="E827">
        <v>1464764.5</v>
      </c>
      <c r="F827">
        <v>655066.80000000005</v>
      </c>
      <c r="G827">
        <v>901147.8</v>
      </c>
      <c r="H827">
        <v>129777.9</v>
      </c>
      <c r="I827">
        <v>771369.9</v>
      </c>
      <c r="J827">
        <v>7838385.7999999998</v>
      </c>
      <c r="K827">
        <v>1847555.1</v>
      </c>
      <c r="L827">
        <v>3720085.4</v>
      </c>
      <c r="M827">
        <v>2058475.4</v>
      </c>
      <c r="N827">
        <v>453736.8</v>
      </c>
      <c r="O827">
        <v>1604738.6</v>
      </c>
      <c r="P827">
        <v>1661610</v>
      </c>
      <c r="Q827">
        <v>235927.4</v>
      </c>
      <c r="R827">
        <v>83267.100000000006</v>
      </c>
      <c r="S827">
        <v>243851.4</v>
      </c>
      <c r="T827">
        <v>1098564.1000000001</v>
      </c>
      <c r="U827" s="11">
        <v>1202066.3999999999</v>
      </c>
      <c r="V827" s="12">
        <v>632028.69999999995</v>
      </c>
      <c r="W827" s="11">
        <v>570037.69999999995</v>
      </c>
      <c r="X827" s="11">
        <v>364295.4</v>
      </c>
      <c r="Y827" s="11">
        <v>205742.3</v>
      </c>
      <c r="Z827" s="11">
        <v>1068678.8999999999</v>
      </c>
      <c r="AA827" s="11">
        <v>341921.7</v>
      </c>
      <c r="AB827" s="11">
        <v>726757.2</v>
      </c>
      <c r="AC827" s="11">
        <v>107104.8</v>
      </c>
      <c r="AD827" s="11">
        <v>2813996.3</v>
      </c>
      <c r="AE827" s="11">
        <v>427371.4</v>
      </c>
      <c r="AF827" s="11">
        <v>10969.2</v>
      </c>
      <c r="AG827" s="11">
        <v>1382138.7</v>
      </c>
      <c r="AH827" s="13">
        <v>15386735.9</v>
      </c>
      <c r="AI827" s="11">
        <v>10676966.800000001</v>
      </c>
      <c r="AJ827" s="11">
        <v>1689951.8</v>
      </c>
      <c r="AK827" s="11">
        <v>8987015</v>
      </c>
      <c r="AL827" s="11">
        <v>1831418.1</v>
      </c>
      <c r="AM827" s="11">
        <v>550190.69999999995</v>
      </c>
      <c r="AN827" s="11">
        <v>670513.80000000005</v>
      </c>
      <c r="AO827" s="13">
        <v>13729089.4</v>
      </c>
      <c r="AP827" s="11">
        <v>1657646.5</v>
      </c>
      <c r="AQ827" s="11">
        <v>26282.3</v>
      </c>
      <c r="AR827" s="11">
        <v>18394.400000000001</v>
      </c>
      <c r="AS827">
        <f t="shared" si="16"/>
        <v>21353933.600000001</v>
      </c>
      <c r="AT827">
        <f t="shared" si="15"/>
        <v>0.72055744801978772</v>
      </c>
    </row>
    <row r="828" spans="1:46" x14ac:dyDescent="0.4">
      <c r="A828" s="3" t="s">
        <v>959</v>
      </c>
      <c r="B828">
        <v>10926287.199999999</v>
      </c>
      <c r="C828">
        <v>3047877.8</v>
      </c>
      <c r="D828">
        <v>2149370.7999999998</v>
      </c>
      <c r="E828">
        <v>1480761.5</v>
      </c>
      <c r="F828">
        <v>668609.30000000005</v>
      </c>
      <c r="G828">
        <v>898507</v>
      </c>
      <c r="H828">
        <v>129123.6</v>
      </c>
      <c r="I828">
        <v>769383.5</v>
      </c>
      <c r="J828">
        <v>7878409.4000000004</v>
      </c>
      <c r="K828">
        <v>1863354.4</v>
      </c>
      <c r="L828">
        <v>3729732.6</v>
      </c>
      <c r="M828">
        <v>2057432.3</v>
      </c>
      <c r="N828">
        <v>451777.8</v>
      </c>
      <c r="O828">
        <v>1605654.5</v>
      </c>
      <c r="P828">
        <v>1672300.3</v>
      </c>
      <c r="Q828">
        <v>239248.1</v>
      </c>
      <c r="R828">
        <v>83927.7</v>
      </c>
      <c r="S828">
        <v>245848.3</v>
      </c>
      <c r="T828">
        <v>1103276.2</v>
      </c>
      <c r="U828" s="11">
        <v>1208463.2</v>
      </c>
      <c r="V828" s="12">
        <v>634533.80000000005</v>
      </c>
      <c r="W828" s="11">
        <v>573929.4</v>
      </c>
      <c r="X828" s="11">
        <v>366891.5</v>
      </c>
      <c r="Y828" s="11">
        <v>207037.9</v>
      </c>
      <c r="Z828" s="11">
        <v>1076859.2</v>
      </c>
      <c r="AA828" s="11">
        <v>346450.1</v>
      </c>
      <c r="AB828" s="11">
        <v>730409.2</v>
      </c>
      <c r="AC828" s="11">
        <v>106620.7</v>
      </c>
      <c r="AD828" s="11">
        <v>2746424.8</v>
      </c>
      <c r="AE828" s="11">
        <v>414126.6</v>
      </c>
      <c r="AF828" s="11">
        <v>10831.4</v>
      </c>
      <c r="AG828" s="11">
        <v>1362415.2</v>
      </c>
      <c r="AH828" s="13">
        <v>15353464.5</v>
      </c>
      <c r="AI828" s="11">
        <v>10705880.6</v>
      </c>
      <c r="AJ828" s="11">
        <v>1688363.5</v>
      </c>
      <c r="AK828" s="11">
        <v>9017517.0999999996</v>
      </c>
      <c r="AL828" s="11">
        <v>1834920</v>
      </c>
      <c r="AM828" s="11">
        <v>499569.9</v>
      </c>
      <c r="AN828" s="11">
        <v>646599.5</v>
      </c>
      <c r="AO828" s="13">
        <v>13686970.1</v>
      </c>
      <c r="AP828" s="11">
        <v>1666494.4</v>
      </c>
      <c r="AQ828" s="11">
        <v>17268</v>
      </c>
      <c r="AR828" s="11">
        <v>12745.8</v>
      </c>
      <c r="AS828">
        <f t="shared" si="16"/>
        <v>21411761.199999999</v>
      </c>
      <c r="AT828">
        <f t="shared" si="15"/>
        <v>0.71705752537535306</v>
      </c>
    </row>
    <row r="829" spans="1:46" x14ac:dyDescent="0.4">
      <c r="A829" s="3" t="s">
        <v>960</v>
      </c>
      <c r="B829">
        <v>10982470</v>
      </c>
      <c r="C829">
        <v>3053256.7</v>
      </c>
      <c r="D829">
        <v>2155982.2999999998</v>
      </c>
      <c r="E829">
        <v>1490924.4</v>
      </c>
      <c r="F829">
        <v>665057.9</v>
      </c>
      <c r="G829">
        <v>897274.4</v>
      </c>
      <c r="H829">
        <v>127036.6</v>
      </c>
      <c r="I829">
        <v>770237.8</v>
      </c>
      <c r="J829">
        <v>7929213.2999999998</v>
      </c>
      <c r="K829">
        <v>1880116.5</v>
      </c>
      <c r="L829">
        <v>3748425.1</v>
      </c>
      <c r="M829">
        <v>2061997.8</v>
      </c>
      <c r="N829">
        <v>449236.6</v>
      </c>
      <c r="O829">
        <v>1612761.2</v>
      </c>
      <c r="P829">
        <v>1686427.3</v>
      </c>
      <c r="Q829">
        <v>242652.5</v>
      </c>
      <c r="R829">
        <v>84665.9</v>
      </c>
      <c r="S829">
        <v>248049.7</v>
      </c>
      <c r="T829">
        <v>1111059.2</v>
      </c>
      <c r="U829" s="11">
        <v>1214146.2</v>
      </c>
      <c r="V829" s="12">
        <v>637281.30000000005</v>
      </c>
      <c r="W829" s="11">
        <v>576865</v>
      </c>
      <c r="X829" s="11">
        <v>369032.7</v>
      </c>
      <c r="Y829" s="11">
        <v>207832.3</v>
      </c>
      <c r="Z829" s="11">
        <v>1086525.3999999999</v>
      </c>
      <c r="AA829" s="11">
        <v>351962.7</v>
      </c>
      <c r="AB829" s="11">
        <v>734562.7</v>
      </c>
      <c r="AC829" s="11">
        <v>106304.2</v>
      </c>
      <c r="AD829" s="11">
        <v>2685473.1</v>
      </c>
      <c r="AE829" s="11">
        <v>407229</v>
      </c>
      <c r="AF829" s="11">
        <v>11491.3</v>
      </c>
      <c r="AG829" s="11">
        <v>1355109.6</v>
      </c>
      <c r="AH829" s="13">
        <v>15335468.699999999</v>
      </c>
      <c r="AI829" s="11">
        <v>10750630.300000001</v>
      </c>
      <c r="AJ829" s="11">
        <v>1691697.3</v>
      </c>
      <c r="AK829" s="11">
        <v>9058933</v>
      </c>
      <c r="AL829" s="11">
        <v>1837386.5</v>
      </c>
      <c r="AM829" s="11">
        <v>443223.6</v>
      </c>
      <c r="AN829" s="11">
        <v>640334.30000000005</v>
      </c>
      <c r="AO829" s="13">
        <v>13671574.699999999</v>
      </c>
      <c r="AP829" s="11">
        <v>1663894.1</v>
      </c>
      <c r="AQ829" s="11">
        <v>9962</v>
      </c>
      <c r="AR829" s="11">
        <v>7023.9</v>
      </c>
      <c r="AS829">
        <f t="shared" si="16"/>
        <v>21501260.600000001</v>
      </c>
      <c r="AT829">
        <f t="shared" si="15"/>
        <v>0.71323579511426405</v>
      </c>
    </row>
    <row r="830" spans="1:46" x14ac:dyDescent="0.4">
      <c r="A830" s="3" t="s">
        <v>961</v>
      </c>
      <c r="B830">
        <v>11009962.699999999</v>
      </c>
      <c r="C830">
        <v>3043025.5</v>
      </c>
      <c r="D830">
        <v>2151309.9</v>
      </c>
      <c r="E830">
        <v>1494047</v>
      </c>
      <c r="F830">
        <v>657262.9</v>
      </c>
      <c r="G830">
        <v>891715.6</v>
      </c>
      <c r="H830">
        <v>125881</v>
      </c>
      <c r="I830">
        <v>765834.6</v>
      </c>
      <c r="J830">
        <v>7966937.0999999996</v>
      </c>
      <c r="K830">
        <v>1889448.9</v>
      </c>
      <c r="L830">
        <v>3762400.3</v>
      </c>
      <c r="M830">
        <v>2059853.3</v>
      </c>
      <c r="N830">
        <v>446945.9</v>
      </c>
      <c r="O830">
        <v>1612907.4</v>
      </c>
      <c r="P830">
        <v>1702547</v>
      </c>
      <c r="Q830">
        <v>246038.8</v>
      </c>
      <c r="R830">
        <v>85133.4</v>
      </c>
      <c r="S830">
        <v>252282.8</v>
      </c>
      <c r="T830">
        <v>1119092.1000000001</v>
      </c>
      <c r="U830" s="11">
        <v>1221354.2</v>
      </c>
      <c r="V830" s="12">
        <v>641110.6</v>
      </c>
      <c r="W830" s="11">
        <v>580243.6</v>
      </c>
      <c r="X830" s="11">
        <v>371119.5</v>
      </c>
      <c r="Y830" s="11">
        <v>209124.1</v>
      </c>
      <c r="Z830" s="11">
        <v>1093733.8</v>
      </c>
      <c r="AA830" s="11">
        <v>352489</v>
      </c>
      <c r="AB830" s="11">
        <v>741244.8</v>
      </c>
      <c r="AC830" s="11">
        <v>106229.4</v>
      </c>
      <c r="AD830" s="11">
        <v>2687648.1</v>
      </c>
      <c r="AE830" s="11">
        <v>420340.3</v>
      </c>
      <c r="AF830" s="11">
        <v>9976.5</v>
      </c>
      <c r="AG830" s="11">
        <v>1350385.5</v>
      </c>
      <c r="AH830" s="13">
        <v>15372083.699999999</v>
      </c>
      <c r="AI830" s="11">
        <v>10783735.199999999</v>
      </c>
      <c r="AJ830" s="11">
        <v>1698323.5</v>
      </c>
      <c r="AK830" s="11">
        <v>9085411.6999999993</v>
      </c>
      <c r="AL830" s="11">
        <v>1836607.3</v>
      </c>
      <c r="AM830" s="11">
        <v>446301</v>
      </c>
      <c r="AN830" s="11">
        <v>628398.5</v>
      </c>
      <c r="AO830" s="13">
        <v>13695041.9</v>
      </c>
      <c r="AP830" s="11">
        <v>1677041.7</v>
      </c>
      <c r="AQ830" s="11">
        <v>12274.8</v>
      </c>
      <c r="AR830" s="11">
        <v>7459.7</v>
      </c>
      <c r="AS830">
        <f t="shared" si="16"/>
        <v>21567470.399999999</v>
      </c>
      <c r="AT830">
        <f t="shared" si="15"/>
        <v>0.71274393403131786</v>
      </c>
    </row>
    <row r="831" spans="1:46" x14ac:dyDescent="0.4">
      <c r="A831" s="3" t="s">
        <v>962</v>
      </c>
      <c r="B831">
        <v>11076357.9</v>
      </c>
      <c r="C831">
        <v>3057455.5</v>
      </c>
      <c r="D831">
        <v>2165647.1</v>
      </c>
      <c r="E831">
        <v>1514040.3</v>
      </c>
      <c r="F831">
        <v>651606.80000000005</v>
      </c>
      <c r="G831">
        <v>891808.3</v>
      </c>
      <c r="H831">
        <v>125304.6</v>
      </c>
      <c r="I831">
        <v>766503.7</v>
      </c>
      <c r="J831">
        <v>8018902.4000000004</v>
      </c>
      <c r="K831">
        <v>1903533.4</v>
      </c>
      <c r="L831">
        <v>3778175.2</v>
      </c>
      <c r="M831">
        <v>2060469.5</v>
      </c>
      <c r="N831">
        <v>444184.3</v>
      </c>
      <c r="O831">
        <v>1616285.2</v>
      </c>
      <c r="P831">
        <v>1717705.7</v>
      </c>
      <c r="Q831">
        <v>249256.5</v>
      </c>
      <c r="R831">
        <v>85387.199999999997</v>
      </c>
      <c r="S831">
        <v>256709.3</v>
      </c>
      <c r="T831">
        <v>1126352.7</v>
      </c>
      <c r="U831" s="11">
        <v>1228522</v>
      </c>
      <c r="V831" s="12">
        <v>645291.4</v>
      </c>
      <c r="W831" s="11">
        <v>583230.6</v>
      </c>
      <c r="X831" s="11">
        <v>372936.4</v>
      </c>
      <c r="Y831" s="11">
        <v>210294.2</v>
      </c>
      <c r="Z831" s="11">
        <v>1108671.8</v>
      </c>
      <c r="AA831" s="11">
        <v>360056.8</v>
      </c>
      <c r="AB831" s="11">
        <v>748614.9</v>
      </c>
      <c r="AC831" s="11">
        <v>107040.9</v>
      </c>
      <c r="AD831" s="11">
        <v>2685577.3</v>
      </c>
      <c r="AE831" s="11">
        <v>401668.4</v>
      </c>
      <c r="AF831" s="11">
        <v>9338</v>
      </c>
      <c r="AG831" s="11">
        <v>1361359.2</v>
      </c>
      <c r="AH831" s="13">
        <v>15427259.800000001</v>
      </c>
      <c r="AI831" s="11">
        <v>10838072.4</v>
      </c>
      <c r="AJ831" s="11">
        <v>1709590</v>
      </c>
      <c r="AK831" s="11">
        <v>9128482.3000000007</v>
      </c>
      <c r="AL831" s="11">
        <v>1834244.3</v>
      </c>
      <c r="AM831" s="11">
        <v>443289.59999999998</v>
      </c>
      <c r="AN831" s="11">
        <v>632938.69999999995</v>
      </c>
      <c r="AO831" s="13">
        <v>13748544.9</v>
      </c>
      <c r="AP831" s="11">
        <v>1678714.9</v>
      </c>
      <c r="AQ831" s="11">
        <v>13550.3</v>
      </c>
      <c r="AR831" s="11">
        <v>9486.6</v>
      </c>
      <c r="AS831">
        <f t="shared" si="16"/>
        <v>21676144.700000003</v>
      </c>
      <c r="AT831">
        <f t="shared" si="15"/>
        <v>0.71171603684671836</v>
      </c>
    </row>
    <row r="832" spans="1:46" x14ac:dyDescent="0.4">
      <c r="A832" s="3" t="s">
        <v>963</v>
      </c>
      <c r="B832">
        <v>11116585.300000001</v>
      </c>
      <c r="C832">
        <v>3049057.3</v>
      </c>
      <c r="D832">
        <v>2163378.6</v>
      </c>
      <c r="E832">
        <v>1521631.6</v>
      </c>
      <c r="F832">
        <v>641747</v>
      </c>
      <c r="G832">
        <v>885678.7</v>
      </c>
      <c r="H832">
        <v>124137.60000000001</v>
      </c>
      <c r="I832">
        <v>761541.1</v>
      </c>
      <c r="J832">
        <v>8067528</v>
      </c>
      <c r="K832">
        <v>1915131.9</v>
      </c>
      <c r="L832">
        <v>3795293.1</v>
      </c>
      <c r="M832">
        <v>2061263.7</v>
      </c>
      <c r="N832">
        <v>444063.6</v>
      </c>
      <c r="O832">
        <v>1617200.1</v>
      </c>
      <c r="P832">
        <v>1734029.4</v>
      </c>
      <c r="Q832">
        <v>252118.1</v>
      </c>
      <c r="R832">
        <v>85813</v>
      </c>
      <c r="S832">
        <v>260602.2</v>
      </c>
      <c r="T832">
        <v>1135496.1000000001</v>
      </c>
      <c r="U832" s="11">
        <v>1236595.8999999999</v>
      </c>
      <c r="V832" s="12">
        <v>649362.5</v>
      </c>
      <c r="W832" s="11">
        <v>587233.30000000005</v>
      </c>
      <c r="X832" s="11">
        <v>375704</v>
      </c>
      <c r="Y832" s="11">
        <v>211529.4</v>
      </c>
      <c r="Z832" s="11">
        <v>1120507.1000000001</v>
      </c>
      <c r="AA832" s="11">
        <v>366968</v>
      </c>
      <c r="AB832" s="11">
        <v>753539.1</v>
      </c>
      <c r="AC832" s="11">
        <v>106448.2</v>
      </c>
      <c r="AD832" s="11">
        <v>2637639.6</v>
      </c>
      <c r="AE832" s="11">
        <v>393905.6</v>
      </c>
      <c r="AF832" s="11">
        <v>10536.8</v>
      </c>
      <c r="AG832" s="11">
        <v>1357904.2</v>
      </c>
      <c r="AH832" s="13">
        <v>15410123.300000001</v>
      </c>
      <c r="AI832" s="11">
        <v>10863965.300000001</v>
      </c>
      <c r="AJ832" s="11">
        <v>1697186.2</v>
      </c>
      <c r="AK832" s="11">
        <v>9166779.1999999993</v>
      </c>
      <c r="AL832" s="11">
        <v>1807914.9</v>
      </c>
      <c r="AM832" s="11">
        <v>437928.3</v>
      </c>
      <c r="AN832" s="11">
        <v>615941</v>
      </c>
      <c r="AO832" s="13">
        <v>13725749.6</v>
      </c>
      <c r="AP832" s="11">
        <v>1684373.7</v>
      </c>
      <c r="AQ832" s="11">
        <v>13237.8</v>
      </c>
      <c r="AR832" s="11">
        <v>9775.6</v>
      </c>
      <c r="AS832">
        <f t="shared" si="16"/>
        <v>21727930.699999999</v>
      </c>
      <c r="AT832">
        <f t="shared" si="15"/>
        <v>0.70923105898897221</v>
      </c>
    </row>
    <row r="833" spans="1:46" x14ac:dyDescent="0.4">
      <c r="A833" s="3" t="s">
        <v>964</v>
      </c>
      <c r="B833">
        <v>11176964.5</v>
      </c>
      <c r="C833">
        <v>3059438.8</v>
      </c>
      <c r="D833">
        <v>2175650.6</v>
      </c>
      <c r="E833">
        <v>1539173.3</v>
      </c>
      <c r="F833">
        <v>636477.19999999995</v>
      </c>
      <c r="G833">
        <v>883788.2</v>
      </c>
      <c r="H833">
        <v>123818.3</v>
      </c>
      <c r="I833">
        <v>759970</v>
      </c>
      <c r="J833">
        <v>8117525.7000000002</v>
      </c>
      <c r="K833">
        <v>1929552.5</v>
      </c>
      <c r="L833">
        <v>3812659.3</v>
      </c>
      <c r="M833">
        <v>2063318.1</v>
      </c>
      <c r="N833">
        <v>442475.5</v>
      </c>
      <c r="O833">
        <v>1620842.6</v>
      </c>
      <c r="P833">
        <v>1749341.2</v>
      </c>
      <c r="Q833">
        <v>254496.1</v>
      </c>
      <c r="R833">
        <v>86273.7</v>
      </c>
      <c r="S833">
        <v>263582</v>
      </c>
      <c r="T833">
        <v>1144989.3999999999</v>
      </c>
      <c r="U833" s="11">
        <v>1244809.5</v>
      </c>
      <c r="V833" s="12">
        <v>653260.6</v>
      </c>
      <c r="W833" s="11">
        <v>591548.9</v>
      </c>
      <c r="X833" s="11">
        <v>378908.8</v>
      </c>
      <c r="Y833" s="11">
        <v>212640</v>
      </c>
      <c r="Z833" s="11">
        <v>1130504.3999999999</v>
      </c>
      <c r="AA833" s="11">
        <v>374508.7</v>
      </c>
      <c r="AB833" s="11">
        <v>755995.8</v>
      </c>
      <c r="AC833" s="11">
        <v>106325.6</v>
      </c>
      <c r="AD833" s="11">
        <v>2789031.1</v>
      </c>
      <c r="AE833" s="11">
        <v>399874.5</v>
      </c>
      <c r="AF833" s="11">
        <v>11254.9</v>
      </c>
      <c r="AG833" s="11">
        <v>1346490.7</v>
      </c>
      <c r="AH833" s="13">
        <v>15617290.1</v>
      </c>
      <c r="AI833" s="11">
        <v>10919074.9</v>
      </c>
      <c r="AJ833" s="11">
        <v>1721641.7</v>
      </c>
      <c r="AK833" s="11">
        <v>9197433.1999999993</v>
      </c>
      <c r="AL833" s="11">
        <v>1896569</v>
      </c>
      <c r="AM833" s="11">
        <v>483753.5</v>
      </c>
      <c r="AN833" s="11">
        <v>615727.1</v>
      </c>
      <c r="AO833" s="13">
        <v>13915124.4</v>
      </c>
      <c r="AP833" s="11">
        <v>1702165.7</v>
      </c>
      <c r="AQ833" s="11">
        <v>16660.099999999999</v>
      </c>
      <c r="AR833" s="11">
        <v>12183.5</v>
      </c>
      <c r="AS833">
        <f t="shared" si="16"/>
        <v>21838149.799999997</v>
      </c>
      <c r="AT833">
        <f t="shared" ref="AT833:AT896" si="17">AH833/AS833</f>
        <v>0.71513796924316375</v>
      </c>
    </row>
    <row r="834" spans="1:46" x14ac:dyDescent="0.4">
      <c r="A834" s="3" t="s">
        <v>965</v>
      </c>
      <c r="B834">
        <v>11261672</v>
      </c>
      <c r="C834">
        <v>3083800</v>
      </c>
      <c r="D834">
        <v>2198193.5</v>
      </c>
      <c r="E834">
        <v>1551900.2</v>
      </c>
      <c r="F834">
        <v>646293.30000000005</v>
      </c>
      <c r="G834">
        <v>885606.5</v>
      </c>
      <c r="H834">
        <v>123394.7</v>
      </c>
      <c r="I834">
        <v>762211.8</v>
      </c>
      <c r="J834">
        <v>8177872</v>
      </c>
      <c r="K834">
        <v>1946074.3</v>
      </c>
      <c r="L834">
        <v>3847680</v>
      </c>
      <c r="M834">
        <v>2085400</v>
      </c>
      <c r="N834">
        <v>442002.8</v>
      </c>
      <c r="O834">
        <v>1643397.1</v>
      </c>
      <c r="P834">
        <v>1762280</v>
      </c>
      <c r="Q834">
        <v>258792.4</v>
      </c>
      <c r="R834">
        <v>86824.7</v>
      </c>
      <c r="S834">
        <v>266867.90000000002</v>
      </c>
      <c r="T834">
        <v>1149795</v>
      </c>
      <c r="U834" s="11">
        <v>1251138.2</v>
      </c>
      <c r="V834" s="12">
        <v>656046.6</v>
      </c>
      <c r="W834" s="11">
        <v>595091.5</v>
      </c>
      <c r="X834" s="11">
        <v>381765.3</v>
      </c>
      <c r="Y834" s="11">
        <v>213326.2</v>
      </c>
      <c r="Z834" s="11">
        <v>1132979.5</v>
      </c>
      <c r="AA834" s="11">
        <v>371753.7</v>
      </c>
      <c r="AB834" s="11">
        <v>761225.8</v>
      </c>
      <c r="AC834" s="11">
        <v>106412.2</v>
      </c>
      <c r="AD834" s="11">
        <v>2678284.2000000002</v>
      </c>
      <c r="AE834" s="11">
        <v>400445.4</v>
      </c>
      <c r="AF834" s="11">
        <v>11501.8</v>
      </c>
      <c r="AG834" s="11">
        <v>1341130.8999999999</v>
      </c>
      <c r="AH834" s="13">
        <v>15586622</v>
      </c>
      <c r="AI834" s="11">
        <v>10957594.1</v>
      </c>
      <c r="AJ834" s="11">
        <v>1698181.2</v>
      </c>
      <c r="AK834" s="11">
        <v>9259412.8000000007</v>
      </c>
      <c r="AL834" s="11">
        <v>1904149.6</v>
      </c>
      <c r="AM834" s="11">
        <v>421772.6</v>
      </c>
      <c r="AN834" s="11">
        <v>615446.6</v>
      </c>
      <c r="AO834" s="13">
        <v>13898962.9</v>
      </c>
      <c r="AP834" s="11">
        <v>1687659.1</v>
      </c>
      <c r="AQ834" s="11">
        <v>8890.1</v>
      </c>
      <c r="AR834" s="11">
        <v>6202.2</v>
      </c>
      <c r="AS834">
        <f t="shared" si="16"/>
        <v>21915188.100000001</v>
      </c>
      <c r="AT834">
        <f t="shared" si="17"/>
        <v>0.71122465063395912</v>
      </c>
    </row>
    <row r="835" spans="1:46" x14ac:dyDescent="0.4">
      <c r="A835" s="3" t="s">
        <v>966</v>
      </c>
      <c r="B835">
        <v>11343323.6</v>
      </c>
      <c r="C835">
        <v>3110860.2</v>
      </c>
      <c r="D835">
        <v>2224765.5</v>
      </c>
      <c r="E835">
        <v>1564746.1</v>
      </c>
      <c r="F835">
        <v>660019.4</v>
      </c>
      <c r="G835">
        <v>886094.7</v>
      </c>
      <c r="H835">
        <v>123167.2</v>
      </c>
      <c r="I835">
        <v>762927.6</v>
      </c>
      <c r="J835">
        <v>8232463.4000000004</v>
      </c>
      <c r="K835">
        <v>1953208.9</v>
      </c>
      <c r="L835">
        <v>3871092.2</v>
      </c>
      <c r="M835">
        <v>2090152.5</v>
      </c>
      <c r="N835">
        <v>441081.5</v>
      </c>
      <c r="O835">
        <v>1649071</v>
      </c>
      <c r="P835">
        <v>1780939.8</v>
      </c>
      <c r="Q835">
        <v>262139.6</v>
      </c>
      <c r="R835">
        <v>87495.6</v>
      </c>
      <c r="S835">
        <v>271681.59999999998</v>
      </c>
      <c r="T835">
        <v>1159623</v>
      </c>
      <c r="U835" s="11">
        <v>1258953.3999999999</v>
      </c>
      <c r="V835" s="12">
        <v>658906.19999999995</v>
      </c>
      <c r="W835" s="11">
        <v>600047.1</v>
      </c>
      <c r="X835" s="11">
        <v>384709.6</v>
      </c>
      <c r="Y835" s="11">
        <v>215337.60000000001</v>
      </c>
      <c r="Z835" s="11">
        <v>1149208.8999999999</v>
      </c>
      <c r="AA835" s="11">
        <v>383720.6</v>
      </c>
      <c r="AB835" s="11">
        <v>765488.4</v>
      </c>
      <c r="AC835" s="11">
        <v>106679.8</v>
      </c>
      <c r="AD835" s="11">
        <v>2585767.7000000002</v>
      </c>
      <c r="AE835" s="11">
        <v>402568</v>
      </c>
      <c r="AF835" s="11">
        <v>11707.3</v>
      </c>
      <c r="AG835" s="11">
        <v>1340870</v>
      </c>
      <c r="AH835" s="13">
        <v>15577556.800000001</v>
      </c>
      <c r="AI835" s="11">
        <v>10924630.300000001</v>
      </c>
      <c r="AJ835" s="11">
        <v>1663948.9</v>
      </c>
      <c r="AK835" s="11">
        <v>9260681.4000000004</v>
      </c>
      <c r="AL835" s="11">
        <v>1904182.8</v>
      </c>
      <c r="AM835" s="11">
        <v>417049.9</v>
      </c>
      <c r="AN835" s="11">
        <v>604271.4</v>
      </c>
      <c r="AO835" s="13">
        <v>13850134.4</v>
      </c>
      <c r="AP835" s="11">
        <v>1727422.4</v>
      </c>
      <c r="AQ835" s="11">
        <v>5773.1</v>
      </c>
      <c r="AR835" s="11">
        <v>2960.5</v>
      </c>
      <c r="AS835">
        <f t="shared" si="16"/>
        <v>21849260.600000001</v>
      </c>
      <c r="AT835">
        <f t="shared" si="17"/>
        <v>0.71295578762056599</v>
      </c>
    </row>
    <row r="836" spans="1:46" x14ac:dyDescent="0.4">
      <c r="A836" s="3" t="s">
        <v>967</v>
      </c>
      <c r="B836">
        <v>11402966.4</v>
      </c>
      <c r="C836">
        <v>3118300.7</v>
      </c>
      <c r="D836">
        <v>2228663.2999999998</v>
      </c>
      <c r="E836">
        <v>1557718.9</v>
      </c>
      <c r="F836">
        <v>670944.4</v>
      </c>
      <c r="G836">
        <v>889637.3</v>
      </c>
      <c r="H836">
        <v>120647</v>
      </c>
      <c r="I836">
        <v>768990.3</v>
      </c>
      <c r="J836">
        <v>8284665.7000000002</v>
      </c>
      <c r="K836">
        <v>1964005.3</v>
      </c>
      <c r="L836">
        <v>3890887.8</v>
      </c>
      <c r="M836">
        <v>2091610.9</v>
      </c>
      <c r="N836">
        <v>438312.7</v>
      </c>
      <c r="O836">
        <v>1653298.2</v>
      </c>
      <c r="P836">
        <v>1799276.9</v>
      </c>
      <c r="Q836">
        <v>264989.90000000002</v>
      </c>
      <c r="R836">
        <v>88243.6</v>
      </c>
      <c r="S836">
        <v>275077.40000000002</v>
      </c>
      <c r="T836">
        <v>1170965.8999999999</v>
      </c>
      <c r="U836" s="11">
        <v>1268405.8</v>
      </c>
      <c r="V836" s="12">
        <v>663842.30000000005</v>
      </c>
      <c r="W836" s="11">
        <v>604563.5</v>
      </c>
      <c r="X836" s="11">
        <v>386948.8</v>
      </c>
      <c r="Y836" s="11">
        <v>217614.8</v>
      </c>
      <c r="Z836" s="11">
        <v>1161366.8999999999</v>
      </c>
      <c r="AA836" s="11">
        <v>387558.3</v>
      </c>
      <c r="AB836" s="11">
        <v>773808.7</v>
      </c>
      <c r="AC836" s="11">
        <v>106787.3</v>
      </c>
      <c r="AD836" s="11">
        <v>2557040.2000000002</v>
      </c>
      <c r="AE836" s="11">
        <v>409706.9</v>
      </c>
      <c r="AF836" s="11">
        <v>11024.5</v>
      </c>
      <c r="AG836" s="11">
        <v>1382653.4</v>
      </c>
      <c r="AH836" s="13">
        <v>15656604</v>
      </c>
      <c r="AI836" s="11">
        <v>10960450.699999999</v>
      </c>
      <c r="AJ836" s="11">
        <v>1661287</v>
      </c>
      <c r="AK836" s="11">
        <v>9299163.6999999993</v>
      </c>
      <c r="AL836" s="11">
        <v>1910068.2</v>
      </c>
      <c r="AM836" s="11">
        <v>446478.3</v>
      </c>
      <c r="AN836" s="11">
        <v>618225</v>
      </c>
      <c r="AO836" s="13">
        <v>13935222.199999999</v>
      </c>
      <c r="AP836" s="11">
        <v>1721381.9</v>
      </c>
      <c r="AQ836" s="11">
        <v>13438.9</v>
      </c>
      <c r="AR836" s="11">
        <v>7923.8</v>
      </c>
      <c r="AS836">
        <f t="shared" si="16"/>
        <v>21920901.399999999</v>
      </c>
      <c r="AT836">
        <f t="shared" si="17"/>
        <v>0.71423176056072224</v>
      </c>
    </row>
    <row r="837" spans="1:46" x14ac:dyDescent="0.4">
      <c r="A837" s="3" t="s">
        <v>968</v>
      </c>
      <c r="B837">
        <v>11475125.800000001</v>
      </c>
      <c r="C837">
        <v>3128363.6</v>
      </c>
      <c r="D837">
        <v>2238714.4</v>
      </c>
      <c r="E837">
        <v>1563551.6</v>
      </c>
      <c r="F837">
        <v>675162.8</v>
      </c>
      <c r="G837">
        <v>889649.3</v>
      </c>
      <c r="H837">
        <v>118177.1</v>
      </c>
      <c r="I837">
        <v>771472.1</v>
      </c>
      <c r="J837">
        <v>8346762.2000000002</v>
      </c>
      <c r="K837">
        <v>1987292.3</v>
      </c>
      <c r="L837">
        <v>3917098.5</v>
      </c>
      <c r="M837">
        <v>2100917.4</v>
      </c>
      <c r="N837">
        <v>435969.3</v>
      </c>
      <c r="O837">
        <v>1664948.1</v>
      </c>
      <c r="P837">
        <v>1816181.1</v>
      </c>
      <c r="Q837">
        <v>267700</v>
      </c>
      <c r="R837">
        <v>88594.6</v>
      </c>
      <c r="S837">
        <v>278397.7</v>
      </c>
      <c r="T837">
        <v>1181488.8999999999</v>
      </c>
      <c r="U837" s="11">
        <v>1273532.7</v>
      </c>
      <c r="V837" s="12">
        <v>664930.9</v>
      </c>
      <c r="W837" s="11">
        <v>608601.80000000005</v>
      </c>
      <c r="X837" s="11">
        <v>389680.6</v>
      </c>
      <c r="Y837" s="11">
        <v>218921.2</v>
      </c>
      <c r="Z837" s="11">
        <v>1168838.7</v>
      </c>
      <c r="AA837" s="11">
        <v>392391.6</v>
      </c>
      <c r="AB837" s="11">
        <v>776447.1</v>
      </c>
      <c r="AC837" s="11">
        <v>107077.2</v>
      </c>
      <c r="AD837" s="11">
        <v>2545061.6</v>
      </c>
      <c r="AE837" s="11">
        <v>412345.5</v>
      </c>
      <c r="AF837" s="11">
        <v>10370.700000000001</v>
      </c>
      <c r="AG837" s="11">
        <v>1378563.2</v>
      </c>
      <c r="AH837" s="13">
        <v>15714389.5</v>
      </c>
      <c r="AI837" s="11">
        <v>11022675.199999999</v>
      </c>
      <c r="AJ837" s="11">
        <v>1677344.4</v>
      </c>
      <c r="AK837" s="11">
        <v>9345330.9000000004</v>
      </c>
      <c r="AL837" s="11">
        <v>1923137.8</v>
      </c>
      <c r="AM837" s="11">
        <v>397436.8</v>
      </c>
      <c r="AN837" s="11">
        <v>627098.69999999995</v>
      </c>
      <c r="AO837" s="13">
        <v>13970348.6</v>
      </c>
      <c r="AP837" s="11">
        <v>1744040.9</v>
      </c>
      <c r="AQ837" s="11">
        <v>18591.2</v>
      </c>
      <c r="AR837" s="11">
        <v>14658.4</v>
      </c>
      <c r="AS837">
        <f t="shared" si="16"/>
        <v>22045350.5</v>
      </c>
      <c r="AT837">
        <f t="shared" si="17"/>
        <v>0.71282103226256255</v>
      </c>
    </row>
    <row r="838" spans="1:46" x14ac:dyDescent="0.4">
      <c r="A838" s="3" t="s">
        <v>969</v>
      </c>
      <c r="B838">
        <v>11560448.199999999</v>
      </c>
      <c r="C838">
        <v>3141318.2</v>
      </c>
      <c r="D838">
        <v>2247987.2999999998</v>
      </c>
      <c r="E838">
        <v>1569356.9</v>
      </c>
      <c r="F838">
        <v>678630.40000000002</v>
      </c>
      <c r="G838">
        <v>893330.8</v>
      </c>
      <c r="H838">
        <v>116528.1</v>
      </c>
      <c r="I838">
        <v>776802.8</v>
      </c>
      <c r="J838">
        <v>8419130.0999999996</v>
      </c>
      <c r="K838">
        <v>2018840.1</v>
      </c>
      <c r="L838">
        <v>3943187.9</v>
      </c>
      <c r="M838">
        <v>2109091</v>
      </c>
      <c r="N838">
        <v>433908.2</v>
      </c>
      <c r="O838">
        <v>1675182.8</v>
      </c>
      <c r="P838">
        <v>1834096.9</v>
      </c>
      <c r="Q838">
        <v>271701.09999999998</v>
      </c>
      <c r="R838">
        <v>89446.8</v>
      </c>
      <c r="S838">
        <v>280320.90000000002</v>
      </c>
      <c r="T838">
        <v>1192628.1000000001</v>
      </c>
      <c r="U838" s="11">
        <v>1284104.7</v>
      </c>
      <c r="V838" s="12">
        <v>671189.7</v>
      </c>
      <c r="W838" s="11">
        <v>612915</v>
      </c>
      <c r="X838" s="11">
        <v>392525.7</v>
      </c>
      <c r="Y838" s="11">
        <v>220389.3</v>
      </c>
      <c r="Z838" s="11">
        <v>1172997.3</v>
      </c>
      <c r="AA838" s="11">
        <v>395934.1</v>
      </c>
      <c r="AB838" s="11">
        <v>777063.2</v>
      </c>
      <c r="AC838" s="11">
        <v>107258.2</v>
      </c>
      <c r="AD838" s="11">
        <v>2487780.2000000002</v>
      </c>
      <c r="AE838" s="11">
        <v>405728.1</v>
      </c>
      <c r="AF838" s="11">
        <v>11292.4</v>
      </c>
      <c r="AG838" s="11">
        <v>1373445.5</v>
      </c>
      <c r="AH838" s="13">
        <v>15731436.1</v>
      </c>
      <c r="AI838" s="11">
        <v>11090705.699999999</v>
      </c>
      <c r="AJ838" s="11">
        <v>1673380.7</v>
      </c>
      <c r="AK838" s="11">
        <v>9417325</v>
      </c>
      <c r="AL838" s="11">
        <v>1952766.6</v>
      </c>
      <c r="AM838" s="11">
        <v>342009.5</v>
      </c>
      <c r="AN838" s="11">
        <v>621832.9</v>
      </c>
      <c r="AO838" s="13">
        <v>14007314.699999999</v>
      </c>
      <c r="AP838" s="11">
        <v>1724121.4</v>
      </c>
      <c r="AQ838" s="11">
        <v>14284.7</v>
      </c>
      <c r="AR838" s="11">
        <v>13561.3</v>
      </c>
      <c r="AS838">
        <f t="shared" si="16"/>
        <v>22181411.399999999</v>
      </c>
      <c r="AT838">
        <f t="shared" si="17"/>
        <v>0.70921709247049991</v>
      </c>
    </row>
    <row r="839" spans="1:46" x14ac:dyDescent="0.4">
      <c r="A839" s="3" t="s">
        <v>970</v>
      </c>
      <c r="B839">
        <v>11632764.800000001</v>
      </c>
      <c r="C839">
        <v>3164468.5</v>
      </c>
      <c r="D839">
        <v>2270461.9</v>
      </c>
      <c r="E839">
        <v>1585523.7</v>
      </c>
      <c r="F839">
        <v>684938.2</v>
      </c>
      <c r="G839">
        <v>894006.6</v>
      </c>
      <c r="H839">
        <v>114663.5</v>
      </c>
      <c r="I839">
        <v>779343.1</v>
      </c>
      <c r="J839">
        <v>8468296.3000000007</v>
      </c>
      <c r="K839">
        <v>2033025</v>
      </c>
      <c r="L839">
        <v>3960211.9</v>
      </c>
      <c r="M839">
        <v>2111582</v>
      </c>
      <c r="N839">
        <v>431237.2</v>
      </c>
      <c r="O839">
        <v>1680344.8</v>
      </c>
      <c r="P839">
        <v>1848629.9</v>
      </c>
      <c r="Q839">
        <v>274611.5</v>
      </c>
      <c r="R839">
        <v>90048.2</v>
      </c>
      <c r="S839">
        <v>283126.90000000002</v>
      </c>
      <c r="T839">
        <v>1200843.3</v>
      </c>
      <c r="U839" s="11">
        <v>1291793.6000000001</v>
      </c>
      <c r="V839" s="12">
        <v>675028</v>
      </c>
      <c r="W839" s="11">
        <v>616765.6</v>
      </c>
      <c r="X839" s="11">
        <v>395242.7</v>
      </c>
      <c r="Y839" s="11">
        <v>221523</v>
      </c>
      <c r="Z839" s="11">
        <v>1183265.7</v>
      </c>
      <c r="AA839" s="11">
        <v>399920.6</v>
      </c>
      <c r="AB839" s="11">
        <v>783345.1</v>
      </c>
      <c r="AC839" s="11">
        <v>108431.1</v>
      </c>
      <c r="AD839" s="11">
        <v>2532018.9</v>
      </c>
      <c r="AE839" s="11">
        <v>412573.5</v>
      </c>
      <c r="AF839" s="11">
        <v>12230.3</v>
      </c>
      <c r="AG839" s="11">
        <v>1371655.3</v>
      </c>
      <c r="AH839" s="13">
        <v>15852811.699999999</v>
      </c>
      <c r="AI839" s="11">
        <v>11154495.4</v>
      </c>
      <c r="AJ839" s="11">
        <v>1643940.4</v>
      </c>
      <c r="AK839" s="11">
        <v>9510555.0999999996</v>
      </c>
      <c r="AL839" s="11">
        <v>1960165.3</v>
      </c>
      <c r="AM839" s="11">
        <v>388968.8</v>
      </c>
      <c r="AN839" s="11">
        <v>626467.6</v>
      </c>
      <c r="AO839" s="13">
        <v>14130097.1</v>
      </c>
      <c r="AP839" s="11">
        <v>1722714.6</v>
      </c>
      <c r="AQ839" s="11">
        <v>20012.599999999999</v>
      </c>
      <c r="AR839" s="11">
        <v>16181.7</v>
      </c>
      <c r="AS839">
        <f t="shared" si="16"/>
        <v>22308990.899999999</v>
      </c>
      <c r="AT839">
        <f t="shared" si="17"/>
        <v>0.71060191700557829</v>
      </c>
    </row>
    <row r="840" spans="1:46" x14ac:dyDescent="0.4">
      <c r="A840" s="3" t="s">
        <v>971</v>
      </c>
      <c r="B840">
        <v>11712804.9</v>
      </c>
      <c r="C840">
        <v>3188840.2</v>
      </c>
      <c r="D840">
        <v>2289562.6</v>
      </c>
      <c r="E840">
        <v>1594984.5</v>
      </c>
      <c r="F840">
        <v>694578.1</v>
      </c>
      <c r="G840">
        <v>899277.6</v>
      </c>
      <c r="H840">
        <v>113290.7</v>
      </c>
      <c r="I840">
        <v>785986.9</v>
      </c>
      <c r="J840">
        <v>8523964.6999999993</v>
      </c>
      <c r="K840">
        <v>2047891</v>
      </c>
      <c r="L840">
        <v>3986537.5</v>
      </c>
      <c r="M840">
        <v>2121903.5</v>
      </c>
      <c r="N840">
        <v>429242.4</v>
      </c>
      <c r="O840">
        <v>1692661</v>
      </c>
      <c r="P840">
        <v>1864634.1</v>
      </c>
      <c r="Q840">
        <v>278532.3</v>
      </c>
      <c r="R840">
        <v>90687.7</v>
      </c>
      <c r="S840">
        <v>287742.3</v>
      </c>
      <c r="T840">
        <v>1207671.8</v>
      </c>
      <c r="U840" s="11">
        <v>1299394.5</v>
      </c>
      <c r="V840" s="12">
        <v>678397.8</v>
      </c>
      <c r="W840" s="11">
        <v>620996.69999999995</v>
      </c>
      <c r="X840" s="11">
        <v>398078.1</v>
      </c>
      <c r="Y840" s="11">
        <v>222918.7</v>
      </c>
      <c r="Z840" s="11">
        <v>1190141.8</v>
      </c>
      <c r="AA840" s="11">
        <v>402378.3</v>
      </c>
      <c r="AB840" s="11">
        <v>787763.5</v>
      </c>
      <c r="AC840" s="11">
        <v>108285.8</v>
      </c>
      <c r="AD840" s="11">
        <v>2530461.5</v>
      </c>
      <c r="AE840" s="11">
        <v>402539.9</v>
      </c>
      <c r="AF840" s="11">
        <v>11953.8</v>
      </c>
      <c r="AG840" s="11">
        <v>1357071.4</v>
      </c>
      <c r="AH840" s="13">
        <v>15906545.800000001</v>
      </c>
      <c r="AI840" s="11">
        <v>11194486.1</v>
      </c>
      <c r="AJ840" s="11">
        <v>1640752.1</v>
      </c>
      <c r="AK840" s="11">
        <v>9553733.9000000004</v>
      </c>
      <c r="AL840" s="11">
        <v>1976477.9</v>
      </c>
      <c r="AM840" s="11">
        <v>385237.2</v>
      </c>
      <c r="AN840" s="11">
        <v>614830.19999999995</v>
      </c>
      <c r="AO840" s="13">
        <v>14171031.4</v>
      </c>
      <c r="AP840" s="11">
        <v>1735514.3</v>
      </c>
      <c r="AQ840" s="11">
        <v>20466.900000000001</v>
      </c>
      <c r="AR840" s="11">
        <v>15780.6</v>
      </c>
      <c r="AS840">
        <f t="shared" si="16"/>
        <v>22388972.100000001</v>
      </c>
      <c r="AT840">
        <f t="shared" si="17"/>
        <v>0.71046342498233761</v>
      </c>
    </row>
    <row r="841" spans="1:46" x14ac:dyDescent="0.4">
      <c r="A841" s="3" t="s">
        <v>972</v>
      </c>
      <c r="B841">
        <v>11779007.6</v>
      </c>
      <c r="C841">
        <v>3208544.1</v>
      </c>
      <c r="D841">
        <v>2300433</v>
      </c>
      <c r="E841">
        <v>1597742.8</v>
      </c>
      <c r="F841">
        <v>702690.2</v>
      </c>
      <c r="G841">
        <v>908111.1</v>
      </c>
      <c r="H841">
        <v>114432.9</v>
      </c>
      <c r="I841">
        <v>793678.2</v>
      </c>
      <c r="J841">
        <v>8570463.5</v>
      </c>
      <c r="K841">
        <v>2050736.4</v>
      </c>
      <c r="L841">
        <v>4007443.4</v>
      </c>
      <c r="M841">
        <v>2126268.2999999998</v>
      </c>
      <c r="N841">
        <v>427303.6</v>
      </c>
      <c r="O841">
        <v>1698964.7</v>
      </c>
      <c r="P841">
        <v>1881175.1</v>
      </c>
      <c r="Q841">
        <v>281292.2</v>
      </c>
      <c r="R841">
        <v>91010.8</v>
      </c>
      <c r="S841">
        <v>291414.90000000002</v>
      </c>
      <c r="T841">
        <v>1217457.2</v>
      </c>
      <c r="U841" s="11">
        <v>1312688.8999999999</v>
      </c>
      <c r="V841" s="12">
        <v>687848.3</v>
      </c>
      <c r="W841" s="11">
        <v>624840.6</v>
      </c>
      <c r="X841" s="11">
        <v>400490.8</v>
      </c>
      <c r="Y841" s="11">
        <v>224349.8</v>
      </c>
      <c r="Z841" s="11">
        <v>1199594.8</v>
      </c>
      <c r="AA841" s="11">
        <v>408362.6</v>
      </c>
      <c r="AB841" s="11">
        <v>791232.3</v>
      </c>
      <c r="AC841" s="11">
        <v>108469.2</v>
      </c>
      <c r="AD841" s="11">
        <v>2486234.6</v>
      </c>
      <c r="AE841" s="11">
        <v>400608.7</v>
      </c>
      <c r="AF841" s="11">
        <v>12317.2</v>
      </c>
      <c r="AG841" s="11">
        <v>1391722.7</v>
      </c>
      <c r="AH841" s="13">
        <v>15961421.699999999</v>
      </c>
      <c r="AI841" s="11">
        <v>11268910.199999999</v>
      </c>
      <c r="AJ841" s="11">
        <v>1647605.4</v>
      </c>
      <c r="AK841" s="11">
        <v>9621304.8000000007</v>
      </c>
      <c r="AL841" s="11">
        <v>1969705.9</v>
      </c>
      <c r="AM841" s="11">
        <v>348398.4</v>
      </c>
      <c r="AN841" s="11">
        <v>635372.9</v>
      </c>
      <c r="AO841" s="13">
        <v>14222387.4</v>
      </c>
      <c r="AP841" s="11">
        <v>1739034.3</v>
      </c>
      <c r="AQ841" s="11">
        <v>26372.6</v>
      </c>
      <c r="AR841" s="11">
        <v>18675.2</v>
      </c>
      <c r="AS841">
        <f t="shared" ref="AS841:AS904" si="18">SUM(AI841:AK841)</f>
        <v>22537820.399999999</v>
      </c>
      <c r="AT841">
        <f t="shared" si="17"/>
        <v>0.70820609165915616</v>
      </c>
    </row>
    <row r="842" spans="1:46" x14ac:dyDescent="0.4">
      <c r="A842" s="3" t="s">
        <v>973</v>
      </c>
      <c r="B842">
        <v>11861494.300000001</v>
      </c>
      <c r="C842">
        <v>3243847.1</v>
      </c>
      <c r="D842">
        <v>2332478.5</v>
      </c>
      <c r="E842">
        <v>1613589.5</v>
      </c>
      <c r="F842">
        <v>718889</v>
      </c>
      <c r="G842">
        <v>911368.6</v>
      </c>
      <c r="H842">
        <v>109982.7</v>
      </c>
      <c r="I842">
        <v>801385.9</v>
      </c>
      <c r="J842">
        <v>8617647.1999999993</v>
      </c>
      <c r="K842">
        <v>2057774.5</v>
      </c>
      <c r="L842">
        <v>4031893.2</v>
      </c>
      <c r="M842">
        <v>2134137.6</v>
      </c>
      <c r="N842">
        <v>425351.1</v>
      </c>
      <c r="O842">
        <v>1708786.6</v>
      </c>
      <c r="P842">
        <v>1897755.5</v>
      </c>
      <c r="Q842">
        <v>284793.90000000002</v>
      </c>
      <c r="R842">
        <v>91397</v>
      </c>
      <c r="S842">
        <v>295149.40000000002</v>
      </c>
      <c r="T842">
        <v>1226415.2</v>
      </c>
      <c r="U842" s="11">
        <v>1325892.6000000001</v>
      </c>
      <c r="V842" s="12">
        <v>697186.4</v>
      </c>
      <c r="W842" s="11">
        <v>628706.19999999995</v>
      </c>
      <c r="X842" s="11">
        <v>402756.8</v>
      </c>
      <c r="Y842" s="11">
        <v>225949.4</v>
      </c>
      <c r="Z842" s="11">
        <v>1202086.8999999999</v>
      </c>
      <c r="AA842" s="11">
        <v>409594.9</v>
      </c>
      <c r="AB842" s="11">
        <v>792492</v>
      </c>
      <c r="AC842" s="11">
        <v>109123.4</v>
      </c>
      <c r="AD842" s="11">
        <v>2448200.6</v>
      </c>
      <c r="AE842" s="11">
        <v>415828.3</v>
      </c>
      <c r="AF842" s="11">
        <v>13385.1</v>
      </c>
      <c r="AG842" s="11">
        <v>1400109.7</v>
      </c>
      <c r="AH842" s="13">
        <v>16029894.6</v>
      </c>
      <c r="AI842" s="11">
        <v>11286657.199999999</v>
      </c>
      <c r="AJ842" s="11">
        <v>1610141.6</v>
      </c>
      <c r="AK842" s="11">
        <v>9676515.5999999996</v>
      </c>
      <c r="AL842" s="11">
        <v>1987956.1</v>
      </c>
      <c r="AM842" s="11">
        <v>343729</v>
      </c>
      <c r="AN842" s="11">
        <v>654495.80000000005</v>
      </c>
      <c r="AO842" s="13">
        <v>14272838.1</v>
      </c>
      <c r="AP842" s="11">
        <v>1757056.4</v>
      </c>
      <c r="AQ842" s="11">
        <v>30743</v>
      </c>
      <c r="AR842" s="11">
        <v>22991.599999999999</v>
      </c>
      <c r="AS842">
        <f t="shared" si="18"/>
        <v>22573314.399999999</v>
      </c>
      <c r="AT842">
        <f t="shared" si="17"/>
        <v>0.71012587323020671</v>
      </c>
    </row>
    <row r="843" spans="1:46" x14ac:dyDescent="0.4">
      <c r="A843" s="3" t="s">
        <v>974</v>
      </c>
      <c r="B843">
        <v>11905623.6</v>
      </c>
      <c r="C843">
        <v>3263964.4</v>
      </c>
      <c r="D843">
        <v>2353471.2000000002</v>
      </c>
      <c r="E843">
        <v>1633066.7</v>
      </c>
      <c r="F843">
        <v>720404.5</v>
      </c>
      <c r="G843">
        <v>910493.3</v>
      </c>
      <c r="H843">
        <v>106584.2</v>
      </c>
      <c r="I843">
        <v>803909.1</v>
      </c>
      <c r="J843">
        <v>8641659.1999999993</v>
      </c>
      <c r="K843">
        <v>2051353.5</v>
      </c>
      <c r="L843">
        <v>4055145.3</v>
      </c>
      <c r="M843">
        <v>2142464.6</v>
      </c>
      <c r="N843">
        <v>423032.6</v>
      </c>
      <c r="O843">
        <v>1719432</v>
      </c>
      <c r="P843">
        <v>1912680.7</v>
      </c>
      <c r="Q843">
        <v>287253.09999999998</v>
      </c>
      <c r="R843">
        <v>91623.1</v>
      </c>
      <c r="S843">
        <v>297124.90000000002</v>
      </c>
      <c r="T843">
        <v>1236679.7</v>
      </c>
      <c r="U843" s="11">
        <v>1333441.8999999999</v>
      </c>
      <c r="V843" s="12">
        <v>700233.5</v>
      </c>
      <c r="W843" s="11">
        <v>633208.4</v>
      </c>
      <c r="X843" s="11">
        <v>405511.8</v>
      </c>
      <c r="Y843" s="11">
        <v>227696.6</v>
      </c>
      <c r="Z843" s="11">
        <v>1201718.5</v>
      </c>
      <c r="AA843" s="11">
        <v>408678.6</v>
      </c>
      <c r="AB843" s="11">
        <v>793039.9</v>
      </c>
      <c r="AC843" s="11">
        <v>108612.4</v>
      </c>
      <c r="AD843" s="11">
        <v>2427512.1</v>
      </c>
      <c r="AE843" s="11">
        <v>421957.6</v>
      </c>
      <c r="AF843" s="11">
        <v>14035.9</v>
      </c>
      <c r="AG843" s="11">
        <v>1389316.6</v>
      </c>
      <c r="AH843" s="13">
        <v>16049833.4</v>
      </c>
      <c r="AI843" s="11">
        <v>11369437.6</v>
      </c>
      <c r="AJ843" s="11">
        <v>1586883.8</v>
      </c>
      <c r="AK843" s="11">
        <v>9782553.8000000007</v>
      </c>
      <c r="AL843" s="11">
        <v>1986588</v>
      </c>
      <c r="AM843" s="11">
        <v>308344</v>
      </c>
      <c r="AN843" s="11">
        <v>635982.19999999995</v>
      </c>
      <c r="AO843" s="13">
        <v>14300351.800000001</v>
      </c>
      <c r="AP843" s="11">
        <v>1749481.6</v>
      </c>
      <c r="AQ843" s="11">
        <v>29502.2</v>
      </c>
      <c r="AR843" s="11">
        <v>21964.400000000001</v>
      </c>
      <c r="AS843">
        <f t="shared" si="18"/>
        <v>22738875.200000003</v>
      </c>
      <c r="AT843">
        <f t="shared" si="17"/>
        <v>0.70583233598115702</v>
      </c>
    </row>
    <row r="844" spans="1:46" x14ac:dyDescent="0.4">
      <c r="A844" s="3" t="s">
        <v>975</v>
      </c>
      <c r="B844">
        <v>11987385.800000001</v>
      </c>
      <c r="C844">
        <v>3296914.2</v>
      </c>
      <c r="D844">
        <v>2381330.2999999998</v>
      </c>
      <c r="E844">
        <v>1649181.1</v>
      </c>
      <c r="F844">
        <v>732149.2</v>
      </c>
      <c r="G844">
        <v>915583.9</v>
      </c>
      <c r="H844">
        <v>103878.9</v>
      </c>
      <c r="I844">
        <v>811705</v>
      </c>
      <c r="J844">
        <v>8690471.5999999996</v>
      </c>
      <c r="K844">
        <v>2069923.3</v>
      </c>
      <c r="L844">
        <v>4074900.1</v>
      </c>
      <c r="M844">
        <v>2147519.4</v>
      </c>
      <c r="N844">
        <v>419970.4</v>
      </c>
      <c r="O844">
        <v>1727549</v>
      </c>
      <c r="P844">
        <v>1927380.6</v>
      </c>
      <c r="Q844">
        <v>289238.2</v>
      </c>
      <c r="R844">
        <v>91989.7</v>
      </c>
      <c r="S844">
        <v>301391.3</v>
      </c>
      <c r="T844">
        <v>1244761.3999999999</v>
      </c>
      <c r="U844" s="11">
        <v>1337581.3</v>
      </c>
      <c r="V844" s="12">
        <v>703096.4</v>
      </c>
      <c r="W844" s="11">
        <v>634484.9</v>
      </c>
      <c r="X844" s="11">
        <v>405375.3</v>
      </c>
      <c r="Y844" s="11">
        <v>229109.6</v>
      </c>
      <c r="Z844" s="11">
        <v>1208066.8999999999</v>
      </c>
      <c r="AA844" s="11">
        <v>408579.4</v>
      </c>
      <c r="AB844" s="11">
        <v>799487.5</v>
      </c>
      <c r="AC844" s="11">
        <v>108414.5</v>
      </c>
      <c r="AD844" s="11">
        <v>2371790.1</v>
      </c>
      <c r="AE844" s="11">
        <v>428365.9</v>
      </c>
      <c r="AF844" s="11">
        <v>14041</v>
      </c>
      <c r="AG844" s="11">
        <v>1377315.5</v>
      </c>
      <c r="AH844" s="13">
        <v>16070483.800000001</v>
      </c>
      <c r="AI844" s="11">
        <v>11375660.9</v>
      </c>
      <c r="AJ844" s="11">
        <v>1532943.7</v>
      </c>
      <c r="AK844" s="11">
        <v>9842717.1999999993</v>
      </c>
      <c r="AL844" s="11">
        <v>1995262.2</v>
      </c>
      <c r="AM844" s="11">
        <v>326396.40000000002</v>
      </c>
      <c r="AN844" s="11">
        <v>621120.19999999995</v>
      </c>
      <c r="AO844" s="13">
        <v>14318439.699999999</v>
      </c>
      <c r="AP844" s="11">
        <v>1752044.1</v>
      </c>
      <c r="AQ844" s="11">
        <v>26908.7</v>
      </c>
      <c r="AR844" s="11">
        <v>20050.7</v>
      </c>
      <c r="AS844">
        <f t="shared" si="18"/>
        <v>22751321.799999997</v>
      </c>
      <c r="AT844">
        <f t="shared" si="17"/>
        <v>0.70635385237265658</v>
      </c>
    </row>
    <row r="845" spans="1:46" x14ac:dyDescent="0.4">
      <c r="A845" s="3" t="s">
        <v>976</v>
      </c>
      <c r="B845">
        <v>12059778.699999999</v>
      </c>
      <c r="C845">
        <v>3320668.9</v>
      </c>
      <c r="D845">
        <v>2409572</v>
      </c>
      <c r="E845">
        <v>1668956.3</v>
      </c>
      <c r="F845">
        <v>740615.7</v>
      </c>
      <c r="G845">
        <v>911096.9</v>
      </c>
      <c r="H845">
        <v>101231.2</v>
      </c>
      <c r="I845">
        <v>809865.6</v>
      </c>
      <c r="J845">
        <v>8739109.8000000007</v>
      </c>
      <c r="K845">
        <v>2085408.4</v>
      </c>
      <c r="L845">
        <v>4097280.7</v>
      </c>
      <c r="M845">
        <v>2154233.4</v>
      </c>
      <c r="N845">
        <v>416594.3</v>
      </c>
      <c r="O845">
        <v>1737639.2</v>
      </c>
      <c r="P845">
        <v>1943047.2</v>
      </c>
      <c r="Q845">
        <v>292769.3</v>
      </c>
      <c r="R845">
        <v>92350.7</v>
      </c>
      <c r="S845">
        <v>304775.90000000002</v>
      </c>
      <c r="T845">
        <v>1253151.3</v>
      </c>
      <c r="U845" s="11">
        <v>1344193</v>
      </c>
      <c r="V845" s="12">
        <v>705674.4</v>
      </c>
      <c r="W845" s="11">
        <v>638518.69999999995</v>
      </c>
      <c r="X845" s="11">
        <v>407392.1</v>
      </c>
      <c r="Y845" s="11">
        <v>231126.5</v>
      </c>
      <c r="Z845" s="11">
        <v>1212227.8</v>
      </c>
      <c r="AA845" s="11">
        <v>408304</v>
      </c>
      <c r="AB845" s="11">
        <v>803923.8</v>
      </c>
      <c r="AC845" s="11">
        <v>109262.5</v>
      </c>
      <c r="AD845" s="11">
        <v>2268321.5</v>
      </c>
      <c r="AE845" s="11">
        <v>418121.8</v>
      </c>
      <c r="AF845" s="11">
        <v>13643.6</v>
      </c>
      <c r="AG845" s="11">
        <v>1374844</v>
      </c>
      <c r="AH845" s="13">
        <v>16025447</v>
      </c>
      <c r="AI845" s="11">
        <v>11377093.9</v>
      </c>
      <c r="AJ845" s="11">
        <v>1507480.4</v>
      </c>
      <c r="AK845" s="11">
        <v>9869613.4000000004</v>
      </c>
      <c r="AL845" s="11">
        <v>1988006.8</v>
      </c>
      <c r="AM845" s="11">
        <v>284064.7</v>
      </c>
      <c r="AN845" s="11">
        <v>607584.9</v>
      </c>
      <c r="AO845" s="13">
        <v>14256750.300000001</v>
      </c>
      <c r="AP845" s="11">
        <v>1768696.7</v>
      </c>
      <c r="AQ845" s="11">
        <v>22363</v>
      </c>
      <c r="AR845" s="11">
        <v>18019.2</v>
      </c>
      <c r="AS845">
        <f t="shared" si="18"/>
        <v>22754187.700000003</v>
      </c>
      <c r="AT845">
        <f t="shared" si="17"/>
        <v>0.70428561156678859</v>
      </c>
    </row>
    <row r="846" spans="1:46" x14ac:dyDescent="0.4">
      <c r="A846" s="3" t="s">
        <v>977</v>
      </c>
      <c r="B846">
        <v>12079239</v>
      </c>
      <c r="C846">
        <v>3316248.2</v>
      </c>
      <c r="D846">
        <v>2414026.2999999998</v>
      </c>
      <c r="E846">
        <v>1671341.7</v>
      </c>
      <c r="F846">
        <v>742684.5</v>
      </c>
      <c r="G846">
        <v>902222</v>
      </c>
      <c r="H846">
        <v>99641.5</v>
      </c>
      <c r="I846">
        <v>802580.4</v>
      </c>
      <c r="J846">
        <v>8762990.6999999993</v>
      </c>
      <c r="K846">
        <v>2089114.2</v>
      </c>
      <c r="L846">
        <v>4109382.3</v>
      </c>
      <c r="M846">
        <v>2154445.7000000002</v>
      </c>
      <c r="N846">
        <v>412275.7</v>
      </c>
      <c r="O846">
        <v>1742170</v>
      </c>
      <c r="P846">
        <v>1954936.5</v>
      </c>
      <c r="Q846">
        <v>296372</v>
      </c>
      <c r="R846">
        <v>92689.2</v>
      </c>
      <c r="S846">
        <v>307407.5</v>
      </c>
      <c r="T846">
        <v>1258467.8</v>
      </c>
      <c r="U846" s="11">
        <v>1348930</v>
      </c>
      <c r="V846" s="12">
        <v>707366.9</v>
      </c>
      <c r="W846" s="11">
        <v>641563.1</v>
      </c>
      <c r="X846" s="11">
        <v>409346.1</v>
      </c>
      <c r="Y846" s="11">
        <v>232217</v>
      </c>
      <c r="Z846" s="11">
        <v>1215564.3</v>
      </c>
      <c r="AA846" s="11">
        <v>409979.9</v>
      </c>
      <c r="AB846" s="11">
        <v>805584.5</v>
      </c>
      <c r="AC846" s="11">
        <v>109618.3</v>
      </c>
      <c r="AD846" s="11">
        <v>2240180.5</v>
      </c>
      <c r="AE846" s="11">
        <v>409768.2</v>
      </c>
      <c r="AF846" s="11">
        <v>13615.8</v>
      </c>
      <c r="AG846" s="11">
        <v>1380767.6</v>
      </c>
      <c r="AH846" s="13">
        <v>16013952.699999999</v>
      </c>
      <c r="AI846" s="11">
        <v>11423426.1</v>
      </c>
      <c r="AJ846" s="11">
        <v>1510140.2</v>
      </c>
      <c r="AK846" s="11">
        <v>9913286</v>
      </c>
      <c r="AL846" s="11">
        <v>1981935.5</v>
      </c>
      <c r="AM846" s="11">
        <v>268114.7</v>
      </c>
      <c r="AN846" s="11">
        <v>598826.80000000005</v>
      </c>
      <c r="AO846" s="13">
        <v>14272303.1</v>
      </c>
      <c r="AP846" s="11">
        <v>1741649.6</v>
      </c>
      <c r="AQ846" s="11">
        <v>782.9</v>
      </c>
      <c r="AR846" s="11">
        <v>1752.8</v>
      </c>
      <c r="AS846">
        <f t="shared" si="18"/>
        <v>22846852.299999997</v>
      </c>
      <c r="AT846">
        <f t="shared" si="17"/>
        <v>0.70092599583181969</v>
      </c>
    </row>
    <row r="847" spans="1:46" x14ac:dyDescent="0.4">
      <c r="A847" s="3" t="s">
        <v>978</v>
      </c>
      <c r="B847">
        <v>12075744.6</v>
      </c>
      <c r="C847">
        <v>3311438.6</v>
      </c>
      <c r="D847">
        <v>2409647.1</v>
      </c>
      <c r="E847">
        <v>1673233.9</v>
      </c>
      <c r="F847">
        <v>736413.2</v>
      </c>
      <c r="G847">
        <v>901791.5</v>
      </c>
      <c r="H847">
        <v>97916.5</v>
      </c>
      <c r="I847">
        <v>803874.9</v>
      </c>
      <c r="J847">
        <v>8764306.0999999996</v>
      </c>
      <c r="K847">
        <v>2084248.1</v>
      </c>
      <c r="L847">
        <v>4114739.2000000002</v>
      </c>
      <c r="M847">
        <v>2152258.2000000002</v>
      </c>
      <c r="N847">
        <v>406440.7</v>
      </c>
      <c r="O847">
        <v>1745817.5</v>
      </c>
      <c r="P847">
        <v>1962481</v>
      </c>
      <c r="Q847">
        <v>300161.2</v>
      </c>
      <c r="R847">
        <v>92955.1</v>
      </c>
      <c r="S847">
        <v>309212.09999999998</v>
      </c>
      <c r="T847">
        <v>1260152.7</v>
      </c>
      <c r="U847" s="11">
        <v>1355561.3</v>
      </c>
      <c r="V847" s="12">
        <v>711573.6</v>
      </c>
      <c r="W847" s="11">
        <v>643987.69999999995</v>
      </c>
      <c r="X847" s="11">
        <v>409850.8</v>
      </c>
      <c r="Y847" s="11">
        <v>234136.9</v>
      </c>
      <c r="Z847" s="11">
        <v>1209757.3999999999</v>
      </c>
      <c r="AA847" s="11">
        <v>409547.3</v>
      </c>
      <c r="AB847" s="11">
        <v>800210</v>
      </c>
      <c r="AC847" s="11">
        <v>109953.60000000001</v>
      </c>
      <c r="AD847" s="11">
        <v>2252386.6</v>
      </c>
      <c r="AE847" s="11">
        <v>405392.8</v>
      </c>
      <c r="AF847" s="11">
        <v>13551.2</v>
      </c>
      <c r="AG847" s="11">
        <v>1393077.4</v>
      </c>
      <c r="AH847" s="13">
        <v>16030199.1</v>
      </c>
      <c r="AI847" s="11">
        <v>11473462.4</v>
      </c>
      <c r="AJ847" s="11">
        <v>1513041.4</v>
      </c>
      <c r="AK847" s="11">
        <v>9960421</v>
      </c>
      <c r="AL847" s="11">
        <v>1979733.4</v>
      </c>
      <c r="AM847" s="11">
        <v>213835.3</v>
      </c>
      <c r="AN847" s="11">
        <v>597139.69999999995</v>
      </c>
      <c r="AO847" s="13">
        <v>14264170.800000001</v>
      </c>
      <c r="AP847" s="11">
        <v>1766028.3</v>
      </c>
      <c r="AQ847" s="11">
        <v>-12478.3</v>
      </c>
      <c r="AR847" s="11">
        <v>-10981.8</v>
      </c>
      <c r="AS847">
        <f t="shared" si="18"/>
        <v>22946924.800000001</v>
      </c>
      <c r="AT847">
        <f t="shared" si="17"/>
        <v>0.69857722721957061</v>
      </c>
    </row>
    <row r="848" spans="1:46" x14ac:dyDescent="0.4">
      <c r="A848" s="3" t="s">
        <v>979</v>
      </c>
      <c r="B848">
        <v>12108679.9</v>
      </c>
      <c r="C848">
        <v>3322495.8</v>
      </c>
      <c r="D848">
        <v>2418984.6</v>
      </c>
      <c r="E848">
        <v>1684274.8</v>
      </c>
      <c r="F848">
        <v>734709.8</v>
      </c>
      <c r="G848">
        <v>903511.3</v>
      </c>
      <c r="H848">
        <v>95999.8</v>
      </c>
      <c r="I848">
        <v>807511.5</v>
      </c>
      <c r="J848">
        <v>8786184.0999999996</v>
      </c>
      <c r="K848">
        <v>2082710.6</v>
      </c>
      <c r="L848">
        <v>4133340</v>
      </c>
      <c r="M848">
        <v>2152339.9</v>
      </c>
      <c r="N848">
        <v>402513.1</v>
      </c>
      <c r="O848">
        <v>1749826.8</v>
      </c>
      <c r="P848">
        <v>1981000.1</v>
      </c>
      <c r="Q848">
        <v>303097.7</v>
      </c>
      <c r="R848">
        <v>93522.4</v>
      </c>
      <c r="S848">
        <v>311644</v>
      </c>
      <c r="T848">
        <v>1272736</v>
      </c>
      <c r="U848" s="11">
        <v>1360314</v>
      </c>
      <c r="V848" s="12">
        <v>713383</v>
      </c>
      <c r="W848" s="11">
        <v>646930.9</v>
      </c>
      <c r="X848" s="11">
        <v>411153.8</v>
      </c>
      <c r="Y848" s="11">
        <v>235777.1</v>
      </c>
      <c r="Z848" s="11">
        <v>1209819.6000000001</v>
      </c>
      <c r="AA848" s="11">
        <v>406660.2</v>
      </c>
      <c r="AB848" s="11">
        <v>803159.4</v>
      </c>
      <c r="AC848" s="11">
        <v>110134.5</v>
      </c>
      <c r="AD848" s="11">
        <v>2301577.9</v>
      </c>
      <c r="AE848" s="11">
        <v>395596.7</v>
      </c>
      <c r="AF848" s="11">
        <v>13880.3</v>
      </c>
      <c r="AG848" s="11">
        <v>1357723.3</v>
      </c>
      <c r="AH848" s="13">
        <v>16067323.5</v>
      </c>
      <c r="AI848" s="11">
        <v>11535635.699999999</v>
      </c>
      <c r="AJ848" s="11">
        <v>1522154.1</v>
      </c>
      <c r="AK848" s="11">
        <v>10013481.699999999</v>
      </c>
      <c r="AL848" s="11">
        <v>1974043.7</v>
      </c>
      <c r="AM848" s="11">
        <v>240136.4</v>
      </c>
      <c r="AN848" s="11">
        <v>555247.1</v>
      </c>
      <c r="AO848" s="13">
        <v>14305063</v>
      </c>
      <c r="AP848" s="11">
        <v>1762260.5</v>
      </c>
      <c r="AQ848" s="11">
        <v>-10281.799999999999</v>
      </c>
      <c r="AR848" s="11">
        <v>-11355.6</v>
      </c>
      <c r="AS848">
        <f t="shared" si="18"/>
        <v>23071271.5</v>
      </c>
      <c r="AT848">
        <f t="shared" si="17"/>
        <v>0.69642123972231007</v>
      </c>
    </row>
    <row r="849" spans="1:46" x14ac:dyDescent="0.4">
      <c r="A849" s="3" t="s">
        <v>980</v>
      </c>
      <c r="B849">
        <v>12150802.800000001</v>
      </c>
      <c r="C849">
        <v>3345077.3</v>
      </c>
      <c r="D849">
        <v>2438198.7000000002</v>
      </c>
      <c r="E849">
        <v>1696908.9</v>
      </c>
      <c r="F849">
        <v>741289.8</v>
      </c>
      <c r="G849">
        <v>906878.6</v>
      </c>
      <c r="H849">
        <v>93397.2</v>
      </c>
      <c r="I849">
        <v>813481.4</v>
      </c>
      <c r="J849">
        <v>8805725.5</v>
      </c>
      <c r="K849">
        <v>2082631.5</v>
      </c>
      <c r="L849">
        <v>4142609</v>
      </c>
      <c r="M849">
        <v>2149419.7000000002</v>
      </c>
      <c r="N849">
        <v>401960.9</v>
      </c>
      <c r="O849">
        <v>1747458.8</v>
      </c>
      <c r="P849">
        <v>1993189.3</v>
      </c>
      <c r="Q849">
        <v>305578.90000000002</v>
      </c>
      <c r="R849">
        <v>93963.9</v>
      </c>
      <c r="S849">
        <v>313871.5</v>
      </c>
      <c r="T849">
        <v>1279775</v>
      </c>
      <c r="U849" s="11">
        <v>1364031.3</v>
      </c>
      <c r="V849" s="12">
        <v>715821.6</v>
      </c>
      <c r="W849" s="11">
        <v>648209.69999999995</v>
      </c>
      <c r="X849" s="11">
        <v>411587.4</v>
      </c>
      <c r="Y849" s="11">
        <v>236622.3</v>
      </c>
      <c r="Z849" s="11">
        <v>1216453.6000000001</v>
      </c>
      <c r="AA849" s="11">
        <v>410065.7</v>
      </c>
      <c r="AB849" s="11">
        <v>806387.9</v>
      </c>
      <c r="AC849" s="11">
        <v>110191.8</v>
      </c>
      <c r="AD849" s="11">
        <v>2353612.5</v>
      </c>
      <c r="AE849" s="11">
        <v>392375</v>
      </c>
      <c r="AF849" s="11">
        <v>13246.8</v>
      </c>
      <c r="AG849" s="11">
        <v>1344021.2</v>
      </c>
      <c r="AH849" s="13">
        <v>16143866.5</v>
      </c>
      <c r="AI849" s="11">
        <v>11576324.199999999</v>
      </c>
      <c r="AJ849" s="11">
        <v>1521734.5</v>
      </c>
      <c r="AK849" s="11">
        <v>10054589.699999999</v>
      </c>
      <c r="AL849" s="11">
        <v>1993699.6</v>
      </c>
      <c r="AM849" s="11">
        <v>244753.5</v>
      </c>
      <c r="AN849" s="11">
        <v>548792</v>
      </c>
      <c r="AO849" s="13">
        <v>14363569.4</v>
      </c>
      <c r="AP849" s="11">
        <v>1780297.1</v>
      </c>
      <c r="AQ849" s="11">
        <v>-9436.2999999999993</v>
      </c>
      <c r="AR849" s="11">
        <v>-10751.3</v>
      </c>
      <c r="AS849">
        <f t="shared" si="18"/>
        <v>23152648.399999999</v>
      </c>
      <c r="AT849">
        <f t="shared" si="17"/>
        <v>0.6972794740838375</v>
      </c>
    </row>
    <row r="850" spans="1:46" x14ac:dyDescent="0.4">
      <c r="A850" s="3" t="s">
        <v>981</v>
      </c>
      <c r="B850">
        <v>12167316.800000001</v>
      </c>
      <c r="C850">
        <v>3359058.4</v>
      </c>
      <c r="D850">
        <v>2447276.2999999998</v>
      </c>
      <c r="E850">
        <v>1703669.3</v>
      </c>
      <c r="F850">
        <v>743607</v>
      </c>
      <c r="G850">
        <v>911782.1</v>
      </c>
      <c r="H850">
        <v>91837.2</v>
      </c>
      <c r="I850">
        <v>819945</v>
      </c>
      <c r="J850">
        <v>8808258.4000000004</v>
      </c>
      <c r="K850">
        <v>2065990.1</v>
      </c>
      <c r="L850">
        <v>4151355.1</v>
      </c>
      <c r="M850">
        <v>2145626.6</v>
      </c>
      <c r="N850">
        <v>401258.5</v>
      </c>
      <c r="O850">
        <v>1744368.1</v>
      </c>
      <c r="P850">
        <v>2005728.5</v>
      </c>
      <c r="Q850">
        <v>307867.2</v>
      </c>
      <c r="R850">
        <v>94402.7</v>
      </c>
      <c r="S850">
        <v>316327.90000000002</v>
      </c>
      <c r="T850">
        <v>1287130.7</v>
      </c>
      <c r="U850" s="11">
        <v>1366723</v>
      </c>
      <c r="V850" s="12">
        <v>717262.8</v>
      </c>
      <c r="W850" s="11">
        <v>649460.19999999995</v>
      </c>
      <c r="X850" s="11">
        <v>412178.6</v>
      </c>
      <c r="Y850" s="11">
        <v>237281.6</v>
      </c>
      <c r="Z850" s="11">
        <v>1224190.2</v>
      </c>
      <c r="AA850" s="11">
        <v>414121.1</v>
      </c>
      <c r="AB850" s="11">
        <v>810069.2</v>
      </c>
      <c r="AC850" s="11">
        <v>110245.3</v>
      </c>
      <c r="AD850" s="11">
        <v>2399240.1</v>
      </c>
      <c r="AE850" s="11">
        <v>374314.1</v>
      </c>
      <c r="AF850" s="11">
        <v>13439.9</v>
      </c>
      <c r="AG850" s="11">
        <v>1346617.6</v>
      </c>
      <c r="AH850" s="13">
        <v>16190683.300000001</v>
      </c>
      <c r="AI850" s="11">
        <v>11632340.800000001</v>
      </c>
      <c r="AJ850" s="11">
        <v>1537141.1</v>
      </c>
      <c r="AK850" s="11">
        <v>10095199.699999999</v>
      </c>
      <c r="AL850" s="11">
        <v>1979788.4</v>
      </c>
      <c r="AM850" s="11">
        <v>244859</v>
      </c>
      <c r="AN850" s="11">
        <v>551421.69999999995</v>
      </c>
      <c r="AO850" s="13">
        <v>14408409.9</v>
      </c>
      <c r="AP850" s="11">
        <v>1782273.3</v>
      </c>
      <c r="AQ850" s="11">
        <v>-11444.2</v>
      </c>
      <c r="AR850" s="11">
        <v>-11973.9</v>
      </c>
      <c r="AS850">
        <f t="shared" si="18"/>
        <v>23264681.600000001</v>
      </c>
      <c r="AT850">
        <f t="shared" si="17"/>
        <v>0.69593401613542816</v>
      </c>
    </row>
    <row r="851" spans="1:46" x14ac:dyDescent="0.4">
      <c r="A851" s="3" t="s">
        <v>982</v>
      </c>
      <c r="B851">
        <v>12196349.4</v>
      </c>
      <c r="C851">
        <v>3358891.1</v>
      </c>
      <c r="D851">
        <v>2446197</v>
      </c>
      <c r="E851">
        <v>1707052.1</v>
      </c>
      <c r="F851">
        <v>739144.9</v>
      </c>
      <c r="G851">
        <v>912694.1</v>
      </c>
      <c r="H851">
        <v>92570.5</v>
      </c>
      <c r="I851">
        <v>820123.6</v>
      </c>
      <c r="J851">
        <v>8837458.3000000007</v>
      </c>
      <c r="K851">
        <v>2067102.4</v>
      </c>
      <c r="L851">
        <v>4167891.9</v>
      </c>
      <c r="M851">
        <v>2149025.1</v>
      </c>
      <c r="N851">
        <v>399510.3</v>
      </c>
      <c r="O851">
        <v>1749514.7</v>
      </c>
      <c r="P851">
        <v>2018866.9</v>
      </c>
      <c r="Q851">
        <v>309933.7</v>
      </c>
      <c r="R851">
        <v>94683.8</v>
      </c>
      <c r="S851">
        <v>318218.3</v>
      </c>
      <c r="T851">
        <v>1296031</v>
      </c>
      <c r="U851" s="11">
        <v>1369558.7</v>
      </c>
      <c r="V851" s="12">
        <v>719718.1</v>
      </c>
      <c r="W851" s="11">
        <v>649840.6</v>
      </c>
      <c r="X851" s="11">
        <v>411849</v>
      </c>
      <c r="Y851" s="11">
        <v>237991.6</v>
      </c>
      <c r="Z851" s="11">
        <v>1232905.3</v>
      </c>
      <c r="AA851" s="11">
        <v>418708.6</v>
      </c>
      <c r="AB851" s="11">
        <v>814196.7</v>
      </c>
      <c r="AC851" s="11">
        <v>109223</v>
      </c>
      <c r="AD851" s="11">
        <v>2376141.1</v>
      </c>
      <c r="AE851" s="11">
        <v>394571.4</v>
      </c>
      <c r="AF851" s="11">
        <v>13090.9</v>
      </c>
      <c r="AG851" s="11">
        <v>1354996</v>
      </c>
      <c r="AH851" s="13">
        <v>16225925.800000001</v>
      </c>
      <c r="AI851" s="11">
        <v>11672963.4</v>
      </c>
      <c r="AJ851" s="11">
        <v>1553597.5</v>
      </c>
      <c r="AK851" s="11">
        <v>10119366</v>
      </c>
      <c r="AL851" s="11">
        <v>1973872.8</v>
      </c>
      <c r="AM851" s="11">
        <v>234081.4</v>
      </c>
      <c r="AN851" s="11">
        <v>556921.59999999998</v>
      </c>
      <c r="AO851" s="13">
        <v>14437839.199999999</v>
      </c>
      <c r="AP851" s="11">
        <v>1788086.6</v>
      </c>
      <c r="AQ851" s="11">
        <v>-1869.3</v>
      </c>
      <c r="AR851" s="11">
        <v>-4850.3</v>
      </c>
      <c r="AS851">
        <f t="shared" si="18"/>
        <v>23345926.899999999</v>
      </c>
      <c r="AT851">
        <f t="shared" si="17"/>
        <v>0.6950216999094605</v>
      </c>
    </row>
    <row r="852" spans="1:46" x14ac:dyDescent="0.4">
      <c r="A852" s="3" t="s">
        <v>983</v>
      </c>
      <c r="B852">
        <v>12241248.199999999</v>
      </c>
      <c r="C852">
        <v>3371465.8</v>
      </c>
      <c r="D852">
        <v>2459182.2000000002</v>
      </c>
      <c r="E852">
        <v>1726814.3</v>
      </c>
      <c r="F852">
        <v>732367.9</v>
      </c>
      <c r="G852">
        <v>912283.6</v>
      </c>
      <c r="H852">
        <v>90118.5</v>
      </c>
      <c r="I852">
        <v>822165.1</v>
      </c>
      <c r="J852">
        <v>8869782.5</v>
      </c>
      <c r="K852">
        <v>2071360</v>
      </c>
      <c r="L852">
        <v>4184161.2</v>
      </c>
      <c r="M852">
        <v>2156212.2999999998</v>
      </c>
      <c r="N852">
        <v>397409.6</v>
      </c>
      <c r="O852">
        <v>1758802.7</v>
      </c>
      <c r="P852">
        <v>2027948.9</v>
      </c>
      <c r="Q852">
        <v>310750.90000000002</v>
      </c>
      <c r="R852">
        <v>95105</v>
      </c>
      <c r="S852">
        <v>319203.5</v>
      </c>
      <c r="T852">
        <v>1302889.3999999999</v>
      </c>
      <c r="U852" s="11">
        <v>1372422</v>
      </c>
      <c r="V852" s="12">
        <v>721141.4</v>
      </c>
      <c r="W852" s="11">
        <v>651280.6</v>
      </c>
      <c r="X852" s="11">
        <v>412246.4</v>
      </c>
      <c r="Y852" s="11">
        <v>239034.1</v>
      </c>
      <c r="Z852" s="11">
        <v>1241839.2</v>
      </c>
      <c r="AA852" s="11">
        <v>425977.4</v>
      </c>
      <c r="AB852" s="11">
        <v>815861.9</v>
      </c>
      <c r="AC852" s="11">
        <v>108544.3</v>
      </c>
      <c r="AD852" s="11">
        <v>2322870.2999999998</v>
      </c>
      <c r="AE852" s="11">
        <v>403564.6</v>
      </c>
      <c r="AF852" s="11">
        <v>13230.4</v>
      </c>
      <c r="AG852" s="11">
        <v>1359326.3</v>
      </c>
      <c r="AH852" s="13">
        <v>16231695.6</v>
      </c>
      <c r="AI852" s="11">
        <v>11727561.800000001</v>
      </c>
      <c r="AJ852" s="11">
        <v>1565667.7</v>
      </c>
      <c r="AK852" s="11">
        <v>10161894</v>
      </c>
      <c r="AL852" s="11">
        <v>1971647.5</v>
      </c>
      <c r="AM852" s="11">
        <v>172259.9</v>
      </c>
      <c r="AN852" s="11">
        <v>565585.69999999995</v>
      </c>
      <c r="AO852" s="13">
        <v>14437054.9</v>
      </c>
      <c r="AP852" s="11">
        <v>1794640.7</v>
      </c>
      <c r="AQ852" s="11">
        <v>489.1</v>
      </c>
      <c r="AR852" s="11">
        <v>-2416.1</v>
      </c>
      <c r="AS852">
        <f t="shared" si="18"/>
        <v>23455123.5</v>
      </c>
      <c r="AT852">
        <f t="shared" si="17"/>
        <v>0.69203198183970338</v>
      </c>
    </row>
    <row r="853" spans="1:46" x14ac:dyDescent="0.4">
      <c r="A853" s="3" t="s">
        <v>984</v>
      </c>
      <c r="B853">
        <v>12247643.4</v>
      </c>
      <c r="C853">
        <v>3363327.5</v>
      </c>
      <c r="D853">
        <v>2454275</v>
      </c>
      <c r="E853">
        <v>1739593.4</v>
      </c>
      <c r="F853">
        <v>714681.7</v>
      </c>
      <c r="G853">
        <v>909052.5</v>
      </c>
      <c r="H853">
        <v>88499.8</v>
      </c>
      <c r="I853">
        <v>820552.6</v>
      </c>
      <c r="J853">
        <v>8884315.9000000004</v>
      </c>
      <c r="K853">
        <v>2072824.8</v>
      </c>
      <c r="L853">
        <v>4195403.9000000004</v>
      </c>
      <c r="M853">
        <v>2158340</v>
      </c>
      <c r="N853">
        <v>395301.8</v>
      </c>
      <c r="O853">
        <v>1763038.2</v>
      </c>
      <c r="P853">
        <v>2037064</v>
      </c>
      <c r="Q853">
        <v>312008.2</v>
      </c>
      <c r="R853">
        <v>95609.7</v>
      </c>
      <c r="S853">
        <v>321274.09999999998</v>
      </c>
      <c r="T853">
        <v>1308171.8999999999</v>
      </c>
      <c r="U853" s="11">
        <v>1373522.7</v>
      </c>
      <c r="V853" s="12">
        <v>724921.5</v>
      </c>
      <c r="W853" s="11">
        <v>648601.19999999995</v>
      </c>
      <c r="X853" s="11">
        <v>413160.6</v>
      </c>
      <c r="Y853" s="11">
        <v>235440.6</v>
      </c>
      <c r="Z853" s="11">
        <v>1242564.5</v>
      </c>
      <c r="AA853" s="11">
        <v>425234.8</v>
      </c>
      <c r="AB853" s="11">
        <v>817329.6</v>
      </c>
      <c r="AC853" s="11">
        <v>108262.3</v>
      </c>
      <c r="AD853" s="11">
        <v>2320272.1</v>
      </c>
      <c r="AE853" s="11">
        <v>411690.7</v>
      </c>
      <c r="AF853" s="11">
        <v>13784.7</v>
      </c>
      <c r="AG853" s="11">
        <v>1358381.5</v>
      </c>
      <c r="AH853" s="13">
        <v>16243510.199999999</v>
      </c>
      <c r="AI853" s="11">
        <v>11732313.800000001</v>
      </c>
      <c r="AJ853" s="11">
        <v>1571134.3</v>
      </c>
      <c r="AK853" s="11">
        <v>10161179.5</v>
      </c>
      <c r="AL853" s="11">
        <v>1976060.1</v>
      </c>
      <c r="AM853" s="11">
        <v>173850.4</v>
      </c>
      <c r="AN853" s="11">
        <v>563280.30000000005</v>
      </c>
      <c r="AO853" s="13">
        <v>14445504.6</v>
      </c>
      <c r="AP853" s="11">
        <v>1798005.6</v>
      </c>
      <c r="AQ853" s="11">
        <v>4232.8999999999996</v>
      </c>
      <c r="AR853" s="11">
        <v>48</v>
      </c>
      <c r="AS853">
        <f t="shared" si="18"/>
        <v>23464627.600000001</v>
      </c>
      <c r="AT853">
        <f t="shared" si="17"/>
        <v>0.69225518840111477</v>
      </c>
    </row>
    <row r="854" spans="1:46" x14ac:dyDescent="0.4">
      <c r="A854" s="3" t="s">
        <v>985</v>
      </c>
      <c r="B854">
        <v>12294777</v>
      </c>
      <c r="C854">
        <v>3366289.6</v>
      </c>
      <c r="D854">
        <v>2461932.6</v>
      </c>
      <c r="E854">
        <v>1756289.5</v>
      </c>
      <c r="F854">
        <v>705643.1</v>
      </c>
      <c r="G854">
        <v>904357</v>
      </c>
      <c r="H854">
        <v>87077.4</v>
      </c>
      <c r="I854">
        <v>817279.6</v>
      </c>
      <c r="J854">
        <v>8928487.3000000007</v>
      </c>
      <c r="K854">
        <v>2076414</v>
      </c>
      <c r="L854">
        <v>4214654.2</v>
      </c>
      <c r="M854">
        <v>2164824.9</v>
      </c>
      <c r="N854">
        <v>393094.7</v>
      </c>
      <c r="O854">
        <v>1771730.2</v>
      </c>
      <c r="P854">
        <v>2049829.4</v>
      </c>
      <c r="Q854">
        <v>313793.5</v>
      </c>
      <c r="R854">
        <v>96273.600000000006</v>
      </c>
      <c r="S854">
        <v>324233.7</v>
      </c>
      <c r="T854">
        <v>1315528.7</v>
      </c>
      <c r="U854" s="11">
        <v>1379739.2</v>
      </c>
      <c r="V854" s="12">
        <v>728831.1</v>
      </c>
      <c r="W854" s="11">
        <v>650908.1</v>
      </c>
      <c r="X854" s="11">
        <v>414526.1</v>
      </c>
      <c r="Y854" s="11">
        <v>236381.9</v>
      </c>
      <c r="Z854" s="11">
        <v>1257679.8999999999</v>
      </c>
      <c r="AA854" s="11">
        <v>430050</v>
      </c>
      <c r="AB854" s="11">
        <v>827629.9</v>
      </c>
      <c r="AC854" s="11">
        <v>108223.2</v>
      </c>
      <c r="AD854" s="11">
        <v>2374532.2000000002</v>
      </c>
      <c r="AE854" s="11">
        <v>417916.6</v>
      </c>
      <c r="AF854" s="11">
        <v>13794.2</v>
      </c>
      <c r="AG854" s="11">
        <v>1363343.5</v>
      </c>
      <c r="AH854" s="13">
        <v>16356140.300000001</v>
      </c>
      <c r="AI854" s="11">
        <v>11788573.300000001</v>
      </c>
      <c r="AJ854" s="11">
        <v>1578438.1</v>
      </c>
      <c r="AK854" s="11">
        <v>10210135.199999999</v>
      </c>
      <c r="AL854" s="11">
        <v>2007566.6</v>
      </c>
      <c r="AM854" s="11">
        <v>175097.1</v>
      </c>
      <c r="AN854" s="11">
        <v>564816.19999999995</v>
      </c>
      <c r="AO854" s="13">
        <v>14536053.199999999</v>
      </c>
      <c r="AP854" s="11">
        <v>1820087.1</v>
      </c>
      <c r="AQ854" s="11">
        <v>1882.1</v>
      </c>
      <c r="AR854" s="11">
        <v>-3321.8</v>
      </c>
      <c r="AS854">
        <f t="shared" si="18"/>
        <v>23577146.600000001</v>
      </c>
      <c r="AT854">
        <f t="shared" si="17"/>
        <v>0.6937285744323276</v>
      </c>
    </row>
    <row r="855" spans="1:46" x14ac:dyDescent="0.4">
      <c r="A855" s="3" t="s">
        <v>986</v>
      </c>
      <c r="B855">
        <v>12326775.6</v>
      </c>
      <c r="C855">
        <v>3369898.7</v>
      </c>
      <c r="D855">
        <v>2465757.1</v>
      </c>
      <c r="E855">
        <v>1765788.5</v>
      </c>
      <c r="F855">
        <v>699968.7</v>
      </c>
      <c r="G855">
        <v>904141.6</v>
      </c>
      <c r="H855">
        <v>86308.7</v>
      </c>
      <c r="I855">
        <v>817832.9</v>
      </c>
      <c r="J855">
        <v>8956876.9000000004</v>
      </c>
      <c r="K855">
        <v>2084098.3</v>
      </c>
      <c r="L855">
        <v>4225301.4000000004</v>
      </c>
      <c r="M855">
        <v>2168026.5</v>
      </c>
      <c r="N855">
        <v>390465</v>
      </c>
      <c r="O855">
        <v>1777561.5</v>
      </c>
      <c r="P855">
        <v>2057274.9</v>
      </c>
      <c r="Q855">
        <v>315827.40000000002</v>
      </c>
      <c r="R855">
        <v>96770.6</v>
      </c>
      <c r="S855">
        <v>323156.09999999998</v>
      </c>
      <c r="T855">
        <v>1321520.8</v>
      </c>
      <c r="U855" s="11">
        <v>1384349.9</v>
      </c>
      <c r="V855" s="12">
        <v>730485.5</v>
      </c>
      <c r="W855" s="11">
        <v>653864.30000000005</v>
      </c>
      <c r="X855" s="11">
        <v>415944.2</v>
      </c>
      <c r="Y855" s="11">
        <v>237920.1</v>
      </c>
      <c r="Z855" s="11">
        <v>1263127.3999999999</v>
      </c>
      <c r="AA855" s="11">
        <v>432283</v>
      </c>
      <c r="AB855" s="11">
        <v>830844.4</v>
      </c>
      <c r="AC855" s="11">
        <v>108125</v>
      </c>
      <c r="AD855" s="11">
        <v>2430783.5</v>
      </c>
      <c r="AE855" s="11">
        <v>426677</v>
      </c>
      <c r="AF855" s="11">
        <v>13495.8</v>
      </c>
      <c r="AG855" s="11">
        <v>1377951.5</v>
      </c>
      <c r="AH855" s="13">
        <v>16467558.4</v>
      </c>
      <c r="AI855" s="11">
        <v>11834932.199999999</v>
      </c>
      <c r="AJ855" s="11">
        <v>1601480.9</v>
      </c>
      <c r="AK855" s="11">
        <v>10233451.300000001</v>
      </c>
      <c r="AL855" s="11">
        <v>2056620</v>
      </c>
      <c r="AM855" s="11">
        <v>201690.4</v>
      </c>
      <c r="AN855" s="11">
        <v>551422.4</v>
      </c>
      <c r="AO855" s="13">
        <v>14644665</v>
      </c>
      <c r="AP855" s="11">
        <v>1822893.4</v>
      </c>
      <c r="AQ855" s="11">
        <v>6610.9</v>
      </c>
      <c r="AR855" s="11">
        <v>787</v>
      </c>
      <c r="AS855">
        <f t="shared" si="18"/>
        <v>23669864.399999999</v>
      </c>
      <c r="AT855">
        <f t="shared" si="17"/>
        <v>0.69571832443619752</v>
      </c>
    </row>
    <row r="856" spans="1:46" x14ac:dyDescent="0.4">
      <c r="A856" s="3" t="s">
        <v>987</v>
      </c>
      <c r="B856">
        <v>12376601.9</v>
      </c>
      <c r="C856">
        <v>3378203.8</v>
      </c>
      <c r="D856">
        <v>2473505.2999999998</v>
      </c>
      <c r="E856">
        <v>1775854.1</v>
      </c>
      <c r="F856">
        <v>697651.19999999995</v>
      </c>
      <c r="G856">
        <v>904698.5</v>
      </c>
      <c r="H856">
        <v>85899.1</v>
      </c>
      <c r="I856">
        <v>818799.4</v>
      </c>
      <c r="J856">
        <v>8998398.0999999996</v>
      </c>
      <c r="K856">
        <v>2102519.7999999998</v>
      </c>
      <c r="L856">
        <v>4230777.5999999996</v>
      </c>
      <c r="M856">
        <v>2174226.2000000002</v>
      </c>
      <c r="N856">
        <v>388022.3</v>
      </c>
      <c r="O856">
        <v>1786203.9</v>
      </c>
      <c r="P856">
        <v>2056551.4</v>
      </c>
      <c r="Q856">
        <v>317996.2</v>
      </c>
      <c r="R856">
        <v>97116.5</v>
      </c>
      <c r="S856">
        <v>322198.2</v>
      </c>
      <c r="T856">
        <v>1319240.5</v>
      </c>
      <c r="U856" s="11">
        <v>1392919.4</v>
      </c>
      <c r="V856" s="12">
        <v>736308.3</v>
      </c>
      <c r="W856" s="11">
        <v>656611.19999999995</v>
      </c>
      <c r="X856" s="11">
        <v>417059.7</v>
      </c>
      <c r="Y856" s="11">
        <v>239551.5</v>
      </c>
      <c r="Z856" s="11">
        <v>1272181.2</v>
      </c>
      <c r="AA856" s="11">
        <v>437425.4</v>
      </c>
      <c r="AB856" s="11">
        <v>834755.8</v>
      </c>
      <c r="AC856" s="11">
        <v>108581.9</v>
      </c>
      <c r="AD856" s="11">
        <v>2414904.5</v>
      </c>
      <c r="AE856" s="11">
        <v>435803</v>
      </c>
      <c r="AF856" s="11">
        <v>13175.8</v>
      </c>
      <c r="AG856" s="11">
        <v>1393562</v>
      </c>
      <c r="AH856" s="13">
        <v>16525465.4</v>
      </c>
      <c r="AI856" s="11">
        <v>11892500.9</v>
      </c>
      <c r="AJ856" s="11">
        <v>1624298</v>
      </c>
      <c r="AK856" s="11">
        <v>10268202.9</v>
      </c>
      <c r="AL856" s="11">
        <v>2058756.8</v>
      </c>
      <c r="AM856" s="11">
        <v>197096.5</v>
      </c>
      <c r="AN856" s="11">
        <v>561485</v>
      </c>
      <c r="AO856" s="13">
        <v>14709839.1</v>
      </c>
      <c r="AP856" s="11">
        <v>1815626.2</v>
      </c>
      <c r="AQ856" s="11">
        <v>5536.5</v>
      </c>
      <c r="AR856" s="11">
        <v>1024.4000000000001</v>
      </c>
      <c r="AS856">
        <f t="shared" si="18"/>
        <v>23785001.800000001</v>
      </c>
      <c r="AT856">
        <f t="shared" si="17"/>
        <v>0.69478512295088413</v>
      </c>
    </row>
    <row r="857" spans="1:46" x14ac:dyDescent="0.4">
      <c r="A857" s="3" t="s">
        <v>988</v>
      </c>
      <c r="B857">
        <v>12440364.5</v>
      </c>
      <c r="C857">
        <v>3387895</v>
      </c>
      <c r="D857">
        <v>2488739.4</v>
      </c>
      <c r="E857">
        <v>1789464.6</v>
      </c>
      <c r="F857">
        <v>699274.8</v>
      </c>
      <c r="G857">
        <v>899155.6</v>
      </c>
      <c r="H857">
        <v>85246.2</v>
      </c>
      <c r="I857">
        <v>813909.4</v>
      </c>
      <c r="J857">
        <v>9052469.4000000004</v>
      </c>
      <c r="K857">
        <v>2110990.7000000002</v>
      </c>
      <c r="L857">
        <v>4253319.4000000004</v>
      </c>
      <c r="M857">
        <v>2185775</v>
      </c>
      <c r="N857">
        <v>386129.7</v>
      </c>
      <c r="O857">
        <v>1799645.3</v>
      </c>
      <c r="P857">
        <v>2067544.4</v>
      </c>
      <c r="Q857">
        <v>321591.3</v>
      </c>
      <c r="R857">
        <v>97515.199999999997</v>
      </c>
      <c r="S857">
        <v>325874.8</v>
      </c>
      <c r="T857">
        <v>1322563</v>
      </c>
      <c r="U857" s="11">
        <v>1408093.4</v>
      </c>
      <c r="V857" s="12">
        <v>748703.2</v>
      </c>
      <c r="W857" s="11">
        <v>659390.30000000005</v>
      </c>
      <c r="X857" s="11">
        <v>418381.5</v>
      </c>
      <c r="Y857" s="11">
        <v>241008.8</v>
      </c>
      <c r="Z857" s="11">
        <v>1280066</v>
      </c>
      <c r="AA857" s="11">
        <v>439877.7</v>
      </c>
      <c r="AB857" s="11">
        <v>840188.3</v>
      </c>
      <c r="AC857" s="11">
        <v>109481.9</v>
      </c>
      <c r="AD857" s="11">
        <v>2414383.5</v>
      </c>
      <c r="AE857" s="11">
        <v>441548.1</v>
      </c>
      <c r="AF857" s="11">
        <v>13465.5</v>
      </c>
      <c r="AG857" s="11">
        <v>1398179.4</v>
      </c>
      <c r="AH857" s="13">
        <v>16598459.1</v>
      </c>
      <c r="AI857" s="11">
        <v>11961095.6</v>
      </c>
      <c r="AJ857" s="11">
        <v>1621947.3</v>
      </c>
      <c r="AK857" s="11">
        <v>10339148.4</v>
      </c>
      <c r="AL857" s="11">
        <v>2049299.4</v>
      </c>
      <c r="AM857" s="11">
        <v>211533.8</v>
      </c>
      <c r="AN857" s="11">
        <v>548285.19999999995</v>
      </c>
      <c r="AO857" s="13">
        <v>14770214.1</v>
      </c>
      <c r="AP857" s="11">
        <v>1828245</v>
      </c>
      <c r="AQ857" s="11">
        <v>171.2</v>
      </c>
      <c r="AR857" s="11">
        <v>-4196.6000000000004</v>
      </c>
      <c r="AS857">
        <f t="shared" si="18"/>
        <v>23922191.300000001</v>
      </c>
      <c r="AT857">
        <f t="shared" si="17"/>
        <v>0.69385195076171802</v>
      </c>
    </row>
    <row r="858" spans="1:46" x14ac:dyDescent="0.4">
      <c r="A858" s="3" t="s">
        <v>989</v>
      </c>
      <c r="B858">
        <v>12478820.9</v>
      </c>
      <c r="C858">
        <v>3398763.1</v>
      </c>
      <c r="D858">
        <v>2492233.7999999998</v>
      </c>
      <c r="E858">
        <v>1793310.2</v>
      </c>
      <c r="F858">
        <v>698923.6</v>
      </c>
      <c r="G858">
        <v>906529.4</v>
      </c>
      <c r="H858">
        <v>83125.600000000006</v>
      </c>
      <c r="I858">
        <v>823403.7</v>
      </c>
      <c r="J858">
        <v>9080057.6999999993</v>
      </c>
      <c r="K858">
        <v>2104715.2999999998</v>
      </c>
      <c r="L858">
        <v>4271013.5999999996</v>
      </c>
      <c r="M858">
        <v>2192365.9</v>
      </c>
      <c r="N858">
        <v>383881</v>
      </c>
      <c r="O858">
        <v>1808484.9</v>
      </c>
      <c r="P858">
        <v>2078647.7</v>
      </c>
      <c r="Q858">
        <v>323953.59999999998</v>
      </c>
      <c r="R858">
        <v>97877.7</v>
      </c>
      <c r="S858">
        <v>329097.7</v>
      </c>
      <c r="T858">
        <v>1327718.6000000001</v>
      </c>
      <c r="U858" s="11">
        <v>1420800.4</v>
      </c>
      <c r="V858" s="12">
        <v>759283.9</v>
      </c>
      <c r="W858" s="11">
        <v>661516.5</v>
      </c>
      <c r="X858" s="11">
        <v>418993.3</v>
      </c>
      <c r="Y858" s="11">
        <v>242523.2</v>
      </c>
      <c r="Z858" s="11">
        <v>1283528.5</v>
      </c>
      <c r="AA858" s="11">
        <v>443099.5</v>
      </c>
      <c r="AB858" s="11">
        <v>840429</v>
      </c>
      <c r="AC858" s="11">
        <v>110192.1</v>
      </c>
      <c r="AD858" s="11">
        <v>2424585</v>
      </c>
      <c r="AE858" s="11">
        <v>450587.6</v>
      </c>
      <c r="AF858" s="11">
        <v>13023.4</v>
      </c>
      <c r="AG858" s="11">
        <v>1415705.8</v>
      </c>
      <c r="AH858" s="13">
        <v>16672530.6</v>
      </c>
      <c r="AI858" s="11">
        <v>11966025.800000001</v>
      </c>
      <c r="AJ858" s="11">
        <v>1625649.6</v>
      </c>
      <c r="AK858" s="11">
        <v>10340376.199999999</v>
      </c>
      <c r="AL858" s="11">
        <v>2077071.5</v>
      </c>
      <c r="AM858" s="11">
        <v>255884.3</v>
      </c>
      <c r="AN858" s="11">
        <v>552858</v>
      </c>
      <c r="AO858" s="13">
        <v>14851839.6</v>
      </c>
      <c r="AP858" s="11">
        <v>1820691</v>
      </c>
      <c r="AQ858" s="11">
        <v>-1494</v>
      </c>
      <c r="AR858" s="11">
        <v>-5004.2</v>
      </c>
      <c r="AS858">
        <f t="shared" si="18"/>
        <v>23932051.600000001</v>
      </c>
      <c r="AT858">
        <f t="shared" si="17"/>
        <v>0.69666115043810117</v>
      </c>
    </row>
    <row r="859" spans="1:46" x14ac:dyDescent="0.4">
      <c r="A859" s="3" t="s">
        <v>990</v>
      </c>
      <c r="B859">
        <v>12537842.800000001</v>
      </c>
      <c r="C859">
        <v>3434388.1</v>
      </c>
      <c r="D859">
        <v>2521749.4</v>
      </c>
      <c r="E859">
        <v>1819297.5</v>
      </c>
      <c r="F859">
        <v>702451.9</v>
      </c>
      <c r="G859">
        <v>912638.6</v>
      </c>
      <c r="H859">
        <v>81620</v>
      </c>
      <c r="I859">
        <v>831018.6</v>
      </c>
      <c r="J859">
        <v>9103454.8000000007</v>
      </c>
      <c r="K859">
        <v>2104530.1</v>
      </c>
      <c r="L859">
        <v>4284443.3</v>
      </c>
      <c r="M859">
        <v>2198666.7999999998</v>
      </c>
      <c r="N859">
        <v>382109.6</v>
      </c>
      <c r="O859">
        <v>1816557.2</v>
      </c>
      <c r="P859">
        <v>2085776.5</v>
      </c>
      <c r="Q859">
        <v>324527.8</v>
      </c>
      <c r="R859">
        <v>98267.1</v>
      </c>
      <c r="S859">
        <v>331846.90000000002</v>
      </c>
      <c r="T859">
        <v>1331134.7</v>
      </c>
      <c r="U859" s="11">
        <v>1426807.8</v>
      </c>
      <c r="V859" s="12">
        <v>763193</v>
      </c>
      <c r="W859" s="11">
        <v>663614.80000000005</v>
      </c>
      <c r="X859" s="11">
        <v>420049.4</v>
      </c>
      <c r="Y859" s="11">
        <v>243565.4</v>
      </c>
      <c r="Z859" s="11">
        <v>1287673.6000000001</v>
      </c>
      <c r="AA859" s="11">
        <v>442785</v>
      </c>
      <c r="AB859" s="11">
        <v>844888.6</v>
      </c>
      <c r="AC859" s="11">
        <v>110807.5</v>
      </c>
      <c r="AD859" s="11">
        <v>2433997.1</v>
      </c>
      <c r="AE859" s="11">
        <v>456562.1</v>
      </c>
      <c r="AF859" s="11">
        <v>13108.4</v>
      </c>
      <c r="AG859" s="11">
        <v>1425653.5</v>
      </c>
      <c r="AH859" s="13">
        <v>16756356.4</v>
      </c>
      <c r="AI859" s="11">
        <v>11993534.1</v>
      </c>
      <c r="AJ859" s="11">
        <v>1609749</v>
      </c>
      <c r="AK859" s="11">
        <v>10383785</v>
      </c>
      <c r="AL859" s="11">
        <v>2108598.2000000002</v>
      </c>
      <c r="AM859" s="11">
        <v>235103.5</v>
      </c>
      <c r="AN859" s="11">
        <v>562532.5</v>
      </c>
      <c r="AO859" s="13">
        <v>14899768.300000001</v>
      </c>
      <c r="AP859" s="11">
        <v>1856588.1</v>
      </c>
      <c r="AQ859" s="11">
        <v>-6072.8</v>
      </c>
      <c r="AR859" s="11">
        <v>-8462</v>
      </c>
      <c r="AS859">
        <f t="shared" si="18"/>
        <v>23987068.100000001</v>
      </c>
      <c r="AT859">
        <f t="shared" si="17"/>
        <v>0.69855792004859485</v>
      </c>
    </row>
    <row r="860" spans="1:46" x14ac:dyDescent="0.4">
      <c r="A860" s="3" t="s">
        <v>991</v>
      </c>
      <c r="B860">
        <v>12554565.199999999</v>
      </c>
      <c r="C860">
        <v>3424182.7</v>
      </c>
      <c r="D860">
        <v>2511056.7999999998</v>
      </c>
      <c r="E860">
        <v>1806745.2</v>
      </c>
      <c r="F860">
        <v>704311.7</v>
      </c>
      <c r="G860">
        <v>913125.9</v>
      </c>
      <c r="H860">
        <v>80698</v>
      </c>
      <c r="I860">
        <v>832427.9</v>
      </c>
      <c r="J860">
        <v>9130382.5</v>
      </c>
      <c r="K860">
        <v>2108069.7999999998</v>
      </c>
      <c r="L860">
        <v>4300557.5999999996</v>
      </c>
      <c r="M860">
        <v>2204444.2000000002</v>
      </c>
      <c r="N860">
        <v>379529.9</v>
      </c>
      <c r="O860">
        <v>1824914.3</v>
      </c>
      <c r="P860">
        <v>2096113.4</v>
      </c>
      <c r="Q860">
        <v>327914.2</v>
      </c>
      <c r="R860">
        <v>98522.5</v>
      </c>
      <c r="S860">
        <v>333860.8</v>
      </c>
      <c r="T860">
        <v>1335815.8999999999</v>
      </c>
      <c r="U860" s="11">
        <v>1432368</v>
      </c>
      <c r="V860" s="12">
        <v>767365.1</v>
      </c>
      <c r="W860" s="11">
        <v>665002.9</v>
      </c>
      <c r="X860" s="11">
        <v>420695.3</v>
      </c>
      <c r="Y860" s="11">
        <v>244307.6</v>
      </c>
      <c r="Z860" s="11">
        <v>1289387.1000000001</v>
      </c>
      <c r="AA860" s="11">
        <v>445562.2</v>
      </c>
      <c r="AB860" s="11">
        <v>843824.9</v>
      </c>
      <c r="AC860" s="11">
        <v>110999.9</v>
      </c>
      <c r="AD860" s="11">
        <v>2375663</v>
      </c>
      <c r="AE860" s="11">
        <v>464869.1</v>
      </c>
      <c r="AF860" s="11">
        <v>12740.8</v>
      </c>
      <c r="AG860" s="11">
        <v>1427953.6</v>
      </c>
      <c r="AH860" s="13">
        <v>16724791.800000001</v>
      </c>
      <c r="AI860" s="11">
        <v>12015944.800000001</v>
      </c>
      <c r="AJ860" s="11">
        <v>1612048.8</v>
      </c>
      <c r="AK860" s="11">
        <v>10403896</v>
      </c>
      <c r="AL860" s="11">
        <v>2117047.7999999998</v>
      </c>
      <c r="AM860" s="11">
        <v>192390.3</v>
      </c>
      <c r="AN860" s="11">
        <v>584844.1</v>
      </c>
      <c r="AO860" s="13">
        <v>14910226.9</v>
      </c>
      <c r="AP860" s="11">
        <v>1814564.9</v>
      </c>
      <c r="AQ860" s="11">
        <v>-16304.9</v>
      </c>
      <c r="AR860" s="11">
        <v>-16485.099999999999</v>
      </c>
      <c r="AS860">
        <f t="shared" si="18"/>
        <v>24031889.600000001</v>
      </c>
      <c r="AT860">
        <f t="shared" si="17"/>
        <v>0.69594160419245599</v>
      </c>
    </row>
    <row r="861" spans="1:46" x14ac:dyDescent="0.4">
      <c r="A861" s="3" t="s">
        <v>992</v>
      </c>
      <c r="B861">
        <v>12561603.699999999</v>
      </c>
      <c r="C861">
        <v>3405341.4</v>
      </c>
      <c r="D861">
        <v>2502649.9</v>
      </c>
      <c r="E861">
        <v>1794748.2</v>
      </c>
      <c r="F861">
        <v>707901.7</v>
      </c>
      <c r="G861">
        <v>902691.5</v>
      </c>
      <c r="H861">
        <v>80207.899999999994</v>
      </c>
      <c r="I861">
        <v>822483.6</v>
      </c>
      <c r="J861">
        <v>9156262.1999999993</v>
      </c>
      <c r="K861">
        <v>2108988.5</v>
      </c>
      <c r="L861">
        <v>4314809</v>
      </c>
      <c r="M861">
        <v>2209353.2000000002</v>
      </c>
      <c r="N861">
        <v>376537.2</v>
      </c>
      <c r="O861">
        <v>1832816</v>
      </c>
      <c r="P861">
        <v>2105455.7999999998</v>
      </c>
      <c r="Q861">
        <v>330185.5</v>
      </c>
      <c r="R861">
        <v>98867.3</v>
      </c>
      <c r="S861">
        <v>335487.8</v>
      </c>
      <c r="T861">
        <v>1340915.1000000001</v>
      </c>
      <c r="U861" s="11">
        <v>1436265.9</v>
      </c>
      <c r="V861" s="12">
        <v>768657.2</v>
      </c>
      <c r="W861" s="11">
        <v>667608.69999999995</v>
      </c>
      <c r="X861" s="11">
        <v>421321.5</v>
      </c>
      <c r="Y861" s="11">
        <v>246287.2</v>
      </c>
      <c r="Z861" s="11">
        <v>1296198.8</v>
      </c>
      <c r="AA861" s="11">
        <v>448460.5</v>
      </c>
      <c r="AB861" s="11">
        <v>847738.3</v>
      </c>
      <c r="AC861" s="11">
        <v>111234.8</v>
      </c>
      <c r="AD861" s="11">
        <v>2328111.7999999998</v>
      </c>
      <c r="AE861" s="11">
        <v>476704.7</v>
      </c>
      <c r="AF861" s="11">
        <v>12968</v>
      </c>
      <c r="AG861" s="11">
        <v>1429047.5</v>
      </c>
      <c r="AH861" s="13">
        <v>16697200.9</v>
      </c>
      <c r="AI861" s="11">
        <v>12008664.6</v>
      </c>
      <c r="AJ861" s="11">
        <v>1591654.3999999999</v>
      </c>
      <c r="AK861" s="11">
        <v>10417010.199999999</v>
      </c>
      <c r="AL861" s="11">
        <v>2110646.4</v>
      </c>
      <c r="AM861" s="11">
        <v>179228</v>
      </c>
      <c r="AN861" s="11">
        <v>586017.9</v>
      </c>
      <c r="AO861" s="13">
        <v>14884557</v>
      </c>
      <c r="AP861" s="11">
        <v>1812643.9</v>
      </c>
      <c r="AQ861" s="11">
        <v>-34183.5</v>
      </c>
      <c r="AR861" s="11">
        <v>-30330.2</v>
      </c>
      <c r="AS861">
        <f t="shared" si="18"/>
        <v>24017329.199999999</v>
      </c>
      <c r="AT861">
        <f t="shared" si="17"/>
        <v>0.69521472437493181</v>
      </c>
    </row>
    <row r="862" spans="1:46" x14ac:dyDescent="0.4">
      <c r="A862" s="3" t="s">
        <v>993</v>
      </c>
      <c r="B862">
        <v>12576950.9</v>
      </c>
      <c r="C862">
        <v>3390448.2</v>
      </c>
      <c r="D862">
        <v>2502415.1</v>
      </c>
      <c r="E862">
        <v>1794566.2</v>
      </c>
      <c r="F862">
        <v>707848.9</v>
      </c>
      <c r="G862">
        <v>888033</v>
      </c>
      <c r="H862">
        <v>78136.399999999994</v>
      </c>
      <c r="I862">
        <v>809896.6</v>
      </c>
      <c r="J862">
        <v>9186502.6999999993</v>
      </c>
      <c r="K862">
        <v>2121139</v>
      </c>
      <c r="L862">
        <v>4325162.5</v>
      </c>
      <c r="M862">
        <v>2210861.7999999998</v>
      </c>
      <c r="N862">
        <v>372649.7</v>
      </c>
      <c r="O862">
        <v>1838212.2</v>
      </c>
      <c r="P862">
        <v>2114300.7000000002</v>
      </c>
      <c r="Q862">
        <v>331760.2</v>
      </c>
      <c r="R862">
        <v>99291.8</v>
      </c>
      <c r="S862">
        <v>337902</v>
      </c>
      <c r="T862">
        <v>1345346.7</v>
      </c>
      <c r="U862" s="11">
        <v>1442526.6</v>
      </c>
      <c r="V862" s="12">
        <v>772280.7</v>
      </c>
      <c r="W862" s="11">
        <v>670245.9</v>
      </c>
      <c r="X862" s="11">
        <v>421623.4</v>
      </c>
      <c r="Y862" s="11">
        <v>248622.5</v>
      </c>
      <c r="Z862" s="11">
        <v>1297674.6000000001</v>
      </c>
      <c r="AA862" s="11">
        <v>451146.7</v>
      </c>
      <c r="AB862" s="11">
        <v>846527.9</v>
      </c>
      <c r="AC862" s="11">
        <v>111236.7</v>
      </c>
      <c r="AD862" s="11">
        <v>2236856.6</v>
      </c>
      <c r="AE862" s="11">
        <v>494192.4</v>
      </c>
      <c r="AF862" s="11">
        <v>13334.7</v>
      </c>
      <c r="AG862" s="11">
        <v>1420068.8</v>
      </c>
      <c r="AH862" s="13">
        <v>16630166.699999999</v>
      </c>
      <c r="AI862" s="11">
        <v>12026964.199999999</v>
      </c>
      <c r="AJ862" s="11">
        <v>1577967</v>
      </c>
      <c r="AK862" s="11">
        <v>10448997.199999999</v>
      </c>
      <c r="AL862" s="11">
        <v>2056841.2</v>
      </c>
      <c r="AM862" s="11">
        <v>148741.6</v>
      </c>
      <c r="AN862" s="11">
        <v>575367.9</v>
      </c>
      <c r="AO862" s="13">
        <v>14807914.9</v>
      </c>
      <c r="AP862" s="11">
        <v>1822251.8</v>
      </c>
      <c r="AQ862" s="11">
        <v>-35189.1</v>
      </c>
      <c r="AR862" s="11">
        <v>-30690.7</v>
      </c>
      <c r="AS862">
        <f t="shared" si="18"/>
        <v>24053928.399999999</v>
      </c>
      <c r="AT862">
        <f t="shared" si="17"/>
        <v>0.69137009237958824</v>
      </c>
    </row>
    <row r="863" spans="1:46" x14ac:dyDescent="0.4">
      <c r="A863" s="3" t="s">
        <v>994</v>
      </c>
      <c r="B863">
        <v>12637038</v>
      </c>
      <c r="C863">
        <v>3367053.1</v>
      </c>
      <c r="D863">
        <v>2505428.7999999998</v>
      </c>
      <c r="E863">
        <v>1795088.4</v>
      </c>
      <c r="F863">
        <v>710340.4</v>
      </c>
      <c r="G863">
        <v>861624.3</v>
      </c>
      <c r="H863">
        <v>77297.8</v>
      </c>
      <c r="I863">
        <v>784326.5</v>
      </c>
      <c r="J863">
        <v>9269984.9000000004</v>
      </c>
      <c r="K863">
        <v>2164243.7000000002</v>
      </c>
      <c r="L863">
        <v>4339331.8</v>
      </c>
      <c r="M863">
        <v>2217580</v>
      </c>
      <c r="N863">
        <v>369238.9</v>
      </c>
      <c r="O863">
        <v>1848341.1</v>
      </c>
      <c r="P863">
        <v>2121751.9</v>
      </c>
      <c r="Q863">
        <v>333090.5</v>
      </c>
      <c r="R863">
        <v>99606.5</v>
      </c>
      <c r="S863">
        <v>340418.7</v>
      </c>
      <c r="T863">
        <v>1348636.1</v>
      </c>
      <c r="U863" s="11">
        <v>1462875.1</v>
      </c>
      <c r="V863" s="12">
        <v>787764.8</v>
      </c>
      <c r="W863" s="11">
        <v>675110.2</v>
      </c>
      <c r="X863" s="11">
        <v>422260.3</v>
      </c>
      <c r="Y863" s="11">
        <v>252850</v>
      </c>
      <c r="Z863" s="11">
        <v>1303534.2</v>
      </c>
      <c r="AA863" s="11">
        <v>457236.5</v>
      </c>
      <c r="AB863" s="11">
        <v>846297.7</v>
      </c>
      <c r="AC863" s="11">
        <v>111292.4</v>
      </c>
      <c r="AD863" s="11">
        <v>2192776.7999999998</v>
      </c>
      <c r="AE863" s="11">
        <v>493812</v>
      </c>
      <c r="AF863" s="11">
        <v>13346</v>
      </c>
      <c r="AG863" s="11">
        <v>1428533</v>
      </c>
      <c r="AH863" s="13">
        <v>16654213.4</v>
      </c>
      <c r="AI863" s="11">
        <v>12098350.1</v>
      </c>
      <c r="AJ863" s="11">
        <v>1596211.1</v>
      </c>
      <c r="AK863" s="11">
        <v>10502138.9</v>
      </c>
      <c r="AL863" s="11">
        <v>2021074.4</v>
      </c>
      <c r="AM863" s="11">
        <v>116915.5</v>
      </c>
      <c r="AN863" s="11">
        <v>577923.9</v>
      </c>
      <c r="AO863" s="13">
        <v>14814263.9</v>
      </c>
      <c r="AP863" s="11">
        <v>1839949.6</v>
      </c>
      <c r="AQ863" s="11">
        <v>-35573.5</v>
      </c>
      <c r="AR863" s="11">
        <v>-30088.799999999999</v>
      </c>
      <c r="AS863">
        <f t="shared" si="18"/>
        <v>24196700.100000001</v>
      </c>
      <c r="AT863">
        <f t="shared" si="17"/>
        <v>0.68828449049546225</v>
      </c>
    </row>
    <row r="864" spans="1:46" x14ac:dyDescent="0.4">
      <c r="A864" s="3" t="s">
        <v>995</v>
      </c>
      <c r="B864">
        <v>12666039.6</v>
      </c>
      <c r="C864">
        <v>3380027</v>
      </c>
      <c r="D864">
        <v>2523298.2999999998</v>
      </c>
      <c r="E864">
        <v>1803897.6</v>
      </c>
      <c r="F864">
        <v>719400.8</v>
      </c>
      <c r="G864">
        <v>856728.6</v>
      </c>
      <c r="H864">
        <v>76002.399999999994</v>
      </c>
      <c r="I864">
        <v>780726.3</v>
      </c>
      <c r="J864">
        <v>9286012.5999999996</v>
      </c>
      <c r="K864">
        <v>2169837.7000000002</v>
      </c>
      <c r="L864">
        <v>4338217.4000000004</v>
      </c>
      <c r="M864">
        <v>2207440.6</v>
      </c>
      <c r="N864">
        <v>365097.8</v>
      </c>
      <c r="O864">
        <v>1842342.8</v>
      </c>
      <c r="P864">
        <v>2130776.7999999998</v>
      </c>
      <c r="Q864">
        <v>334024.7</v>
      </c>
      <c r="R864">
        <v>100018.6</v>
      </c>
      <c r="S864">
        <v>341792.2</v>
      </c>
      <c r="T864">
        <v>1354941.2</v>
      </c>
      <c r="U864" s="11">
        <v>1465360.3</v>
      </c>
      <c r="V864" s="12">
        <v>789763.9</v>
      </c>
      <c r="W864" s="11">
        <v>675596.5</v>
      </c>
      <c r="X864" s="11">
        <v>421884.3</v>
      </c>
      <c r="Y864" s="11">
        <v>253712.2</v>
      </c>
      <c r="Z864" s="11">
        <v>1312597.1000000001</v>
      </c>
      <c r="AA864" s="11">
        <v>460271.4</v>
      </c>
      <c r="AB864" s="11">
        <v>852325.7</v>
      </c>
      <c r="AC864" s="11">
        <v>111177.5</v>
      </c>
      <c r="AD864" s="11">
        <v>2187490.7000000002</v>
      </c>
      <c r="AE864" s="11">
        <v>521758</v>
      </c>
      <c r="AF864" s="11">
        <v>15651.7</v>
      </c>
      <c r="AG864" s="11">
        <v>1448751.8</v>
      </c>
      <c r="AH864" s="13">
        <v>16728514.300000001</v>
      </c>
      <c r="AI864" s="11">
        <v>12124440.6</v>
      </c>
      <c r="AJ864" s="11">
        <v>1598732.1</v>
      </c>
      <c r="AK864" s="11">
        <v>10525708.5</v>
      </c>
      <c r="AL864" s="11">
        <v>2038523.4</v>
      </c>
      <c r="AM864" s="11">
        <v>130523.3</v>
      </c>
      <c r="AN864" s="11">
        <v>598756</v>
      </c>
      <c r="AO864" s="13">
        <v>14892243.199999999</v>
      </c>
      <c r="AP864" s="11">
        <v>1836271</v>
      </c>
      <c r="AQ864" s="11">
        <v>-39626.300000000003</v>
      </c>
      <c r="AR864" s="11">
        <v>-34516.199999999997</v>
      </c>
      <c r="AS864">
        <f t="shared" si="18"/>
        <v>24248881.199999999</v>
      </c>
      <c r="AT864">
        <f t="shared" si="17"/>
        <v>0.68986746901956042</v>
      </c>
    </row>
    <row r="865" spans="1:46" x14ac:dyDescent="0.4">
      <c r="A865" s="3" t="s">
        <v>996</v>
      </c>
      <c r="B865">
        <v>12743392.4</v>
      </c>
      <c r="C865">
        <v>3412022</v>
      </c>
      <c r="D865">
        <v>2550986.5</v>
      </c>
      <c r="E865">
        <v>1820683.9</v>
      </c>
      <c r="F865">
        <v>730302.6</v>
      </c>
      <c r="G865">
        <v>861035.5</v>
      </c>
      <c r="H865">
        <v>76375.7</v>
      </c>
      <c r="I865">
        <v>784659.9</v>
      </c>
      <c r="J865">
        <v>9331370.4000000004</v>
      </c>
      <c r="K865">
        <v>2188301.2999999998</v>
      </c>
      <c r="L865">
        <v>4351694.4000000004</v>
      </c>
      <c r="M865">
        <v>2207612.2000000002</v>
      </c>
      <c r="N865">
        <v>361895.7</v>
      </c>
      <c r="O865">
        <v>1845716.5</v>
      </c>
      <c r="P865">
        <v>2144082.2000000002</v>
      </c>
      <c r="Q865">
        <v>335845.9</v>
      </c>
      <c r="R865">
        <v>100464</v>
      </c>
      <c r="S865">
        <v>344068.2</v>
      </c>
      <c r="T865">
        <v>1363704</v>
      </c>
      <c r="U865" s="11">
        <v>1470312.5</v>
      </c>
      <c r="V865" s="12">
        <v>792832.5</v>
      </c>
      <c r="W865" s="11">
        <v>677480</v>
      </c>
      <c r="X865" s="11">
        <v>421841.6</v>
      </c>
      <c r="Y865" s="11">
        <v>255638.3</v>
      </c>
      <c r="Z865" s="11">
        <v>1321062.2</v>
      </c>
      <c r="AA865" s="11">
        <v>465660.6</v>
      </c>
      <c r="AB865" s="11">
        <v>855401.6</v>
      </c>
      <c r="AC865" s="11">
        <v>110629.5</v>
      </c>
      <c r="AD865" s="11">
        <v>2182732.9</v>
      </c>
      <c r="AE865" s="11">
        <v>519327</v>
      </c>
      <c r="AF865" s="11">
        <v>15845.9</v>
      </c>
      <c r="AG865" s="11">
        <v>1427525</v>
      </c>
      <c r="AH865" s="13">
        <v>16778193.800000001</v>
      </c>
      <c r="AI865" s="11">
        <v>12182473.6</v>
      </c>
      <c r="AJ865" s="11">
        <v>1620492.4</v>
      </c>
      <c r="AK865" s="11">
        <v>10561981.199999999</v>
      </c>
      <c r="AL865" s="11">
        <v>2040881.5</v>
      </c>
      <c r="AM865" s="11">
        <v>143062.1</v>
      </c>
      <c r="AN865" s="11">
        <v>574124.80000000005</v>
      </c>
      <c r="AO865" s="13">
        <v>14940542</v>
      </c>
      <c r="AP865" s="11">
        <v>1837651.7</v>
      </c>
      <c r="AQ865" s="11">
        <v>-36180.400000000001</v>
      </c>
      <c r="AR865" s="11">
        <v>-31845.8</v>
      </c>
      <c r="AS865">
        <f t="shared" si="18"/>
        <v>24364947.199999999</v>
      </c>
      <c r="AT865">
        <f t="shared" si="17"/>
        <v>0.68862015838885138</v>
      </c>
    </row>
    <row r="866" spans="1:46" x14ac:dyDescent="0.4">
      <c r="A866" s="3" t="s">
        <v>997</v>
      </c>
      <c r="B866">
        <v>12788380.300000001</v>
      </c>
      <c r="C866">
        <v>3423933.9</v>
      </c>
      <c r="D866">
        <v>2562221.7000000002</v>
      </c>
      <c r="E866">
        <v>1829297.1</v>
      </c>
      <c r="F866">
        <v>732924.7</v>
      </c>
      <c r="G866">
        <v>861712.2</v>
      </c>
      <c r="H866">
        <v>74924.800000000003</v>
      </c>
      <c r="I866">
        <v>786787.3</v>
      </c>
      <c r="J866">
        <v>9364446.3000000007</v>
      </c>
      <c r="K866">
        <v>2202310</v>
      </c>
      <c r="L866">
        <v>4363126.3</v>
      </c>
      <c r="M866">
        <v>2210545.5</v>
      </c>
      <c r="N866">
        <v>359392.8</v>
      </c>
      <c r="O866">
        <v>1851152.7</v>
      </c>
      <c r="P866">
        <v>2152580.7999999998</v>
      </c>
      <c r="Q866">
        <v>336423.8</v>
      </c>
      <c r="R866">
        <v>100418.7</v>
      </c>
      <c r="S866">
        <v>346392.7</v>
      </c>
      <c r="T866">
        <v>1369345.5</v>
      </c>
      <c r="U866" s="11">
        <v>1471833.7</v>
      </c>
      <c r="V866" s="12">
        <v>793010.5</v>
      </c>
      <c r="W866" s="11">
        <v>678823.2</v>
      </c>
      <c r="X866" s="11">
        <v>421165.5</v>
      </c>
      <c r="Y866" s="11">
        <v>257657.7</v>
      </c>
      <c r="Z866" s="11">
        <v>1327176.3999999999</v>
      </c>
      <c r="AA866" s="11">
        <v>471712</v>
      </c>
      <c r="AB866" s="11">
        <v>855464.4</v>
      </c>
      <c r="AC866" s="11">
        <v>109678.9</v>
      </c>
      <c r="AD866" s="11">
        <v>2149028.4</v>
      </c>
      <c r="AE866" s="11">
        <v>522231.7</v>
      </c>
      <c r="AF866" s="11">
        <v>15597</v>
      </c>
      <c r="AG866" s="11">
        <v>1425926.4</v>
      </c>
      <c r="AH866" s="13">
        <v>16791484.800000001</v>
      </c>
      <c r="AI866" s="11">
        <v>12213429.9</v>
      </c>
      <c r="AJ866" s="11">
        <v>1636639.7</v>
      </c>
      <c r="AK866" s="11">
        <v>10576790.199999999</v>
      </c>
      <c r="AL866" s="11">
        <v>2008065</v>
      </c>
      <c r="AM866" s="11">
        <v>132307.4</v>
      </c>
      <c r="AN866" s="11">
        <v>575327.6</v>
      </c>
      <c r="AO866" s="13">
        <v>14929129.9</v>
      </c>
      <c r="AP866" s="11">
        <v>1862354.9</v>
      </c>
      <c r="AQ866" s="11">
        <v>-35023.699999999997</v>
      </c>
      <c r="AR866" s="11">
        <v>-30799.5</v>
      </c>
      <c r="AS866">
        <f t="shared" si="18"/>
        <v>24426859.799999997</v>
      </c>
      <c r="AT866">
        <f t="shared" si="17"/>
        <v>0.68741888795710049</v>
      </c>
    </row>
    <row r="867" spans="1:46" x14ac:dyDescent="0.4">
      <c r="A867" s="3" t="s">
        <v>998</v>
      </c>
      <c r="B867">
        <v>12804438.5</v>
      </c>
      <c r="C867">
        <v>3423261.7</v>
      </c>
      <c r="D867">
        <v>2563860.6</v>
      </c>
      <c r="E867">
        <v>1830340.8</v>
      </c>
      <c r="F867">
        <v>733519.8</v>
      </c>
      <c r="G867">
        <v>859401.1</v>
      </c>
      <c r="H867">
        <v>73939.8</v>
      </c>
      <c r="I867">
        <v>785461.3</v>
      </c>
      <c r="J867">
        <v>9381176.8000000007</v>
      </c>
      <c r="K867">
        <v>2206905.6</v>
      </c>
      <c r="L867">
        <v>4365502.4000000004</v>
      </c>
      <c r="M867">
        <v>2213525.6</v>
      </c>
      <c r="N867">
        <v>356688.3</v>
      </c>
      <c r="O867">
        <v>1856837.2</v>
      </c>
      <c r="P867">
        <v>2151976.7999999998</v>
      </c>
      <c r="Q867">
        <v>337637</v>
      </c>
      <c r="R867">
        <v>100813.9</v>
      </c>
      <c r="S867">
        <v>348345.8</v>
      </c>
      <c r="T867">
        <v>1365180.1</v>
      </c>
      <c r="U867" s="11">
        <v>1476129.4</v>
      </c>
      <c r="V867" s="12">
        <v>795885.4</v>
      </c>
      <c r="W867" s="11">
        <v>680243.9</v>
      </c>
      <c r="X867" s="11">
        <v>421198.4</v>
      </c>
      <c r="Y867" s="11">
        <v>259045.5</v>
      </c>
      <c r="Z867" s="11">
        <v>1332639.3999999999</v>
      </c>
      <c r="AA867" s="11">
        <v>476327.5</v>
      </c>
      <c r="AB867" s="11">
        <v>856312</v>
      </c>
      <c r="AC867" s="11">
        <v>109244.7</v>
      </c>
      <c r="AD867" s="11">
        <v>2070520.2</v>
      </c>
      <c r="AE867" s="11">
        <v>536187.5</v>
      </c>
      <c r="AF867" s="11">
        <v>15791.4</v>
      </c>
      <c r="AG867" s="11">
        <v>1426012.7</v>
      </c>
      <c r="AH867" s="13">
        <v>16743705.4</v>
      </c>
      <c r="AI867" s="11">
        <v>12234144.4</v>
      </c>
      <c r="AJ867" s="11">
        <v>1631764.6</v>
      </c>
      <c r="AK867" s="11">
        <v>10602379.800000001</v>
      </c>
      <c r="AL867" s="11">
        <v>1961443.8</v>
      </c>
      <c r="AM867" s="11">
        <v>102419.9</v>
      </c>
      <c r="AN867" s="11">
        <v>580437.30000000005</v>
      </c>
      <c r="AO867" s="13">
        <v>14878445.300000001</v>
      </c>
      <c r="AP867" s="11">
        <v>1865260.1</v>
      </c>
      <c r="AQ867" s="11">
        <v>-34610.6</v>
      </c>
      <c r="AR867" s="11">
        <v>-30335.1</v>
      </c>
      <c r="AS867">
        <f t="shared" si="18"/>
        <v>24468288.800000001</v>
      </c>
      <c r="AT867">
        <f t="shared" si="17"/>
        <v>0.68430226309900344</v>
      </c>
    </row>
    <row r="868" spans="1:46" x14ac:dyDescent="0.4">
      <c r="A868" s="3" t="s">
        <v>999</v>
      </c>
      <c r="B868">
        <v>12842685.800000001</v>
      </c>
      <c r="C868">
        <v>3420114.4</v>
      </c>
      <c r="D868">
        <v>2566034.7999999998</v>
      </c>
      <c r="E868">
        <v>1827155.6</v>
      </c>
      <c r="F868">
        <v>738879.2</v>
      </c>
      <c r="G868">
        <v>854079.5</v>
      </c>
      <c r="H868">
        <v>73827.399999999994</v>
      </c>
      <c r="I868">
        <v>780252.1</v>
      </c>
      <c r="J868">
        <v>9422571.5</v>
      </c>
      <c r="K868">
        <v>2222472.4</v>
      </c>
      <c r="L868">
        <v>4384789.5</v>
      </c>
      <c r="M868">
        <v>2223302.7000000002</v>
      </c>
      <c r="N868">
        <v>354257.7</v>
      </c>
      <c r="O868">
        <v>1869045</v>
      </c>
      <c r="P868">
        <v>2161486.7999999998</v>
      </c>
      <c r="Q868">
        <v>339414.7</v>
      </c>
      <c r="R868">
        <v>101237.6</v>
      </c>
      <c r="S868">
        <v>351339.3</v>
      </c>
      <c r="T868">
        <v>1369495.2</v>
      </c>
      <c r="U868" s="11">
        <v>1481373.8</v>
      </c>
      <c r="V868" s="12">
        <v>798502.6</v>
      </c>
      <c r="W868" s="11">
        <v>682871.1</v>
      </c>
      <c r="X868" s="11">
        <v>421430.5</v>
      </c>
      <c r="Y868" s="11">
        <v>261440.6</v>
      </c>
      <c r="Z868" s="11">
        <v>1333935.8999999999</v>
      </c>
      <c r="AA868" s="11">
        <v>478422.4</v>
      </c>
      <c r="AB868" s="11">
        <v>855513.5</v>
      </c>
      <c r="AC868" s="11">
        <v>109547.5</v>
      </c>
      <c r="AD868" s="11">
        <v>2053161.2</v>
      </c>
      <c r="AE868" s="11">
        <v>541717.5</v>
      </c>
      <c r="AF868" s="11">
        <v>15470.4</v>
      </c>
      <c r="AG868" s="11">
        <v>1419164.6</v>
      </c>
      <c r="AH868" s="13">
        <v>16762652.1</v>
      </c>
      <c r="AI868" s="11">
        <v>12270766.9</v>
      </c>
      <c r="AJ868" s="11">
        <v>1668239.1</v>
      </c>
      <c r="AK868" s="11">
        <v>10602527.800000001</v>
      </c>
      <c r="AL868" s="11">
        <v>1963195.9</v>
      </c>
      <c r="AM868" s="11">
        <v>92276.7</v>
      </c>
      <c r="AN868" s="11">
        <v>589399.80000000005</v>
      </c>
      <c r="AO868" s="13">
        <v>14915639.199999999</v>
      </c>
      <c r="AP868" s="11">
        <v>1847012.9</v>
      </c>
      <c r="AQ868" s="11">
        <v>-40901.9</v>
      </c>
      <c r="AR868" s="11">
        <v>-34558.300000000003</v>
      </c>
      <c r="AS868">
        <f t="shared" si="18"/>
        <v>24541533.800000001</v>
      </c>
      <c r="AT868">
        <f t="shared" si="17"/>
        <v>0.68303196681211498</v>
      </c>
    </row>
    <row r="869" spans="1:46" x14ac:dyDescent="0.4">
      <c r="A869" s="3" t="s">
        <v>1000</v>
      </c>
      <c r="B869">
        <v>12886803</v>
      </c>
      <c r="C869">
        <v>3420573.8</v>
      </c>
      <c r="D869">
        <v>2568701.1</v>
      </c>
      <c r="E869">
        <v>1828140.7</v>
      </c>
      <c r="F869">
        <v>740560.4</v>
      </c>
      <c r="G869">
        <v>851872.7</v>
      </c>
      <c r="H869">
        <v>73771.7</v>
      </c>
      <c r="I869">
        <v>778101</v>
      </c>
      <c r="J869">
        <v>9466229.3000000007</v>
      </c>
      <c r="K869">
        <v>2245494.1</v>
      </c>
      <c r="L869">
        <v>4394139.7</v>
      </c>
      <c r="M869">
        <v>2224030.1</v>
      </c>
      <c r="N869">
        <v>352987.9</v>
      </c>
      <c r="O869">
        <v>1871042.3</v>
      </c>
      <c r="P869">
        <v>2170109.6</v>
      </c>
      <c r="Q869">
        <v>339756.4</v>
      </c>
      <c r="R869">
        <v>101626</v>
      </c>
      <c r="S869">
        <v>354460.8</v>
      </c>
      <c r="T869">
        <v>1374266.5</v>
      </c>
      <c r="U869" s="11">
        <v>1487713.6</v>
      </c>
      <c r="V869" s="12">
        <v>801567.5</v>
      </c>
      <c r="W869" s="11">
        <v>686146.1</v>
      </c>
      <c r="X869" s="11">
        <v>421817.1</v>
      </c>
      <c r="Y869" s="11">
        <v>264329.09999999998</v>
      </c>
      <c r="Z869" s="11">
        <v>1338881.8</v>
      </c>
      <c r="AA869" s="11">
        <v>485535.6</v>
      </c>
      <c r="AB869" s="11">
        <v>853346.3</v>
      </c>
      <c r="AC869" s="11">
        <v>109759.3</v>
      </c>
      <c r="AD869" s="11">
        <v>2041146.7</v>
      </c>
      <c r="AE869" s="11">
        <v>563478.30000000005</v>
      </c>
      <c r="AF869" s="11">
        <v>15148.9</v>
      </c>
      <c r="AG869" s="11">
        <v>1444514</v>
      </c>
      <c r="AH869" s="13">
        <v>16841331.600000001</v>
      </c>
      <c r="AI869" s="11">
        <v>12321436.199999999</v>
      </c>
      <c r="AJ869" s="11">
        <v>1696444.9</v>
      </c>
      <c r="AK869" s="11">
        <v>10624991.300000001</v>
      </c>
      <c r="AL869" s="11">
        <v>1982720.7</v>
      </c>
      <c r="AM869" s="11">
        <v>67368.600000000006</v>
      </c>
      <c r="AN869" s="11">
        <v>608691.1</v>
      </c>
      <c r="AO869" s="13">
        <v>14980216.6</v>
      </c>
      <c r="AP869" s="11">
        <v>1861115</v>
      </c>
      <c r="AQ869" s="11">
        <v>-49083.199999999997</v>
      </c>
      <c r="AR869" s="11">
        <v>-41204.5</v>
      </c>
      <c r="AS869">
        <f t="shared" si="18"/>
        <v>24642872.399999999</v>
      </c>
      <c r="AT869">
        <f t="shared" si="17"/>
        <v>0.68341593165900594</v>
      </c>
    </row>
    <row r="870" spans="1:46" x14ac:dyDescent="0.4">
      <c r="A870" s="3" t="s">
        <v>1001</v>
      </c>
      <c r="B870">
        <v>12937101</v>
      </c>
      <c r="C870">
        <v>3434569.3</v>
      </c>
      <c r="D870">
        <v>2588356.2999999998</v>
      </c>
      <c r="E870">
        <v>1833835.4</v>
      </c>
      <c r="F870">
        <v>754520.9</v>
      </c>
      <c r="G870">
        <v>846213</v>
      </c>
      <c r="H870">
        <v>74193.5</v>
      </c>
      <c r="I870">
        <v>772019.5</v>
      </c>
      <c r="J870">
        <v>9502531.8000000007</v>
      </c>
      <c r="K870">
        <v>2271568.7000000002</v>
      </c>
      <c r="L870">
        <v>4399093.5999999996</v>
      </c>
      <c r="M870">
        <v>2223022.1</v>
      </c>
      <c r="N870">
        <v>351131.8</v>
      </c>
      <c r="O870">
        <v>1871890.3</v>
      </c>
      <c r="P870">
        <v>2176071.5</v>
      </c>
      <c r="Q870">
        <v>340920.9</v>
      </c>
      <c r="R870">
        <v>101876.7</v>
      </c>
      <c r="S870">
        <v>356304.7</v>
      </c>
      <c r="T870">
        <v>1376969.2</v>
      </c>
      <c r="U870" s="11">
        <v>1492640.2</v>
      </c>
      <c r="V870" s="12">
        <v>804021.2</v>
      </c>
      <c r="W870" s="11">
        <v>688619</v>
      </c>
      <c r="X870" s="11">
        <v>422587.1</v>
      </c>
      <c r="Y870" s="11">
        <v>266031.90000000002</v>
      </c>
      <c r="Z870" s="11">
        <v>1339229.3</v>
      </c>
      <c r="AA870" s="11">
        <v>487214.3</v>
      </c>
      <c r="AB870" s="11">
        <v>852015</v>
      </c>
      <c r="AC870" s="11">
        <v>110092.9</v>
      </c>
      <c r="AD870" s="11">
        <v>1979378</v>
      </c>
      <c r="AE870" s="11">
        <v>601613.69999999995</v>
      </c>
      <c r="AF870" s="11">
        <v>13711</v>
      </c>
      <c r="AG870" s="11">
        <v>1431543.5</v>
      </c>
      <c r="AH870" s="13">
        <v>16853254.199999999</v>
      </c>
      <c r="AI870" s="11">
        <v>12313001.199999999</v>
      </c>
      <c r="AJ870" s="11">
        <v>1683310.8</v>
      </c>
      <c r="AK870" s="11">
        <v>10629690.4</v>
      </c>
      <c r="AL870" s="11">
        <v>1983210.4</v>
      </c>
      <c r="AM870" s="11">
        <v>90712.3</v>
      </c>
      <c r="AN870" s="11">
        <v>608223.4</v>
      </c>
      <c r="AO870" s="13">
        <v>14995147.300000001</v>
      </c>
      <c r="AP870" s="11">
        <v>1858107</v>
      </c>
      <c r="AQ870" s="11">
        <v>-47508.7</v>
      </c>
      <c r="AR870" s="11">
        <v>-40417.1</v>
      </c>
      <c r="AS870">
        <f t="shared" si="18"/>
        <v>24626002.399999999</v>
      </c>
      <c r="AT870">
        <f t="shared" si="17"/>
        <v>0.68436825134070478</v>
      </c>
    </row>
    <row r="871" spans="1:46" x14ac:dyDescent="0.4">
      <c r="A871" s="3" t="s">
        <v>1002</v>
      </c>
      <c r="B871">
        <v>13065731.699999999</v>
      </c>
      <c r="C871">
        <v>3494987</v>
      </c>
      <c r="D871">
        <v>2662781.2000000002</v>
      </c>
      <c r="E871">
        <v>1875595.2</v>
      </c>
      <c r="F871">
        <v>787186</v>
      </c>
      <c r="G871">
        <v>832205.7</v>
      </c>
      <c r="H871">
        <v>73525.2</v>
      </c>
      <c r="I871">
        <v>758680.5</v>
      </c>
      <c r="J871">
        <v>9570744.6999999993</v>
      </c>
      <c r="K871">
        <v>2304133.7000000002</v>
      </c>
      <c r="L871">
        <v>4408192.7</v>
      </c>
      <c r="M871">
        <v>2226175.7000000002</v>
      </c>
      <c r="N871">
        <v>349496.2</v>
      </c>
      <c r="O871">
        <v>1876679.5</v>
      </c>
      <c r="P871">
        <v>2182017</v>
      </c>
      <c r="Q871">
        <v>341604</v>
      </c>
      <c r="R871">
        <v>102197.2</v>
      </c>
      <c r="S871">
        <v>356383.6</v>
      </c>
      <c r="T871">
        <v>1381832.2</v>
      </c>
      <c r="U871" s="11">
        <v>1496079.5</v>
      </c>
      <c r="V871" s="12">
        <v>805136</v>
      </c>
      <c r="W871" s="11">
        <v>690943.5</v>
      </c>
      <c r="X871" s="11">
        <v>423453.7</v>
      </c>
      <c r="Y871" s="11">
        <v>267489.90000000002</v>
      </c>
      <c r="Z871" s="11">
        <v>1362338.8</v>
      </c>
      <c r="AA871" s="11">
        <v>498272.2</v>
      </c>
      <c r="AB871" s="11">
        <v>864066.6</v>
      </c>
      <c r="AC871" s="11">
        <v>111255.9</v>
      </c>
      <c r="AD871" s="11">
        <v>1926616.5</v>
      </c>
      <c r="AE871" s="11">
        <v>674875.8</v>
      </c>
      <c r="AF871" s="11">
        <v>15179.3</v>
      </c>
      <c r="AG871" s="11">
        <v>1426635.6</v>
      </c>
      <c r="AH871" s="13">
        <v>16997782.899999999</v>
      </c>
      <c r="AI871" s="11">
        <v>12438941.699999999</v>
      </c>
      <c r="AJ871" s="11">
        <v>1696227.3</v>
      </c>
      <c r="AK871" s="11">
        <v>10742714.4</v>
      </c>
      <c r="AL871" s="11">
        <v>1971150.4</v>
      </c>
      <c r="AM871" s="11">
        <v>111284.2</v>
      </c>
      <c r="AN871" s="11">
        <v>598459.80000000005</v>
      </c>
      <c r="AO871" s="13">
        <v>15119836.199999999</v>
      </c>
      <c r="AP871" s="11">
        <v>1877946.8</v>
      </c>
      <c r="AQ871" s="11">
        <v>-35046.800000000003</v>
      </c>
      <c r="AR871" s="11">
        <v>-27822.5</v>
      </c>
      <c r="AS871">
        <f t="shared" si="18"/>
        <v>24877883.399999999</v>
      </c>
      <c r="AT871">
        <f t="shared" si="17"/>
        <v>0.68324875660443041</v>
      </c>
    </row>
    <row r="872" spans="1:46" x14ac:dyDescent="0.4">
      <c r="A872" s="3" t="s">
        <v>1003</v>
      </c>
      <c r="B872">
        <v>13161096.800000001</v>
      </c>
      <c r="C872">
        <v>3535006.7</v>
      </c>
      <c r="D872">
        <v>2702250.1</v>
      </c>
      <c r="E872">
        <v>1906008.5</v>
      </c>
      <c r="F872">
        <v>796241.6</v>
      </c>
      <c r="G872">
        <v>832756.5</v>
      </c>
      <c r="H872">
        <v>74634.2</v>
      </c>
      <c r="I872">
        <v>758122.3</v>
      </c>
      <c r="J872">
        <v>9626090.1999999993</v>
      </c>
      <c r="K872">
        <v>2323319.5</v>
      </c>
      <c r="L872">
        <v>4422434.2</v>
      </c>
      <c r="M872">
        <v>2231526.7999999998</v>
      </c>
      <c r="N872">
        <v>349889.6</v>
      </c>
      <c r="O872">
        <v>1881637.2</v>
      </c>
      <c r="P872">
        <v>2190907.4</v>
      </c>
      <c r="Q872">
        <v>342833.5</v>
      </c>
      <c r="R872">
        <v>102581.1</v>
      </c>
      <c r="S872">
        <v>358442.8</v>
      </c>
      <c r="T872">
        <v>1387049.9</v>
      </c>
      <c r="U872" s="11">
        <v>1504223</v>
      </c>
      <c r="V872" s="12">
        <v>808330.4</v>
      </c>
      <c r="W872" s="11">
        <v>695892.6</v>
      </c>
      <c r="X872" s="11">
        <v>425059.7</v>
      </c>
      <c r="Y872" s="11">
        <v>270832.90000000002</v>
      </c>
      <c r="Z872" s="11">
        <v>1376113.5</v>
      </c>
      <c r="AA872" s="11">
        <v>510151.5</v>
      </c>
      <c r="AB872" s="11">
        <v>865962</v>
      </c>
      <c r="AC872" s="11">
        <v>112605.7</v>
      </c>
      <c r="AD872" s="11">
        <v>1863816.1</v>
      </c>
      <c r="AE872" s="11">
        <v>676036.3</v>
      </c>
      <c r="AF872" s="11">
        <v>16127.7</v>
      </c>
      <c r="AG872" s="11">
        <v>1393601.5</v>
      </c>
      <c r="AH872" s="13">
        <v>16998072.699999999</v>
      </c>
      <c r="AI872" s="11">
        <v>12479023.5</v>
      </c>
      <c r="AJ872" s="11">
        <v>1722258.3</v>
      </c>
      <c r="AK872" s="11">
        <v>10756765.199999999</v>
      </c>
      <c r="AL872" s="11">
        <v>1978561.2</v>
      </c>
      <c r="AM872" s="11">
        <v>93639.9</v>
      </c>
      <c r="AN872" s="11">
        <v>576113.19999999995</v>
      </c>
      <c r="AO872" s="13">
        <v>15127337.800000001</v>
      </c>
      <c r="AP872" s="11">
        <v>1870735</v>
      </c>
      <c r="AQ872" s="11">
        <v>-26744.1</v>
      </c>
      <c r="AR872" s="11">
        <v>-20805.8</v>
      </c>
      <c r="AS872">
        <f t="shared" si="18"/>
        <v>24958047</v>
      </c>
      <c r="AT872">
        <f t="shared" si="17"/>
        <v>0.68106581817078871</v>
      </c>
    </row>
    <row r="873" spans="1:46" x14ac:dyDescent="0.4">
      <c r="A873" s="3" t="s">
        <v>1004</v>
      </c>
      <c r="B873">
        <v>13207206.199999999</v>
      </c>
      <c r="C873">
        <v>3547425.8</v>
      </c>
      <c r="D873">
        <v>2715727.8</v>
      </c>
      <c r="E873">
        <v>1919211.8</v>
      </c>
      <c r="F873">
        <v>796516</v>
      </c>
      <c r="G873">
        <v>831698</v>
      </c>
      <c r="H873">
        <v>76706.600000000006</v>
      </c>
      <c r="I873">
        <v>754991.5</v>
      </c>
      <c r="J873">
        <v>9659780.4000000004</v>
      </c>
      <c r="K873">
        <v>2327001.7999999998</v>
      </c>
      <c r="L873">
        <v>4435866.3</v>
      </c>
      <c r="M873">
        <v>2236088.9</v>
      </c>
      <c r="N873">
        <v>347309</v>
      </c>
      <c r="O873">
        <v>1888779.9</v>
      </c>
      <c r="P873">
        <v>2199777.5</v>
      </c>
      <c r="Q873">
        <v>344166.3</v>
      </c>
      <c r="R873">
        <v>102823.2</v>
      </c>
      <c r="S873">
        <v>361662.4</v>
      </c>
      <c r="T873">
        <v>1391125.6</v>
      </c>
      <c r="U873" s="11">
        <v>1512624.1</v>
      </c>
      <c r="V873" s="12">
        <v>812953.59999999998</v>
      </c>
      <c r="W873" s="11">
        <v>699670.5</v>
      </c>
      <c r="X873" s="11">
        <v>426732.79999999999</v>
      </c>
      <c r="Y873" s="11">
        <v>272937.7</v>
      </c>
      <c r="Z873" s="11">
        <v>1384288.2</v>
      </c>
      <c r="AA873" s="11">
        <v>518509.6</v>
      </c>
      <c r="AB873" s="11">
        <v>865778.6</v>
      </c>
      <c r="AC873" s="11">
        <v>112652.3</v>
      </c>
      <c r="AD873" s="11">
        <v>1830635.7</v>
      </c>
      <c r="AE873" s="11">
        <v>696830.8</v>
      </c>
      <c r="AF873" s="11">
        <v>16066</v>
      </c>
      <c r="AG873" s="11">
        <v>1397932.3</v>
      </c>
      <c r="AH873" s="13">
        <v>17036018.800000001</v>
      </c>
      <c r="AI873" s="11">
        <v>12516029.199999999</v>
      </c>
      <c r="AJ873" s="11">
        <v>1743987.1</v>
      </c>
      <c r="AK873" s="11">
        <v>10772042.199999999</v>
      </c>
      <c r="AL873" s="11">
        <v>1947729</v>
      </c>
      <c r="AM873" s="11">
        <v>79557.8</v>
      </c>
      <c r="AN873" s="11">
        <v>581469.1</v>
      </c>
      <c r="AO873" s="13">
        <v>15124785.199999999</v>
      </c>
      <c r="AP873" s="11">
        <v>1911233.5</v>
      </c>
      <c r="AQ873" s="11">
        <v>-21808.6</v>
      </c>
      <c r="AR873" s="11">
        <v>-17268.599999999999</v>
      </c>
      <c r="AS873">
        <f t="shared" si="18"/>
        <v>25032058.5</v>
      </c>
      <c r="AT873">
        <f t="shared" si="17"/>
        <v>0.68056803238934582</v>
      </c>
    </row>
    <row r="874" spans="1:46" x14ac:dyDescent="0.4">
      <c r="A874" s="3" t="s">
        <v>1005</v>
      </c>
      <c r="B874">
        <v>13260697.699999999</v>
      </c>
      <c r="C874">
        <v>3568947.1</v>
      </c>
      <c r="D874">
        <v>2738883.5</v>
      </c>
      <c r="E874">
        <v>1929803.1</v>
      </c>
      <c r="F874">
        <v>809080.4</v>
      </c>
      <c r="G874">
        <v>830063.5</v>
      </c>
      <c r="H874">
        <v>77374.7</v>
      </c>
      <c r="I874">
        <v>752688.9</v>
      </c>
      <c r="J874">
        <v>9691750.5999999996</v>
      </c>
      <c r="K874">
        <v>2335039.6</v>
      </c>
      <c r="L874">
        <v>4449226.5999999996</v>
      </c>
      <c r="M874">
        <v>2241134.7000000002</v>
      </c>
      <c r="N874">
        <v>344375.3</v>
      </c>
      <c r="O874">
        <v>1896759.4</v>
      </c>
      <c r="P874">
        <v>2208091.9</v>
      </c>
      <c r="Q874">
        <v>345589.3</v>
      </c>
      <c r="R874">
        <v>103058.2</v>
      </c>
      <c r="S874">
        <v>362443.6</v>
      </c>
      <c r="T874">
        <v>1397000.7</v>
      </c>
      <c r="U874" s="11">
        <v>1520619.3</v>
      </c>
      <c r="V874" s="12">
        <v>816898.6</v>
      </c>
      <c r="W874" s="11">
        <v>703720.6</v>
      </c>
      <c r="X874" s="11">
        <v>428821.2</v>
      </c>
      <c r="Y874" s="11">
        <v>274899.40000000002</v>
      </c>
      <c r="Z874" s="11">
        <v>1386865.2</v>
      </c>
      <c r="AA874" s="11">
        <v>519254.2</v>
      </c>
      <c r="AB874" s="11">
        <v>867611</v>
      </c>
      <c r="AC874" s="11">
        <v>112560.5</v>
      </c>
      <c r="AD874" s="11">
        <v>1798356.7</v>
      </c>
      <c r="AE874" s="11">
        <v>727699.8</v>
      </c>
      <c r="AF874" s="11">
        <v>16419.8</v>
      </c>
      <c r="AG874" s="11">
        <v>1422049.7</v>
      </c>
      <c r="AH874" s="13">
        <v>17112663.300000001</v>
      </c>
      <c r="AI874" s="11">
        <v>12577917</v>
      </c>
      <c r="AJ874" s="11">
        <v>1775587.4</v>
      </c>
      <c r="AK874" s="11">
        <v>10802329.5</v>
      </c>
      <c r="AL874" s="11">
        <v>1953869.5</v>
      </c>
      <c r="AM874" s="11">
        <v>49521.7</v>
      </c>
      <c r="AN874" s="11">
        <v>591704.6</v>
      </c>
      <c r="AO874" s="13">
        <v>15173012.800000001</v>
      </c>
      <c r="AP874" s="11">
        <v>1939650.5</v>
      </c>
      <c r="AQ874" s="11">
        <v>-14068.9</v>
      </c>
      <c r="AR874" s="11">
        <v>-11412.3</v>
      </c>
      <c r="AS874">
        <f t="shared" si="18"/>
        <v>25155833.899999999</v>
      </c>
      <c r="AT874">
        <f t="shared" si="17"/>
        <v>0.68026619065885952</v>
      </c>
    </row>
    <row r="875" spans="1:46" x14ac:dyDescent="0.4">
      <c r="A875" s="3" t="s">
        <v>1006</v>
      </c>
      <c r="B875">
        <v>13321578.4</v>
      </c>
      <c r="C875">
        <v>3609320.1</v>
      </c>
      <c r="D875">
        <v>2774204.7</v>
      </c>
      <c r="E875">
        <v>1954789.4</v>
      </c>
      <c r="F875">
        <v>819415.3</v>
      </c>
      <c r="G875">
        <v>835115.4</v>
      </c>
      <c r="H875">
        <v>77331.399999999994</v>
      </c>
      <c r="I875">
        <v>757784</v>
      </c>
      <c r="J875">
        <v>9712258.3000000007</v>
      </c>
      <c r="K875">
        <v>2327356.9</v>
      </c>
      <c r="L875">
        <v>4465114.4000000004</v>
      </c>
      <c r="M875">
        <v>2247847.5</v>
      </c>
      <c r="N875">
        <v>341963.9</v>
      </c>
      <c r="O875">
        <v>1905883.6</v>
      </c>
      <c r="P875">
        <v>2217266.9</v>
      </c>
      <c r="Q875">
        <v>346542.9</v>
      </c>
      <c r="R875">
        <v>103544.8</v>
      </c>
      <c r="S875">
        <v>364703</v>
      </c>
      <c r="T875">
        <v>1402476.3</v>
      </c>
      <c r="U875" s="11">
        <v>1531884.6</v>
      </c>
      <c r="V875" s="12">
        <v>821833.9</v>
      </c>
      <c r="W875" s="11">
        <v>710050.7</v>
      </c>
      <c r="X875" s="11">
        <v>431815.6</v>
      </c>
      <c r="Y875" s="11">
        <v>278235.09999999998</v>
      </c>
      <c r="Z875" s="11">
        <v>1387902.4</v>
      </c>
      <c r="AA875" s="11">
        <v>518635.6</v>
      </c>
      <c r="AB875" s="11">
        <v>869266.7</v>
      </c>
      <c r="AC875" s="11">
        <v>112625.9</v>
      </c>
      <c r="AD875" s="11">
        <v>1717666.8</v>
      </c>
      <c r="AE875" s="11">
        <v>773150.4</v>
      </c>
      <c r="AF875" s="11">
        <v>14653.8</v>
      </c>
      <c r="AG875" s="11">
        <v>1453040.8</v>
      </c>
      <c r="AH875" s="13">
        <v>17167464.199999999</v>
      </c>
      <c r="AI875" s="11">
        <v>12640847.699999999</v>
      </c>
      <c r="AJ875" s="11">
        <v>1790800.1</v>
      </c>
      <c r="AK875" s="11">
        <v>10850047.6</v>
      </c>
      <c r="AL875" s="11">
        <v>1965212.8</v>
      </c>
      <c r="AM875" s="11">
        <v>-3433.8</v>
      </c>
      <c r="AN875" s="11">
        <v>602754.69999999995</v>
      </c>
      <c r="AO875" s="13">
        <v>15205381.4</v>
      </c>
      <c r="AP875" s="11">
        <v>1962082.8</v>
      </c>
      <c r="AQ875" s="11">
        <v>-9319.2000000000007</v>
      </c>
      <c r="AR875" s="11">
        <v>-7873.1</v>
      </c>
      <c r="AS875">
        <f t="shared" si="18"/>
        <v>25281695.399999999</v>
      </c>
      <c r="AT875">
        <f t="shared" si="17"/>
        <v>0.67904718921659024</v>
      </c>
    </row>
    <row r="876" spans="1:46" x14ac:dyDescent="0.4">
      <c r="A876" s="3" t="s">
        <v>1007</v>
      </c>
      <c r="B876">
        <v>13383147.800000001</v>
      </c>
      <c r="C876">
        <v>3628227.4</v>
      </c>
      <c r="D876">
        <v>2795547.6</v>
      </c>
      <c r="E876">
        <v>1963752.3</v>
      </c>
      <c r="F876">
        <v>831795.3</v>
      </c>
      <c r="G876">
        <v>832679.8</v>
      </c>
      <c r="H876">
        <v>79159.7</v>
      </c>
      <c r="I876">
        <v>753520.1</v>
      </c>
      <c r="J876">
        <v>9754920.5</v>
      </c>
      <c r="K876">
        <v>2329079.7999999998</v>
      </c>
      <c r="L876">
        <v>4487869.0999999996</v>
      </c>
      <c r="M876">
        <v>2257161.6</v>
      </c>
      <c r="N876">
        <v>339266.2</v>
      </c>
      <c r="O876">
        <v>1917895.4</v>
      </c>
      <c r="P876">
        <v>2230707.5</v>
      </c>
      <c r="Q876">
        <v>347255.1</v>
      </c>
      <c r="R876">
        <v>104013.2</v>
      </c>
      <c r="S876">
        <v>370625.1</v>
      </c>
      <c r="T876">
        <v>1408814.1</v>
      </c>
      <c r="U876" s="11">
        <v>1538358.6</v>
      </c>
      <c r="V876" s="12">
        <v>822703.8</v>
      </c>
      <c r="W876" s="11">
        <v>715654.8</v>
      </c>
      <c r="X876" s="11">
        <v>434776.8</v>
      </c>
      <c r="Y876" s="11">
        <v>280878.09999999998</v>
      </c>
      <c r="Z876" s="11">
        <v>1399613</v>
      </c>
      <c r="AA876" s="11">
        <v>531312.1</v>
      </c>
      <c r="AB876" s="11">
        <v>868300.9</v>
      </c>
      <c r="AC876" s="11">
        <v>111508.2</v>
      </c>
      <c r="AD876" s="11">
        <v>1701293.7</v>
      </c>
      <c r="AE876" s="11">
        <v>784523.6</v>
      </c>
      <c r="AF876" s="11">
        <v>12106</v>
      </c>
      <c r="AG876" s="11">
        <v>1450009</v>
      </c>
      <c r="AH876" s="13">
        <v>17219571.800000001</v>
      </c>
      <c r="AI876" s="11">
        <v>12694226.6</v>
      </c>
      <c r="AJ876" s="11">
        <v>1777794.7</v>
      </c>
      <c r="AK876" s="11">
        <v>10916431.800000001</v>
      </c>
      <c r="AL876" s="11">
        <v>1971175.8</v>
      </c>
      <c r="AM876" s="11">
        <v>-7288.4</v>
      </c>
      <c r="AN876" s="11">
        <v>610548.9</v>
      </c>
      <c r="AO876" s="13">
        <v>15268662.800000001</v>
      </c>
      <c r="AP876" s="11">
        <v>1950909.1</v>
      </c>
      <c r="AQ876" s="11">
        <v>-3079.5</v>
      </c>
      <c r="AR876" s="11">
        <v>-3761.3</v>
      </c>
      <c r="AS876">
        <f t="shared" si="18"/>
        <v>25388453.100000001</v>
      </c>
      <c r="AT876">
        <f t="shared" si="17"/>
        <v>0.67824422906648063</v>
      </c>
    </row>
    <row r="877" spans="1:46" x14ac:dyDescent="0.4">
      <c r="A877" s="3" t="s">
        <v>1008</v>
      </c>
      <c r="B877">
        <v>13454736.1</v>
      </c>
      <c r="C877">
        <v>3658786.4</v>
      </c>
      <c r="D877">
        <v>2830766.2</v>
      </c>
      <c r="E877">
        <v>1988715.2</v>
      </c>
      <c r="F877">
        <v>842051</v>
      </c>
      <c r="G877">
        <v>828020.2</v>
      </c>
      <c r="H877">
        <v>78112.100000000006</v>
      </c>
      <c r="I877">
        <v>749908.1</v>
      </c>
      <c r="J877">
        <v>9795949.6999999993</v>
      </c>
      <c r="K877">
        <v>2336406.7000000002</v>
      </c>
      <c r="L877">
        <v>4499391.0999999996</v>
      </c>
      <c r="M877">
        <v>2263288</v>
      </c>
      <c r="N877">
        <v>336753.3</v>
      </c>
      <c r="O877">
        <v>1926534.7</v>
      </c>
      <c r="P877">
        <v>2236103.1</v>
      </c>
      <c r="Q877">
        <v>347087.7</v>
      </c>
      <c r="R877">
        <v>103802</v>
      </c>
      <c r="S877">
        <v>372132.4</v>
      </c>
      <c r="T877">
        <v>1413080.9</v>
      </c>
      <c r="U877" s="11">
        <v>1543794.5</v>
      </c>
      <c r="V877" s="12">
        <v>823941.8</v>
      </c>
      <c r="W877" s="11">
        <v>719852.7</v>
      </c>
      <c r="X877" s="11">
        <v>436889.5</v>
      </c>
      <c r="Y877" s="11">
        <v>282963.20000000001</v>
      </c>
      <c r="Z877" s="11">
        <v>1416357.4</v>
      </c>
      <c r="AA877" s="11">
        <v>540012.19999999995</v>
      </c>
      <c r="AB877" s="11">
        <v>876345.2</v>
      </c>
      <c r="AC877" s="11">
        <v>110572.7</v>
      </c>
      <c r="AD877" s="11">
        <v>1710003.7</v>
      </c>
      <c r="AE877" s="11">
        <v>817291.9</v>
      </c>
      <c r="AF877" s="11">
        <v>9169.6</v>
      </c>
      <c r="AG877" s="11">
        <v>1478863.5</v>
      </c>
      <c r="AH877" s="13">
        <v>17359492</v>
      </c>
      <c r="AI877" s="11">
        <v>12791575.199999999</v>
      </c>
      <c r="AJ877" s="11">
        <v>1767747.3</v>
      </c>
      <c r="AK877" s="11">
        <v>11023827.800000001</v>
      </c>
      <c r="AL877" s="11">
        <v>1993892.5</v>
      </c>
      <c r="AM877" s="11">
        <v>-944.3</v>
      </c>
      <c r="AN877" s="11">
        <v>631638.9</v>
      </c>
      <c r="AO877" s="13">
        <v>15416162.300000001</v>
      </c>
      <c r="AP877" s="11">
        <v>1943329.8</v>
      </c>
      <c r="AQ877" s="11">
        <v>9103.9</v>
      </c>
      <c r="AR877" s="11">
        <v>6289.3</v>
      </c>
      <c r="AS877">
        <f t="shared" si="18"/>
        <v>25583150.300000001</v>
      </c>
      <c r="AT877">
        <f t="shared" si="17"/>
        <v>0.67855177319581317</v>
      </c>
    </row>
    <row r="878" spans="1:46" x14ac:dyDescent="0.4">
      <c r="A878" s="3" t="s">
        <v>1009</v>
      </c>
      <c r="B878">
        <v>13512392</v>
      </c>
      <c r="C878">
        <v>3685620.2</v>
      </c>
      <c r="D878">
        <v>2861628.5</v>
      </c>
      <c r="E878">
        <v>2002768.1</v>
      </c>
      <c r="F878">
        <v>858860.5</v>
      </c>
      <c r="G878">
        <v>823991.7</v>
      </c>
      <c r="H878">
        <v>77871.899999999994</v>
      </c>
      <c r="I878">
        <v>746119.8</v>
      </c>
      <c r="J878">
        <v>9826771.6999999993</v>
      </c>
      <c r="K878">
        <v>2345746</v>
      </c>
      <c r="L878">
        <v>4507923.9000000004</v>
      </c>
      <c r="M878">
        <v>2264335.4</v>
      </c>
      <c r="N878">
        <v>334038.09999999998</v>
      </c>
      <c r="O878">
        <v>1930297.4</v>
      </c>
      <c r="P878">
        <v>2243588.4</v>
      </c>
      <c r="Q878">
        <v>348993.5</v>
      </c>
      <c r="R878">
        <v>101884.7</v>
      </c>
      <c r="S878">
        <v>374246.5</v>
      </c>
      <c r="T878">
        <v>1418463.6</v>
      </c>
      <c r="U878" s="11">
        <v>1549682.9</v>
      </c>
      <c r="V878" s="12">
        <v>825168.2</v>
      </c>
      <c r="W878" s="11">
        <v>724514.8</v>
      </c>
      <c r="X878" s="11">
        <v>439482.9</v>
      </c>
      <c r="Y878" s="11">
        <v>285031.90000000002</v>
      </c>
      <c r="Z878" s="11">
        <v>1423418.9</v>
      </c>
      <c r="AA878" s="11">
        <v>546381.1</v>
      </c>
      <c r="AB878" s="11">
        <v>877037.8</v>
      </c>
      <c r="AC878" s="11">
        <v>110278.3</v>
      </c>
      <c r="AD878" s="11">
        <v>1680485.8</v>
      </c>
      <c r="AE878" s="11">
        <v>819921.7</v>
      </c>
      <c r="AF878" s="11">
        <v>7550</v>
      </c>
      <c r="AG878" s="11">
        <v>1496932.6</v>
      </c>
      <c r="AH878" s="13">
        <v>17407003.800000001</v>
      </c>
      <c r="AI878" s="11">
        <v>12819403.5</v>
      </c>
      <c r="AJ878" s="11">
        <v>1774278.8</v>
      </c>
      <c r="AK878" s="11">
        <v>11045124.699999999</v>
      </c>
      <c r="AL878" s="11">
        <v>2007661.6</v>
      </c>
      <c r="AM878" s="11">
        <v>-30907.200000000001</v>
      </c>
      <c r="AN878" s="11">
        <v>631254</v>
      </c>
      <c r="AO878" s="13">
        <v>15427411.9</v>
      </c>
      <c r="AP878" s="11">
        <v>1979591.9</v>
      </c>
      <c r="AQ878" s="11">
        <v>12821.1</v>
      </c>
      <c r="AR878" s="11">
        <v>9376.7999999999993</v>
      </c>
      <c r="AS878">
        <f t="shared" si="18"/>
        <v>25638807</v>
      </c>
      <c r="AT878">
        <f t="shared" si="17"/>
        <v>0.67893189414000432</v>
      </c>
    </row>
    <row r="879" spans="1:46" x14ac:dyDescent="0.4">
      <c r="A879" s="3" t="s">
        <v>1010</v>
      </c>
      <c r="B879">
        <v>13599815.4</v>
      </c>
      <c r="C879">
        <v>3727825.1</v>
      </c>
      <c r="D879">
        <v>2905536.6</v>
      </c>
      <c r="E879">
        <v>2013858.3</v>
      </c>
      <c r="F879">
        <v>891678.3</v>
      </c>
      <c r="G879">
        <v>822288.5</v>
      </c>
      <c r="H879">
        <v>78310.600000000006</v>
      </c>
      <c r="I879">
        <v>743977.9</v>
      </c>
      <c r="J879">
        <v>9871990.3000000007</v>
      </c>
      <c r="K879">
        <v>2363122.9</v>
      </c>
      <c r="L879">
        <v>4515312.5999999996</v>
      </c>
      <c r="M879">
        <v>2264340.2000000002</v>
      </c>
      <c r="N879">
        <v>331822.3</v>
      </c>
      <c r="O879">
        <v>1932517.9</v>
      </c>
      <c r="P879">
        <v>2250972.4</v>
      </c>
      <c r="Q879">
        <v>348080.2</v>
      </c>
      <c r="R879">
        <v>101995</v>
      </c>
      <c r="S879">
        <v>376729.3</v>
      </c>
      <c r="T879">
        <v>1424167.9</v>
      </c>
      <c r="U879" s="11">
        <v>1558581.3</v>
      </c>
      <c r="V879" s="12">
        <v>829199.2</v>
      </c>
      <c r="W879" s="11">
        <v>729382.1</v>
      </c>
      <c r="X879" s="11">
        <v>442031</v>
      </c>
      <c r="Y879" s="11">
        <v>287351</v>
      </c>
      <c r="Z879" s="11">
        <v>1434973.5</v>
      </c>
      <c r="AA879" s="11">
        <v>557922.1</v>
      </c>
      <c r="AB879" s="11">
        <v>877051.4</v>
      </c>
      <c r="AC879" s="11">
        <v>109795</v>
      </c>
      <c r="AD879" s="11">
        <v>1663612.5</v>
      </c>
      <c r="AE879" s="11">
        <v>802716.3</v>
      </c>
      <c r="AF879" s="11">
        <v>8103.2</v>
      </c>
      <c r="AG879" s="11">
        <v>1545577.3</v>
      </c>
      <c r="AH879" s="13">
        <v>17510029.699999999</v>
      </c>
      <c r="AI879" s="11">
        <v>12873822.1</v>
      </c>
      <c r="AJ879" s="11">
        <v>1791140.8</v>
      </c>
      <c r="AK879" s="11">
        <v>11082681.300000001</v>
      </c>
      <c r="AL879" s="11">
        <v>2004317.6</v>
      </c>
      <c r="AM879" s="11">
        <v>-14134.1</v>
      </c>
      <c r="AN879" s="11">
        <v>662488.4</v>
      </c>
      <c r="AO879" s="13">
        <v>15526493.9</v>
      </c>
      <c r="AP879" s="11">
        <v>1983535.8</v>
      </c>
      <c r="AQ879" s="11">
        <v>24251.599999999999</v>
      </c>
      <c r="AR879" s="11">
        <v>17535.3</v>
      </c>
      <c r="AS879">
        <f t="shared" si="18"/>
        <v>25747644.200000003</v>
      </c>
      <c r="AT879">
        <f t="shared" si="17"/>
        <v>0.68006337061314515</v>
      </c>
    </row>
    <row r="880" spans="1:46" x14ac:dyDescent="0.4">
      <c r="A880" s="3" t="s">
        <v>1011</v>
      </c>
      <c r="B880">
        <v>13696724.5</v>
      </c>
      <c r="C880">
        <v>3793962.6</v>
      </c>
      <c r="D880">
        <v>2970814.6</v>
      </c>
      <c r="E880">
        <v>2045701.8</v>
      </c>
      <c r="F880">
        <v>925112.8</v>
      </c>
      <c r="G880">
        <v>823147.9</v>
      </c>
      <c r="H880">
        <v>77574.5</v>
      </c>
      <c r="I880">
        <v>745573.5</v>
      </c>
      <c r="J880">
        <v>9902761.9000000004</v>
      </c>
      <c r="K880">
        <v>2368418.4</v>
      </c>
      <c r="L880">
        <v>4529018.7</v>
      </c>
      <c r="M880">
        <v>2265523.2999999998</v>
      </c>
      <c r="N880">
        <v>329147.3</v>
      </c>
      <c r="O880">
        <v>1936376</v>
      </c>
      <c r="P880">
        <v>2263495.4</v>
      </c>
      <c r="Q880">
        <v>347793</v>
      </c>
      <c r="R880">
        <v>102024.3</v>
      </c>
      <c r="S880">
        <v>379653.8</v>
      </c>
      <c r="T880">
        <v>1434024.2</v>
      </c>
      <c r="U880" s="11">
        <v>1563920.4</v>
      </c>
      <c r="V880" s="12">
        <v>830221.4</v>
      </c>
      <c r="W880" s="11">
        <v>733698.9</v>
      </c>
      <c r="X880" s="11">
        <v>444964.1</v>
      </c>
      <c r="Y880" s="11">
        <v>288734.90000000002</v>
      </c>
      <c r="Z880" s="11">
        <v>1441404.4</v>
      </c>
      <c r="AA880" s="11">
        <v>563759.30000000005</v>
      </c>
      <c r="AB880" s="11">
        <v>877645.2</v>
      </c>
      <c r="AC880" s="11">
        <v>110193.2</v>
      </c>
      <c r="AD880" s="11">
        <v>1616324.5</v>
      </c>
      <c r="AE880" s="11">
        <v>799483.6</v>
      </c>
      <c r="AF880" s="11">
        <v>8005.1</v>
      </c>
      <c r="AG880" s="11">
        <v>1507933.4</v>
      </c>
      <c r="AH880" s="13">
        <v>17518277.899999999</v>
      </c>
      <c r="AI880" s="11">
        <v>12971420.6</v>
      </c>
      <c r="AJ880" s="11">
        <v>1814141.3</v>
      </c>
      <c r="AK880" s="11">
        <v>11157279.300000001</v>
      </c>
      <c r="AL880" s="11">
        <v>2004979.7</v>
      </c>
      <c r="AM880" s="11">
        <v>-67064.3</v>
      </c>
      <c r="AN880" s="11">
        <v>662352.9</v>
      </c>
      <c r="AO880" s="13">
        <v>15571688.9</v>
      </c>
      <c r="AP880" s="11">
        <v>1946589</v>
      </c>
      <c r="AQ880" s="11">
        <v>20784.8</v>
      </c>
      <c r="AR880" s="11">
        <v>15213.9</v>
      </c>
      <c r="AS880">
        <f t="shared" si="18"/>
        <v>25942841.200000003</v>
      </c>
      <c r="AT880">
        <f t="shared" si="17"/>
        <v>0.67526443094444089</v>
      </c>
    </row>
    <row r="881" spans="1:46" x14ac:dyDescent="0.4">
      <c r="A881" s="3" t="s">
        <v>1012</v>
      </c>
      <c r="B881">
        <v>13733145.1</v>
      </c>
      <c r="C881">
        <v>3795104.5</v>
      </c>
      <c r="D881">
        <v>2978167.4</v>
      </c>
      <c r="E881">
        <v>2066644.1</v>
      </c>
      <c r="F881">
        <v>911523.3</v>
      </c>
      <c r="G881">
        <v>816937.1</v>
      </c>
      <c r="H881">
        <v>76851.100000000006</v>
      </c>
      <c r="I881">
        <v>740086.1</v>
      </c>
      <c r="J881">
        <v>9938040.5999999996</v>
      </c>
      <c r="K881">
        <v>2365136.5</v>
      </c>
      <c r="L881">
        <v>4546363.2</v>
      </c>
      <c r="M881">
        <v>2270358.6</v>
      </c>
      <c r="N881">
        <v>326208.3</v>
      </c>
      <c r="O881">
        <v>1944150.3</v>
      </c>
      <c r="P881">
        <v>2276004.7000000002</v>
      </c>
      <c r="Q881">
        <v>349037</v>
      </c>
      <c r="R881">
        <v>102200.8</v>
      </c>
      <c r="S881">
        <v>382897.7</v>
      </c>
      <c r="T881">
        <v>1441869.2</v>
      </c>
      <c r="U881" s="11">
        <v>1573619.2</v>
      </c>
      <c r="V881" s="12">
        <v>836203.7</v>
      </c>
      <c r="W881" s="11">
        <v>737415.5</v>
      </c>
      <c r="X881" s="11">
        <v>447566.6</v>
      </c>
      <c r="Y881" s="11">
        <v>289848.90000000002</v>
      </c>
      <c r="Z881" s="11">
        <v>1452921.7</v>
      </c>
      <c r="AA881" s="11">
        <v>570579.4</v>
      </c>
      <c r="AB881" s="11">
        <v>882342.3</v>
      </c>
      <c r="AC881" s="11">
        <v>111673.8</v>
      </c>
      <c r="AD881" s="11">
        <v>1676505</v>
      </c>
      <c r="AE881" s="11">
        <v>793212.1</v>
      </c>
      <c r="AF881" s="11">
        <v>7388.5</v>
      </c>
      <c r="AG881" s="11">
        <v>1499879.8</v>
      </c>
      <c r="AH881" s="13">
        <v>17598456.699999999</v>
      </c>
      <c r="AI881" s="11">
        <v>13086135.300000001</v>
      </c>
      <c r="AJ881" s="11">
        <v>1835147.7</v>
      </c>
      <c r="AK881" s="11">
        <v>11250987.6</v>
      </c>
      <c r="AL881" s="11">
        <v>1976757.5</v>
      </c>
      <c r="AM881" s="11">
        <v>-73233.600000000006</v>
      </c>
      <c r="AN881" s="11">
        <v>666313.6</v>
      </c>
      <c r="AO881" s="13">
        <v>15655972.800000001</v>
      </c>
      <c r="AP881" s="11">
        <v>1942483.9</v>
      </c>
      <c r="AQ881" s="11">
        <v>19895.8</v>
      </c>
      <c r="AR881" s="11">
        <v>14354.2</v>
      </c>
      <c r="AS881">
        <f t="shared" si="18"/>
        <v>26172270.600000001</v>
      </c>
      <c r="AT881">
        <f t="shared" si="17"/>
        <v>0.67240848029440736</v>
      </c>
    </row>
    <row r="882" spans="1:46" x14ac:dyDescent="0.4">
      <c r="A882" s="3" t="s">
        <v>1013</v>
      </c>
      <c r="B882">
        <v>13796173.800000001</v>
      </c>
      <c r="C882">
        <v>3818568.8</v>
      </c>
      <c r="D882">
        <v>2995765.8</v>
      </c>
      <c r="E882">
        <v>2082882.5</v>
      </c>
      <c r="F882">
        <v>912883.3</v>
      </c>
      <c r="G882">
        <v>822803</v>
      </c>
      <c r="H882">
        <v>77047.399999999994</v>
      </c>
      <c r="I882">
        <v>745755.7</v>
      </c>
      <c r="J882">
        <v>9977605</v>
      </c>
      <c r="K882">
        <v>2366415.2999999998</v>
      </c>
      <c r="L882">
        <v>4572062.5</v>
      </c>
      <c r="M882">
        <v>2281149.2000000002</v>
      </c>
      <c r="N882">
        <v>323935.09999999998</v>
      </c>
      <c r="O882">
        <v>1957214.1</v>
      </c>
      <c r="P882">
        <v>2290913.2999999998</v>
      </c>
      <c r="Q882">
        <v>350466.5</v>
      </c>
      <c r="R882">
        <v>102339.6</v>
      </c>
      <c r="S882">
        <v>385911.5</v>
      </c>
      <c r="T882">
        <v>1452195.7</v>
      </c>
      <c r="U882" s="11">
        <v>1578461.1</v>
      </c>
      <c r="V882" s="12">
        <v>836889.3</v>
      </c>
      <c r="W882" s="11">
        <v>741571.8</v>
      </c>
      <c r="X882" s="11">
        <v>449464</v>
      </c>
      <c r="Y882" s="11">
        <v>292107.8</v>
      </c>
      <c r="Z882" s="11">
        <v>1460666.1</v>
      </c>
      <c r="AA882" s="11">
        <v>575367.69999999995</v>
      </c>
      <c r="AB882" s="11">
        <v>885298.4</v>
      </c>
      <c r="AC882" s="11">
        <v>112521.1</v>
      </c>
      <c r="AD882" s="11">
        <v>1707373.7</v>
      </c>
      <c r="AE882" s="11">
        <v>761375.1</v>
      </c>
      <c r="AF882" s="11">
        <v>7604.8</v>
      </c>
      <c r="AG882" s="11">
        <v>1499480.1</v>
      </c>
      <c r="AH882" s="13">
        <v>17659486.5</v>
      </c>
      <c r="AI882" s="11">
        <v>13194295.199999999</v>
      </c>
      <c r="AJ882" s="11">
        <v>1850591.9</v>
      </c>
      <c r="AK882" s="11">
        <v>11343703.300000001</v>
      </c>
      <c r="AL882" s="11">
        <v>1977185.2</v>
      </c>
      <c r="AM882" s="11">
        <v>-110545.5</v>
      </c>
      <c r="AN882" s="11">
        <v>669289.6</v>
      </c>
      <c r="AO882" s="13">
        <v>15730224.4</v>
      </c>
      <c r="AP882" s="11">
        <v>1929262.1</v>
      </c>
      <c r="AQ882" s="11">
        <v>18322.5</v>
      </c>
      <c r="AR882" s="11">
        <v>13391.3</v>
      </c>
      <c r="AS882">
        <f t="shared" si="18"/>
        <v>26388590.399999999</v>
      </c>
      <c r="AT882">
        <f t="shared" si="17"/>
        <v>0.66920916321472024</v>
      </c>
    </row>
    <row r="883" spans="1:46" x14ac:dyDescent="0.4">
      <c r="A883" s="3" t="s">
        <v>1014</v>
      </c>
      <c r="B883">
        <v>13849704.1</v>
      </c>
      <c r="C883">
        <v>3826502.9</v>
      </c>
      <c r="D883">
        <v>2997916.2</v>
      </c>
      <c r="E883">
        <v>2082059</v>
      </c>
      <c r="F883">
        <v>915857.2</v>
      </c>
      <c r="G883">
        <v>828586.7</v>
      </c>
      <c r="H883">
        <v>77057.899999999994</v>
      </c>
      <c r="I883">
        <v>751528.8</v>
      </c>
      <c r="J883">
        <v>10023201.199999999</v>
      </c>
      <c r="K883">
        <v>2359929.2999999998</v>
      </c>
      <c r="L883">
        <v>4607317.0999999996</v>
      </c>
      <c r="M883">
        <v>2290240.2000000002</v>
      </c>
      <c r="N883">
        <v>321369.59999999998</v>
      </c>
      <c r="O883">
        <v>1968870.6</v>
      </c>
      <c r="P883">
        <v>2317076.9</v>
      </c>
      <c r="Q883">
        <v>351002.3</v>
      </c>
      <c r="R883">
        <v>102374.6</v>
      </c>
      <c r="S883">
        <v>397695.1</v>
      </c>
      <c r="T883">
        <v>1466004.9</v>
      </c>
      <c r="U883" s="11">
        <v>1586136.2</v>
      </c>
      <c r="V883" s="12">
        <v>841099.7</v>
      </c>
      <c r="W883" s="11">
        <v>745036.5</v>
      </c>
      <c r="X883" s="11">
        <v>450693</v>
      </c>
      <c r="Y883" s="11">
        <v>294343.5</v>
      </c>
      <c r="Z883" s="11">
        <v>1469818.6</v>
      </c>
      <c r="AA883" s="11">
        <v>580579.69999999995</v>
      </c>
      <c r="AB883" s="11">
        <v>889238.9</v>
      </c>
      <c r="AC883" s="11">
        <v>112449.8</v>
      </c>
      <c r="AD883" s="11">
        <v>1787450</v>
      </c>
      <c r="AE883" s="11">
        <v>737268</v>
      </c>
      <c r="AF883" s="11">
        <v>8056.5</v>
      </c>
      <c r="AG883" s="11">
        <v>1512648.3</v>
      </c>
      <c r="AH883" s="13">
        <v>17782677.100000001</v>
      </c>
      <c r="AI883" s="11">
        <v>13268542.800000001</v>
      </c>
      <c r="AJ883" s="11">
        <v>1861703.8</v>
      </c>
      <c r="AK883" s="11">
        <v>11406839</v>
      </c>
      <c r="AL883" s="11">
        <v>1988673.1</v>
      </c>
      <c r="AM883" s="11">
        <v>-103990.6</v>
      </c>
      <c r="AN883" s="11">
        <v>671915.3</v>
      </c>
      <c r="AO883" s="13">
        <v>15825140.6</v>
      </c>
      <c r="AP883" s="11">
        <v>1957536.5</v>
      </c>
      <c r="AQ883" s="11">
        <v>16287.7</v>
      </c>
      <c r="AR883" s="11">
        <v>11779.2</v>
      </c>
      <c r="AS883">
        <f t="shared" si="18"/>
        <v>26537085.600000001</v>
      </c>
      <c r="AT883">
        <f t="shared" si="17"/>
        <v>0.67010663371414081</v>
      </c>
    </row>
    <row r="884" spans="1:46" x14ac:dyDescent="0.4">
      <c r="A884" s="3" t="s">
        <v>1015</v>
      </c>
      <c r="B884">
        <v>13867665.1</v>
      </c>
      <c r="C884">
        <v>3832317.2</v>
      </c>
      <c r="D884">
        <v>3002568.5</v>
      </c>
      <c r="E884">
        <v>2101422.4</v>
      </c>
      <c r="F884">
        <v>901146.2</v>
      </c>
      <c r="G884">
        <v>829748.7</v>
      </c>
      <c r="H884">
        <v>77252.399999999994</v>
      </c>
      <c r="I884">
        <v>752496.3</v>
      </c>
      <c r="J884">
        <v>10035347.9</v>
      </c>
      <c r="K884">
        <v>2352925.2999999998</v>
      </c>
      <c r="L884">
        <v>4618849.2</v>
      </c>
      <c r="M884">
        <v>2290264.9</v>
      </c>
      <c r="N884">
        <v>319060.40000000002</v>
      </c>
      <c r="O884">
        <v>1971204.5</v>
      </c>
      <c r="P884">
        <v>2328584.2999999998</v>
      </c>
      <c r="Q884">
        <v>352034.8</v>
      </c>
      <c r="R884">
        <v>102319.6</v>
      </c>
      <c r="S884">
        <v>400519.1</v>
      </c>
      <c r="T884">
        <v>1473710.8</v>
      </c>
      <c r="U884" s="11">
        <v>1595473</v>
      </c>
      <c r="V884" s="12">
        <v>846851.9</v>
      </c>
      <c r="W884" s="11">
        <v>748621.2</v>
      </c>
      <c r="X884" s="11">
        <v>453168</v>
      </c>
      <c r="Y884" s="11">
        <v>295453.2</v>
      </c>
      <c r="Z884" s="11">
        <v>1468100.3</v>
      </c>
      <c r="AA884" s="11">
        <v>579842.9</v>
      </c>
      <c r="AB884" s="11">
        <v>888257.5</v>
      </c>
      <c r="AC884" s="11">
        <v>114186.1</v>
      </c>
      <c r="AD884" s="11">
        <v>1781055</v>
      </c>
      <c r="AE884" s="11">
        <v>741667.7</v>
      </c>
      <c r="AF884" s="11">
        <v>7107.6</v>
      </c>
      <c r="AG884" s="11">
        <v>1536618.3</v>
      </c>
      <c r="AH884" s="13">
        <v>17819927.699999999</v>
      </c>
      <c r="AI884" s="11">
        <v>13340959.1</v>
      </c>
      <c r="AJ884" s="11">
        <v>1848783.8</v>
      </c>
      <c r="AK884" s="11">
        <v>11492175.4</v>
      </c>
      <c r="AL884" s="11">
        <v>1971126.6</v>
      </c>
      <c r="AM884" s="11">
        <v>-122228.7</v>
      </c>
      <c r="AN884" s="11">
        <v>686017</v>
      </c>
      <c r="AO884" s="13">
        <v>15875874.1</v>
      </c>
      <c r="AP884" s="11">
        <v>1944053.5</v>
      </c>
      <c r="AQ884" s="11">
        <v>24079.3</v>
      </c>
      <c r="AR884" s="11">
        <v>17321.7</v>
      </c>
      <c r="AS884">
        <f t="shared" si="18"/>
        <v>26681918.300000001</v>
      </c>
      <c r="AT884">
        <f t="shared" si="17"/>
        <v>0.66786531236773927</v>
      </c>
    </row>
    <row r="885" spans="1:46" x14ac:dyDescent="0.4">
      <c r="A885" s="3" t="s">
        <v>1016</v>
      </c>
      <c r="B885">
        <v>13935100.199999999</v>
      </c>
      <c r="C885">
        <v>3872954.7</v>
      </c>
      <c r="D885">
        <v>3036070.1</v>
      </c>
      <c r="E885">
        <v>2114943.2000000002</v>
      </c>
      <c r="F885">
        <v>921126.8</v>
      </c>
      <c r="G885">
        <v>836884.7</v>
      </c>
      <c r="H885">
        <v>79980.800000000003</v>
      </c>
      <c r="I885">
        <v>756903.9</v>
      </c>
      <c r="J885">
        <v>10062145.5</v>
      </c>
      <c r="K885">
        <v>2347754.2999999998</v>
      </c>
      <c r="L885">
        <v>4634129.0999999996</v>
      </c>
      <c r="M885">
        <v>2293121.2999999998</v>
      </c>
      <c r="N885">
        <v>316546.8</v>
      </c>
      <c r="O885">
        <v>1976574.5</v>
      </c>
      <c r="P885">
        <v>2341007.7999999998</v>
      </c>
      <c r="Q885">
        <v>353656.1</v>
      </c>
      <c r="R885">
        <v>102564.2</v>
      </c>
      <c r="S885">
        <v>404574.3</v>
      </c>
      <c r="T885">
        <v>1480213.1</v>
      </c>
      <c r="U885" s="11">
        <v>1603084.7</v>
      </c>
      <c r="V885" s="12">
        <v>851230.7</v>
      </c>
      <c r="W885" s="11">
        <v>751854</v>
      </c>
      <c r="X885" s="11">
        <v>455382.5</v>
      </c>
      <c r="Y885" s="11">
        <v>296471.40000000002</v>
      </c>
      <c r="Z885" s="11">
        <v>1477177.4</v>
      </c>
      <c r="AA885" s="11">
        <v>587382.80000000005</v>
      </c>
      <c r="AB885" s="11">
        <v>889794.6</v>
      </c>
      <c r="AC885" s="11">
        <v>115016.6</v>
      </c>
      <c r="AD885" s="11">
        <v>1768114</v>
      </c>
      <c r="AE885" s="11">
        <v>795884</v>
      </c>
      <c r="AF885" s="11">
        <v>6958</v>
      </c>
      <c r="AG885" s="11">
        <v>1570220.2</v>
      </c>
      <c r="AH885" s="13">
        <v>17961259.800000001</v>
      </c>
      <c r="AI885" s="11">
        <v>13409618.699999999</v>
      </c>
      <c r="AJ885" s="11">
        <v>1838744.7</v>
      </c>
      <c r="AK885" s="11">
        <v>11570874.1</v>
      </c>
      <c r="AL885" s="11">
        <v>1953905.5</v>
      </c>
      <c r="AM885" s="11">
        <v>-129312.5</v>
      </c>
      <c r="AN885" s="11">
        <v>726007.1</v>
      </c>
      <c r="AO885" s="13">
        <v>15960218.800000001</v>
      </c>
      <c r="AP885" s="11">
        <v>2001041</v>
      </c>
      <c r="AQ885" s="11">
        <v>36308.6</v>
      </c>
      <c r="AR885" s="11">
        <v>25299.200000000001</v>
      </c>
      <c r="AS885">
        <f t="shared" si="18"/>
        <v>26819237.5</v>
      </c>
      <c r="AT885">
        <f t="shared" si="17"/>
        <v>0.66971552789299105</v>
      </c>
    </row>
    <row r="886" spans="1:46" x14ac:dyDescent="0.4">
      <c r="A886" s="3" t="s">
        <v>1017</v>
      </c>
      <c r="B886">
        <v>14406583.800000001</v>
      </c>
      <c r="C886">
        <v>3994687.9</v>
      </c>
      <c r="D886">
        <v>3150359.6</v>
      </c>
      <c r="E886">
        <v>2171196</v>
      </c>
      <c r="F886">
        <v>979163.6</v>
      </c>
      <c r="G886">
        <v>844328.3</v>
      </c>
      <c r="H886">
        <v>81321.2</v>
      </c>
      <c r="I886">
        <v>763007.1</v>
      </c>
      <c r="J886">
        <v>10411895.800000001</v>
      </c>
      <c r="K886">
        <v>2564457.6</v>
      </c>
      <c r="L886">
        <v>4659611</v>
      </c>
      <c r="M886">
        <v>2302846.4</v>
      </c>
      <c r="N886">
        <v>317019.7</v>
      </c>
      <c r="O886">
        <v>1985826.7</v>
      </c>
      <c r="P886">
        <v>2356764.5</v>
      </c>
      <c r="Q886">
        <v>357491.9</v>
      </c>
      <c r="R886">
        <v>102695.8</v>
      </c>
      <c r="S886">
        <v>408692.6</v>
      </c>
      <c r="T886">
        <v>1487884.2</v>
      </c>
      <c r="U886" s="11">
        <v>1608201</v>
      </c>
      <c r="V886" s="12">
        <v>853098.4</v>
      </c>
      <c r="W886" s="11">
        <v>755102.6</v>
      </c>
      <c r="X886" s="11">
        <v>457914.5</v>
      </c>
      <c r="Y886" s="11">
        <v>297188</v>
      </c>
      <c r="Z886" s="11">
        <v>1579626.3</v>
      </c>
      <c r="AA886" s="11">
        <v>645186.9</v>
      </c>
      <c r="AB886" s="11">
        <v>934439.5</v>
      </c>
      <c r="AC886" s="11">
        <v>117226.8</v>
      </c>
      <c r="AD886" s="11">
        <v>2165162.1</v>
      </c>
      <c r="AE886" s="11">
        <v>758873.8</v>
      </c>
      <c r="AF886" s="11">
        <v>7406.2</v>
      </c>
      <c r="AG886" s="11">
        <v>1726882.2</v>
      </c>
      <c r="AH886" s="13">
        <v>18947681.300000001</v>
      </c>
      <c r="AI886" s="11">
        <v>13873455.300000001</v>
      </c>
      <c r="AJ886" s="11">
        <v>1790165.3</v>
      </c>
      <c r="AK886" s="11">
        <v>12083290</v>
      </c>
      <c r="AL886" s="11">
        <v>2180793.1</v>
      </c>
      <c r="AM886" s="11">
        <v>22319.5</v>
      </c>
      <c r="AN886" s="11">
        <v>841230.5</v>
      </c>
      <c r="AO886" s="13">
        <v>16917798.5</v>
      </c>
      <c r="AP886" s="11">
        <v>2029882.8</v>
      </c>
      <c r="AQ886" s="11">
        <v>44280.2</v>
      </c>
      <c r="AR886" s="11">
        <v>35914.800000000003</v>
      </c>
      <c r="AS886">
        <f t="shared" si="18"/>
        <v>27746910.600000001</v>
      </c>
      <c r="AT886">
        <f t="shared" si="17"/>
        <v>0.68287535045433134</v>
      </c>
    </row>
    <row r="887" spans="1:46" x14ac:dyDescent="0.4">
      <c r="A887" s="3" t="s">
        <v>1018</v>
      </c>
      <c r="B887">
        <v>14780714.5</v>
      </c>
      <c r="C887">
        <v>3994163.8</v>
      </c>
      <c r="D887">
        <v>3143544.5</v>
      </c>
      <c r="E887">
        <v>2217789.2000000002</v>
      </c>
      <c r="F887">
        <v>925755.3</v>
      </c>
      <c r="G887">
        <v>850619.3</v>
      </c>
      <c r="H887">
        <v>81794</v>
      </c>
      <c r="I887">
        <v>768825.3</v>
      </c>
      <c r="J887">
        <v>10786550.800000001</v>
      </c>
      <c r="K887">
        <v>2924816.7</v>
      </c>
      <c r="L887">
        <v>4682138</v>
      </c>
      <c r="M887">
        <v>2307128.2000000002</v>
      </c>
      <c r="N887">
        <v>315170.3</v>
      </c>
      <c r="O887">
        <v>1991957.9</v>
      </c>
      <c r="P887">
        <v>2375009.7999999998</v>
      </c>
      <c r="Q887">
        <v>360901</v>
      </c>
      <c r="R887">
        <v>102943.4</v>
      </c>
      <c r="S887">
        <v>411697.4</v>
      </c>
      <c r="T887">
        <v>1499468</v>
      </c>
      <c r="U887" s="11">
        <v>1558503.6</v>
      </c>
      <c r="V887" s="12">
        <v>804800.6</v>
      </c>
      <c r="W887" s="11">
        <v>753703</v>
      </c>
      <c r="X887" s="11">
        <v>455527.5</v>
      </c>
      <c r="Y887" s="11">
        <v>298175.5</v>
      </c>
      <c r="Z887" s="11">
        <v>1621092.5</v>
      </c>
      <c r="AA887" s="11">
        <v>683186.8</v>
      </c>
      <c r="AB887" s="11">
        <v>937905.7</v>
      </c>
      <c r="AC887" s="11">
        <v>145914.6</v>
      </c>
      <c r="AD887" s="11">
        <v>3055466.5</v>
      </c>
      <c r="AE887" s="11">
        <v>689207.1</v>
      </c>
      <c r="AF887" s="11">
        <v>7240.6</v>
      </c>
      <c r="AG887" s="11">
        <v>1795698.6</v>
      </c>
      <c r="AH887" s="13">
        <v>20182412.600000001</v>
      </c>
      <c r="AI887" s="11">
        <v>14723257.699999999</v>
      </c>
      <c r="AJ887" s="11">
        <v>1789052.5</v>
      </c>
      <c r="AK887" s="11">
        <v>12934205.199999999</v>
      </c>
      <c r="AL887" s="11">
        <v>2192536.7000000002</v>
      </c>
      <c r="AM887" s="11">
        <v>398640.2</v>
      </c>
      <c r="AN887" s="11">
        <v>825883</v>
      </c>
      <c r="AO887" s="13">
        <v>18140317.5</v>
      </c>
      <c r="AP887" s="11">
        <v>2042095.1</v>
      </c>
      <c r="AQ887" s="11">
        <v>53305.1</v>
      </c>
      <c r="AR887" s="11">
        <v>47212.3</v>
      </c>
      <c r="AS887">
        <f t="shared" si="18"/>
        <v>29446515.399999999</v>
      </c>
      <c r="AT887">
        <f t="shared" si="17"/>
        <v>0.68539222131525968</v>
      </c>
    </row>
    <row r="888" spans="1:46" x14ac:dyDescent="0.4">
      <c r="A888" s="3" t="s">
        <v>1019</v>
      </c>
      <c r="B888">
        <v>14853876.1</v>
      </c>
      <c r="C888">
        <v>4023741.3</v>
      </c>
      <c r="D888">
        <v>3174378.2</v>
      </c>
      <c r="E888">
        <v>2214199.9</v>
      </c>
      <c r="F888">
        <v>960178.3</v>
      </c>
      <c r="G888">
        <v>849363.1</v>
      </c>
      <c r="H888">
        <v>82578</v>
      </c>
      <c r="I888">
        <v>766785.1</v>
      </c>
      <c r="J888">
        <v>10830134.800000001</v>
      </c>
      <c r="K888">
        <v>3033740.7</v>
      </c>
      <c r="L888">
        <v>4679210.0999999996</v>
      </c>
      <c r="M888">
        <v>2297791.5</v>
      </c>
      <c r="N888">
        <v>310780.3</v>
      </c>
      <c r="O888">
        <v>1987011.2</v>
      </c>
      <c r="P888">
        <v>2381418.6</v>
      </c>
      <c r="Q888">
        <v>364266.5</v>
      </c>
      <c r="R888">
        <v>102898.1</v>
      </c>
      <c r="S888">
        <v>413648.8</v>
      </c>
      <c r="T888">
        <v>1500605.2</v>
      </c>
      <c r="U888" s="11">
        <v>1523753.9</v>
      </c>
      <c r="V888" s="12">
        <v>772953.1</v>
      </c>
      <c r="W888" s="11">
        <v>750800.8</v>
      </c>
      <c r="X888" s="11">
        <v>452955.9</v>
      </c>
      <c r="Y888" s="11">
        <v>297844.90000000002</v>
      </c>
      <c r="Z888" s="11">
        <v>1593430.1</v>
      </c>
      <c r="AA888" s="11">
        <v>665131.9</v>
      </c>
      <c r="AB888" s="11">
        <v>928298.2</v>
      </c>
      <c r="AC888" s="11">
        <v>180107.7</v>
      </c>
      <c r="AD888" s="11">
        <v>3259608</v>
      </c>
      <c r="AE888" s="11">
        <v>688516.5</v>
      </c>
      <c r="AF888" s="11">
        <v>6565</v>
      </c>
      <c r="AG888" s="11">
        <v>1764614.5</v>
      </c>
      <c r="AH888" s="13">
        <v>20393072.399999999</v>
      </c>
      <c r="AI888" s="11">
        <v>15316963.300000001</v>
      </c>
      <c r="AJ888" s="11">
        <v>1768096.8</v>
      </c>
      <c r="AK888" s="11">
        <v>13548866.5</v>
      </c>
      <c r="AL888" s="11">
        <v>2017518</v>
      </c>
      <c r="AM888" s="11">
        <v>263708.7</v>
      </c>
      <c r="AN888" s="11">
        <v>814275.9</v>
      </c>
      <c r="AO888" s="13">
        <v>18412465.899999999</v>
      </c>
      <c r="AP888" s="11">
        <v>1980606.5</v>
      </c>
      <c r="AQ888" s="11">
        <v>60102.1</v>
      </c>
      <c r="AR888" s="11">
        <v>49626.2</v>
      </c>
      <c r="AS888">
        <f t="shared" si="18"/>
        <v>30633926.600000001</v>
      </c>
      <c r="AT888">
        <f t="shared" si="17"/>
        <v>0.66570220221132204</v>
      </c>
    </row>
    <row r="889" spans="1:46" x14ac:dyDescent="0.4">
      <c r="A889" s="3" t="s">
        <v>1020</v>
      </c>
      <c r="B889">
        <v>14854725</v>
      </c>
      <c r="C889">
        <v>4169709</v>
      </c>
      <c r="D889">
        <v>3300169</v>
      </c>
      <c r="E889">
        <v>2222241.2999999998</v>
      </c>
      <c r="F889">
        <v>1077927.7</v>
      </c>
      <c r="G889">
        <v>869540</v>
      </c>
      <c r="H889">
        <v>83878.600000000006</v>
      </c>
      <c r="I889">
        <v>785661.4</v>
      </c>
      <c r="J889">
        <v>10685016</v>
      </c>
      <c r="K889">
        <v>2928350.7</v>
      </c>
      <c r="L889">
        <v>4674324.0999999996</v>
      </c>
      <c r="M889">
        <v>2292045.9</v>
      </c>
      <c r="N889">
        <v>306259</v>
      </c>
      <c r="O889">
        <v>1985786.9</v>
      </c>
      <c r="P889">
        <v>2382278.1</v>
      </c>
      <c r="Q889">
        <v>368374.3</v>
      </c>
      <c r="R889">
        <v>102461.2</v>
      </c>
      <c r="S889">
        <v>414331.1</v>
      </c>
      <c r="T889">
        <v>1497111.6</v>
      </c>
      <c r="U889" s="11">
        <v>1515847.3</v>
      </c>
      <c r="V889" s="12">
        <v>762602.9</v>
      </c>
      <c r="W889" s="11">
        <v>753244.4</v>
      </c>
      <c r="X889" s="11">
        <v>455341.8</v>
      </c>
      <c r="Y889" s="11">
        <v>297902.59999999998</v>
      </c>
      <c r="Z889" s="11">
        <v>1566494</v>
      </c>
      <c r="AA889" s="11">
        <v>646917.9</v>
      </c>
      <c r="AB889" s="11">
        <v>919576.1</v>
      </c>
      <c r="AC889" s="11">
        <v>186095.8</v>
      </c>
      <c r="AD889" s="11">
        <v>3097470.4</v>
      </c>
      <c r="AE889" s="11">
        <v>799503.5</v>
      </c>
      <c r="AF889" s="11">
        <v>6329</v>
      </c>
      <c r="AG889" s="11">
        <v>1723636.2</v>
      </c>
      <c r="AH889" s="13">
        <v>20295568.399999999</v>
      </c>
      <c r="AI889" s="11">
        <v>15536523.300000001</v>
      </c>
      <c r="AJ889" s="11">
        <v>1733791.6</v>
      </c>
      <c r="AK889" s="11">
        <v>13802731.699999999</v>
      </c>
      <c r="AL889" s="11">
        <v>1860120</v>
      </c>
      <c r="AM889" s="11">
        <v>110775.6</v>
      </c>
      <c r="AN889" s="11">
        <v>804709.8</v>
      </c>
      <c r="AO889" s="13">
        <v>18312128.699999999</v>
      </c>
      <c r="AP889" s="11">
        <v>1983439.7</v>
      </c>
      <c r="AQ889" s="11">
        <v>63241.7</v>
      </c>
      <c r="AR889" s="11">
        <v>48364</v>
      </c>
      <c r="AS889">
        <f t="shared" si="18"/>
        <v>31073046.600000001</v>
      </c>
      <c r="AT889">
        <f t="shared" si="17"/>
        <v>0.65315669432941914</v>
      </c>
    </row>
    <row r="890" spans="1:46" x14ac:dyDescent="0.4">
      <c r="A890" s="3" t="s">
        <v>1021</v>
      </c>
      <c r="B890">
        <v>14913759.4</v>
      </c>
      <c r="C890">
        <v>4307661.0999999996</v>
      </c>
      <c r="D890">
        <v>3414459.9</v>
      </c>
      <c r="E890">
        <v>2267956.5</v>
      </c>
      <c r="F890">
        <v>1146503.3999999999</v>
      </c>
      <c r="G890">
        <v>893201.2</v>
      </c>
      <c r="H890">
        <v>85216.6</v>
      </c>
      <c r="I890">
        <v>807984.6</v>
      </c>
      <c r="J890">
        <v>10606098.300000001</v>
      </c>
      <c r="K890">
        <v>2862889.3</v>
      </c>
      <c r="L890">
        <v>4689445.4000000004</v>
      </c>
      <c r="M890">
        <v>2299713.2999999998</v>
      </c>
      <c r="N890">
        <v>303128.7</v>
      </c>
      <c r="O890">
        <v>1996584.6</v>
      </c>
      <c r="P890">
        <v>2389732.1</v>
      </c>
      <c r="Q890">
        <v>371313.1</v>
      </c>
      <c r="R890">
        <v>102160.4</v>
      </c>
      <c r="S890">
        <v>414370.1</v>
      </c>
      <c r="T890">
        <v>1501888.6</v>
      </c>
      <c r="U890" s="11">
        <v>1516804.4</v>
      </c>
      <c r="V890" s="12">
        <v>758893</v>
      </c>
      <c r="W890" s="11">
        <v>757911.4</v>
      </c>
      <c r="X890" s="11">
        <v>457405.6</v>
      </c>
      <c r="Y890" s="11">
        <v>300505.8</v>
      </c>
      <c r="Z890" s="11">
        <v>1536959.2</v>
      </c>
      <c r="AA890" s="11">
        <v>627158.6</v>
      </c>
      <c r="AB890" s="11">
        <v>909800.6</v>
      </c>
      <c r="AC890" s="11">
        <v>215825.6</v>
      </c>
      <c r="AD890" s="11">
        <v>2775534.8</v>
      </c>
      <c r="AE890" s="11">
        <v>929124.9</v>
      </c>
      <c r="AF890" s="11">
        <v>6554.7</v>
      </c>
      <c r="AG890" s="11">
        <v>1687470.2</v>
      </c>
      <c r="AH890" s="13">
        <v>20096618.300000001</v>
      </c>
      <c r="AI890" s="11">
        <v>15558749.199999999</v>
      </c>
      <c r="AJ890" s="11">
        <v>1711800.1</v>
      </c>
      <c r="AK890" s="11">
        <v>13846949.1</v>
      </c>
      <c r="AL890" s="11">
        <v>1812868.8</v>
      </c>
      <c r="AM890" s="11">
        <v>-12157.3</v>
      </c>
      <c r="AN890" s="11">
        <v>811114.7</v>
      </c>
      <c r="AO890" s="13">
        <v>18170575.5</v>
      </c>
      <c r="AP890" s="11">
        <v>1926042.8</v>
      </c>
      <c r="AQ890" s="11">
        <v>66388.100000000006</v>
      </c>
      <c r="AR890" s="11">
        <v>49641.2</v>
      </c>
      <c r="AS890">
        <f t="shared" si="18"/>
        <v>31117498.399999999</v>
      </c>
      <c r="AT890">
        <f t="shared" si="17"/>
        <v>0.6458301384535462</v>
      </c>
    </row>
    <row r="891" spans="1:46" x14ac:dyDescent="0.4">
      <c r="A891" s="3" t="s">
        <v>1022</v>
      </c>
      <c r="B891">
        <v>14928643.800000001</v>
      </c>
      <c r="C891">
        <v>4379042.0999999996</v>
      </c>
      <c r="D891">
        <v>3486402.8</v>
      </c>
      <c r="E891">
        <v>2334243.5</v>
      </c>
      <c r="F891">
        <v>1152159.3999999999</v>
      </c>
      <c r="G891">
        <v>892639.2</v>
      </c>
      <c r="H891">
        <v>83967.8</v>
      </c>
      <c r="I891">
        <v>808671.5</v>
      </c>
      <c r="J891">
        <v>10549601.699999999</v>
      </c>
      <c r="K891">
        <v>2819416</v>
      </c>
      <c r="L891">
        <v>4682935.7</v>
      </c>
      <c r="M891">
        <v>2288661.5</v>
      </c>
      <c r="N891">
        <v>298954.8</v>
      </c>
      <c r="O891">
        <v>1989706.7</v>
      </c>
      <c r="P891">
        <v>2394274.2000000002</v>
      </c>
      <c r="Q891">
        <v>372342.7</v>
      </c>
      <c r="R891">
        <v>101737.8</v>
      </c>
      <c r="S891">
        <v>415828.1</v>
      </c>
      <c r="T891">
        <v>1504365.6</v>
      </c>
      <c r="U891" s="11">
        <v>1512617.3</v>
      </c>
      <c r="V891" s="12">
        <v>752910</v>
      </c>
      <c r="W891" s="11">
        <v>759707.3</v>
      </c>
      <c r="X891" s="11">
        <v>458030.3</v>
      </c>
      <c r="Y891" s="11">
        <v>301677</v>
      </c>
      <c r="Z891" s="11">
        <v>1534632.7</v>
      </c>
      <c r="AA891" s="11">
        <v>633265.69999999995</v>
      </c>
      <c r="AB891" s="11">
        <v>901367.1</v>
      </c>
      <c r="AC891" s="11">
        <v>216525.4</v>
      </c>
      <c r="AD891" s="11">
        <v>2838716</v>
      </c>
      <c r="AE891" s="11">
        <v>836165.8</v>
      </c>
      <c r="AF891" s="11">
        <v>6555.4</v>
      </c>
      <c r="AG891" s="11">
        <v>1674243.6</v>
      </c>
      <c r="AH891" s="13">
        <v>20067799.300000001</v>
      </c>
      <c r="AI891" s="11">
        <v>15579791.6</v>
      </c>
      <c r="AJ891" s="11">
        <v>1668161</v>
      </c>
      <c r="AK891" s="11">
        <v>13911630.699999999</v>
      </c>
      <c r="AL891" s="11">
        <v>1801304.4</v>
      </c>
      <c r="AM891" s="11">
        <v>-8467.2999999999993</v>
      </c>
      <c r="AN891" s="11">
        <v>786819.4</v>
      </c>
      <c r="AO891" s="13">
        <v>18159448.100000001</v>
      </c>
      <c r="AP891" s="11">
        <v>1908351.2</v>
      </c>
      <c r="AQ891" s="11">
        <v>66868.600000000006</v>
      </c>
      <c r="AR891" s="11">
        <v>48180.4</v>
      </c>
      <c r="AS891">
        <f t="shared" si="18"/>
        <v>31159583.300000001</v>
      </c>
      <c r="AT891">
        <f t="shared" si="17"/>
        <v>0.64403298037685885</v>
      </c>
    </row>
    <row r="892" spans="1:46" x14ac:dyDescent="0.4">
      <c r="A892" s="3" t="s">
        <v>1023</v>
      </c>
      <c r="B892">
        <v>14946710.6</v>
      </c>
      <c r="C892">
        <v>4446743.5</v>
      </c>
      <c r="D892">
        <v>3546161.9</v>
      </c>
      <c r="E892">
        <v>2335673.9</v>
      </c>
      <c r="F892">
        <v>1210488</v>
      </c>
      <c r="G892">
        <v>900581.6</v>
      </c>
      <c r="H892">
        <v>83966.2</v>
      </c>
      <c r="I892">
        <v>816615.4</v>
      </c>
      <c r="J892">
        <v>10499967</v>
      </c>
      <c r="K892">
        <v>2759919.9</v>
      </c>
      <c r="L892">
        <v>4677642.3</v>
      </c>
      <c r="M892">
        <v>2281186.2000000002</v>
      </c>
      <c r="N892">
        <v>294778.90000000002</v>
      </c>
      <c r="O892">
        <v>1986407.2</v>
      </c>
      <c r="P892">
        <v>2396456.2000000002</v>
      </c>
      <c r="Q892">
        <v>372413</v>
      </c>
      <c r="R892">
        <v>101496.5</v>
      </c>
      <c r="S892">
        <v>416909.7</v>
      </c>
      <c r="T892">
        <v>1505637</v>
      </c>
      <c r="U892" s="11">
        <v>1513634.8</v>
      </c>
      <c r="V892" s="12">
        <v>751037.1</v>
      </c>
      <c r="W892" s="11">
        <v>762597.7</v>
      </c>
      <c r="X892" s="11">
        <v>459145.2</v>
      </c>
      <c r="Y892" s="11">
        <v>303452.5</v>
      </c>
      <c r="Z892" s="11">
        <v>1548770</v>
      </c>
      <c r="AA892" s="11">
        <v>643199</v>
      </c>
      <c r="AB892" s="11">
        <v>905570.9</v>
      </c>
      <c r="AC892" s="11">
        <v>217646.8</v>
      </c>
      <c r="AD892" s="11">
        <v>2896131.1</v>
      </c>
      <c r="AE892" s="11">
        <v>835482.9</v>
      </c>
      <c r="AF892" s="11">
        <v>6684.7</v>
      </c>
      <c r="AG892" s="11">
        <v>1676715.9</v>
      </c>
      <c r="AH892" s="13">
        <v>20144078.399999999</v>
      </c>
      <c r="AI892" s="11">
        <v>15713207.800000001</v>
      </c>
      <c r="AJ892" s="11">
        <v>1615289.8</v>
      </c>
      <c r="AK892" s="11">
        <v>14097918.1</v>
      </c>
      <c r="AL892" s="11">
        <v>1764410</v>
      </c>
      <c r="AM892" s="11">
        <v>-7258.8</v>
      </c>
      <c r="AN892" s="11">
        <v>760493.5</v>
      </c>
      <c r="AO892" s="13">
        <v>18230852.600000001</v>
      </c>
      <c r="AP892" s="11">
        <v>1913225.8</v>
      </c>
      <c r="AQ892" s="11">
        <v>66284.800000000003</v>
      </c>
      <c r="AR892" s="11">
        <v>44505.5</v>
      </c>
      <c r="AS892">
        <f t="shared" si="18"/>
        <v>31426415.700000003</v>
      </c>
      <c r="AT892">
        <f t="shared" si="17"/>
        <v>0.64099191560047986</v>
      </c>
    </row>
    <row r="893" spans="1:46" x14ac:dyDescent="0.4">
      <c r="A893" s="3" t="s">
        <v>1024</v>
      </c>
      <c r="B893">
        <v>14937109.9</v>
      </c>
      <c r="C893">
        <v>4514787.5999999996</v>
      </c>
      <c r="D893">
        <v>3598506</v>
      </c>
      <c r="E893">
        <v>2397324</v>
      </c>
      <c r="F893">
        <v>1201182</v>
      </c>
      <c r="G893">
        <v>916281.6</v>
      </c>
      <c r="H893">
        <v>83433.2</v>
      </c>
      <c r="I893">
        <v>832848.4</v>
      </c>
      <c r="J893">
        <v>10422322.300000001</v>
      </c>
      <c r="K893">
        <v>2694094.4</v>
      </c>
      <c r="L893">
        <v>4665616</v>
      </c>
      <c r="M893">
        <v>2267828.2999999998</v>
      </c>
      <c r="N893">
        <v>290595</v>
      </c>
      <c r="O893">
        <v>1977233.3</v>
      </c>
      <c r="P893">
        <v>2397787.7000000002</v>
      </c>
      <c r="Q893">
        <v>373240.4</v>
      </c>
      <c r="R893">
        <v>101049.7</v>
      </c>
      <c r="S893">
        <v>417907.4</v>
      </c>
      <c r="T893">
        <v>1505590.3</v>
      </c>
      <c r="U893" s="11">
        <v>1513453.1</v>
      </c>
      <c r="V893" s="12">
        <v>748996.5</v>
      </c>
      <c r="W893" s="11">
        <v>764456.6</v>
      </c>
      <c r="X893" s="11">
        <v>461016.1</v>
      </c>
      <c r="Y893" s="11">
        <v>303440.40000000002</v>
      </c>
      <c r="Z893" s="11">
        <v>1549158.8</v>
      </c>
      <c r="AA893" s="11">
        <v>646989.1</v>
      </c>
      <c r="AB893" s="11">
        <v>902169.8</v>
      </c>
      <c r="AC893" s="11">
        <v>219532.5</v>
      </c>
      <c r="AD893" s="11">
        <v>2983637.9</v>
      </c>
      <c r="AE893" s="11">
        <v>820297.7</v>
      </c>
      <c r="AF893" s="11">
        <v>10140.299999999999</v>
      </c>
      <c r="AG893" s="11">
        <v>1664446.1</v>
      </c>
      <c r="AH893" s="13">
        <v>20196099.300000001</v>
      </c>
      <c r="AI893" s="11">
        <v>15806241.6</v>
      </c>
      <c r="AJ893" s="11">
        <v>1578007.2</v>
      </c>
      <c r="AK893" s="11">
        <v>14228234.4</v>
      </c>
      <c r="AL893" s="11">
        <v>1746257.9</v>
      </c>
      <c r="AM893" s="11">
        <v>-46459.6</v>
      </c>
      <c r="AN893" s="11">
        <v>766312.9</v>
      </c>
      <c r="AO893" s="13">
        <v>18272352.699999999</v>
      </c>
      <c r="AP893" s="11">
        <v>1923746.5</v>
      </c>
      <c r="AQ893" s="11">
        <v>61393.1</v>
      </c>
      <c r="AR893" s="11">
        <v>41942.199999999997</v>
      </c>
      <c r="AS893">
        <f t="shared" si="18"/>
        <v>31612483.200000003</v>
      </c>
      <c r="AT893">
        <f t="shared" si="17"/>
        <v>0.63886469064220808</v>
      </c>
    </row>
    <row r="894" spans="1:46" x14ac:dyDescent="0.4">
      <c r="A894" s="3" t="s">
        <v>1025</v>
      </c>
      <c r="B894">
        <v>14992079.800000001</v>
      </c>
      <c r="C894">
        <v>4623591.9000000004</v>
      </c>
      <c r="D894">
        <v>3692546.6</v>
      </c>
      <c r="E894">
        <v>2476405.1</v>
      </c>
      <c r="F894">
        <v>1216141.6000000001</v>
      </c>
      <c r="G894">
        <v>931045.2</v>
      </c>
      <c r="H894">
        <v>83078.8</v>
      </c>
      <c r="I894">
        <v>847966.4</v>
      </c>
      <c r="J894">
        <v>10368487.9</v>
      </c>
      <c r="K894">
        <v>2642176.9</v>
      </c>
      <c r="L894">
        <v>4653200.0999999996</v>
      </c>
      <c r="M894">
        <v>2251392.4</v>
      </c>
      <c r="N894">
        <v>286691.20000000001</v>
      </c>
      <c r="O894">
        <v>1964701.2</v>
      </c>
      <c r="P894">
        <v>2401807.7000000002</v>
      </c>
      <c r="Q894">
        <v>373976.1</v>
      </c>
      <c r="R894">
        <v>100734.6</v>
      </c>
      <c r="S894">
        <v>419548.2</v>
      </c>
      <c r="T894">
        <v>1507548.7</v>
      </c>
      <c r="U894" s="11">
        <v>1514714.1</v>
      </c>
      <c r="V894" s="12">
        <v>747777.1</v>
      </c>
      <c r="W894" s="11">
        <v>766937</v>
      </c>
      <c r="X894" s="11">
        <v>462722.5</v>
      </c>
      <c r="Y894" s="11">
        <v>304214.5</v>
      </c>
      <c r="Z894" s="11">
        <v>1558396.9</v>
      </c>
      <c r="AA894" s="11">
        <v>653239.9</v>
      </c>
      <c r="AB894" s="11">
        <v>905156.9</v>
      </c>
      <c r="AC894" s="11">
        <v>220761.2</v>
      </c>
      <c r="AD894" s="11">
        <v>3067824.5</v>
      </c>
      <c r="AE894" s="11">
        <v>816833.3</v>
      </c>
      <c r="AF894" s="11">
        <v>9680.1</v>
      </c>
      <c r="AG894" s="11">
        <v>1646790.7</v>
      </c>
      <c r="AH894" s="13">
        <v>20312447.300000001</v>
      </c>
      <c r="AI894" s="11">
        <v>15964082.4</v>
      </c>
      <c r="AJ894" s="11">
        <v>1549652</v>
      </c>
      <c r="AK894" s="11">
        <v>14414430.4</v>
      </c>
      <c r="AL894" s="11">
        <v>1724247.9</v>
      </c>
      <c r="AM894" s="11">
        <v>-66924.899999999994</v>
      </c>
      <c r="AN894" s="11">
        <v>781786</v>
      </c>
      <c r="AO894" s="13">
        <v>18403191.399999999</v>
      </c>
      <c r="AP894" s="11">
        <v>1909255.9</v>
      </c>
      <c r="AQ894" s="11">
        <v>58605</v>
      </c>
      <c r="AR894" s="11">
        <v>39760</v>
      </c>
      <c r="AS894">
        <f t="shared" si="18"/>
        <v>31928164.799999997</v>
      </c>
      <c r="AT894">
        <f t="shared" si="17"/>
        <v>0.63619213403709329</v>
      </c>
    </row>
    <row r="895" spans="1:46" x14ac:dyDescent="0.4">
      <c r="A895" s="3" t="s">
        <v>1026</v>
      </c>
      <c r="B895">
        <v>15039828.300000001</v>
      </c>
      <c r="C895">
        <v>4697586.8</v>
      </c>
      <c r="D895">
        <v>3755323</v>
      </c>
      <c r="E895">
        <v>2529427.1</v>
      </c>
      <c r="F895">
        <v>1225895.8999999999</v>
      </c>
      <c r="G895">
        <v>942263.9</v>
      </c>
      <c r="H895">
        <v>83645.899999999994</v>
      </c>
      <c r="I895">
        <v>858617.9</v>
      </c>
      <c r="J895">
        <v>10342241.4</v>
      </c>
      <c r="K895">
        <v>2606169.7000000002</v>
      </c>
      <c r="L895">
        <v>4647831.3</v>
      </c>
      <c r="M895">
        <v>2242882.5</v>
      </c>
      <c r="N895">
        <v>283083.2</v>
      </c>
      <c r="O895">
        <v>1959799.3</v>
      </c>
      <c r="P895">
        <v>2404948.7999999998</v>
      </c>
      <c r="Q895">
        <v>375211.7</v>
      </c>
      <c r="R895">
        <v>100495.7</v>
      </c>
      <c r="S895">
        <v>419269.5</v>
      </c>
      <c r="T895">
        <v>1509971.9</v>
      </c>
      <c r="U895" s="11">
        <v>1520527.1</v>
      </c>
      <c r="V895" s="12">
        <v>748925.6</v>
      </c>
      <c r="W895" s="11">
        <v>771601.5</v>
      </c>
      <c r="X895" s="11">
        <v>465098.9</v>
      </c>
      <c r="Y895" s="11">
        <v>306502.59999999998</v>
      </c>
      <c r="Z895" s="11">
        <v>1567713.3</v>
      </c>
      <c r="AA895" s="11">
        <v>661469.4</v>
      </c>
      <c r="AB895" s="11">
        <v>906243.9</v>
      </c>
      <c r="AC895" s="11">
        <v>221135.7</v>
      </c>
      <c r="AD895" s="11">
        <v>3193242.8</v>
      </c>
      <c r="AE895" s="11">
        <v>819223.4</v>
      </c>
      <c r="AF895" s="11">
        <v>9184.7999999999993</v>
      </c>
      <c r="AG895" s="11">
        <v>1682095.3</v>
      </c>
      <c r="AH895" s="13">
        <v>20522438.800000001</v>
      </c>
      <c r="AI895" s="11">
        <v>16109995.800000001</v>
      </c>
      <c r="AJ895" s="11">
        <v>1526809.8</v>
      </c>
      <c r="AK895" s="11">
        <v>14583186</v>
      </c>
      <c r="AL895" s="11">
        <v>1704457.6</v>
      </c>
      <c r="AM895" s="11">
        <v>-76926.100000000006</v>
      </c>
      <c r="AN895" s="11">
        <v>808229.9</v>
      </c>
      <c r="AO895" s="13">
        <v>18545757.300000001</v>
      </c>
      <c r="AP895" s="11">
        <v>1976681.5</v>
      </c>
      <c r="AQ895" s="11">
        <v>60691</v>
      </c>
      <c r="AR895" s="11">
        <v>39646.400000000001</v>
      </c>
      <c r="AS895">
        <f t="shared" si="18"/>
        <v>32219991.600000001</v>
      </c>
      <c r="AT895">
        <f t="shared" si="17"/>
        <v>0.63694736655362749</v>
      </c>
    </row>
    <row r="896" spans="1:46" x14ac:dyDescent="0.4">
      <c r="A896" s="3" t="s">
        <v>1027</v>
      </c>
      <c r="B896">
        <v>15114217.5</v>
      </c>
      <c r="C896">
        <v>4780478.2</v>
      </c>
      <c r="D896">
        <v>3839195.9</v>
      </c>
      <c r="E896">
        <v>2586822</v>
      </c>
      <c r="F896">
        <v>1252373.8999999999</v>
      </c>
      <c r="G896">
        <v>941282.3</v>
      </c>
      <c r="H896">
        <v>82980.100000000006</v>
      </c>
      <c r="I896">
        <v>858302.1</v>
      </c>
      <c r="J896">
        <v>10333739.300000001</v>
      </c>
      <c r="K896">
        <v>2570700.2000000002</v>
      </c>
      <c r="L896">
        <v>4655300.2</v>
      </c>
      <c r="M896">
        <v>2243097.4</v>
      </c>
      <c r="N896">
        <v>279251.5</v>
      </c>
      <c r="O896">
        <v>1963845.9</v>
      </c>
      <c r="P896">
        <v>2412202.7000000002</v>
      </c>
      <c r="Q896">
        <v>376011.4</v>
      </c>
      <c r="R896">
        <v>100379.5</v>
      </c>
      <c r="S896">
        <v>421114.4</v>
      </c>
      <c r="T896">
        <v>1514697.5</v>
      </c>
      <c r="U896" s="11">
        <v>1521507</v>
      </c>
      <c r="V896" s="12">
        <v>744898.8</v>
      </c>
      <c r="W896" s="11">
        <v>776608.3</v>
      </c>
      <c r="X896" s="11">
        <v>467538.1</v>
      </c>
      <c r="Y896" s="11">
        <v>309070.2</v>
      </c>
      <c r="Z896" s="11">
        <v>1586231.9</v>
      </c>
      <c r="AA896" s="11">
        <v>675293.5</v>
      </c>
      <c r="AB896" s="11">
        <v>910938.4</v>
      </c>
      <c r="AC896" s="11">
        <v>220067.8</v>
      </c>
      <c r="AD896" s="11">
        <v>3204383</v>
      </c>
      <c r="AE896" s="11">
        <v>779686.6</v>
      </c>
      <c r="AF896" s="11">
        <v>9027.5</v>
      </c>
      <c r="AG896" s="11">
        <v>1710697.8</v>
      </c>
      <c r="AH896" s="13">
        <v>20597944.5</v>
      </c>
      <c r="AI896" s="11">
        <v>16263436.5</v>
      </c>
      <c r="AJ896" s="11">
        <v>1504187.9</v>
      </c>
      <c r="AK896" s="11">
        <v>14759248.6</v>
      </c>
      <c r="AL896" s="11">
        <v>1667766.3</v>
      </c>
      <c r="AM896" s="11">
        <v>-120128.5</v>
      </c>
      <c r="AN896" s="11">
        <v>841990.1</v>
      </c>
      <c r="AO896" s="13">
        <v>18653064.399999999</v>
      </c>
      <c r="AP896" s="11">
        <v>1944880.1</v>
      </c>
      <c r="AQ896" s="11">
        <v>60206.3</v>
      </c>
      <c r="AR896" s="11">
        <v>40340.9</v>
      </c>
      <c r="AS896">
        <f t="shared" si="18"/>
        <v>32526873</v>
      </c>
      <c r="AT896">
        <f t="shared" si="17"/>
        <v>0.63325928994158154</v>
      </c>
    </row>
    <row r="897" spans="1:46" x14ac:dyDescent="0.4">
      <c r="A897" s="3" t="s">
        <v>1028</v>
      </c>
      <c r="B897">
        <v>15227535.4</v>
      </c>
      <c r="C897">
        <v>4865277.4000000004</v>
      </c>
      <c r="D897">
        <v>3912697.2</v>
      </c>
      <c r="E897">
        <v>2643871.2999999998</v>
      </c>
      <c r="F897">
        <v>1268825.8999999999</v>
      </c>
      <c r="G897">
        <v>952580.2</v>
      </c>
      <c r="H897">
        <v>81919.899999999994</v>
      </c>
      <c r="I897">
        <v>870660.3</v>
      </c>
      <c r="J897">
        <v>10362258</v>
      </c>
      <c r="K897">
        <v>2586344.5</v>
      </c>
      <c r="L897">
        <v>4648873</v>
      </c>
      <c r="M897">
        <v>2232649.7999999998</v>
      </c>
      <c r="N897">
        <v>275064.90000000002</v>
      </c>
      <c r="O897">
        <v>1957584.8</v>
      </c>
      <c r="P897">
        <v>2416223.2999999998</v>
      </c>
      <c r="Q897">
        <v>376674.9</v>
      </c>
      <c r="R897">
        <v>100188.6</v>
      </c>
      <c r="S897">
        <v>421173.6</v>
      </c>
      <c r="T897">
        <v>1518186.2</v>
      </c>
      <c r="U897" s="11">
        <v>1526866.5</v>
      </c>
      <c r="V897" s="12">
        <v>745524.9</v>
      </c>
      <c r="W897" s="11">
        <v>781341.6</v>
      </c>
      <c r="X897" s="11">
        <v>469657.59999999998</v>
      </c>
      <c r="Y897" s="11">
        <v>311684</v>
      </c>
      <c r="Z897" s="11">
        <v>1600173.9</v>
      </c>
      <c r="AA897" s="11">
        <v>681829.5</v>
      </c>
      <c r="AB897" s="11">
        <v>918344.4</v>
      </c>
      <c r="AC897" s="11">
        <v>218102.39999999999</v>
      </c>
      <c r="AD897" s="11">
        <v>3351334.7</v>
      </c>
      <c r="AE897" s="11">
        <v>705452.9</v>
      </c>
      <c r="AF897" s="11">
        <v>8896.5</v>
      </c>
      <c r="AG897" s="11">
        <v>1716440.5</v>
      </c>
      <c r="AH897" s="13">
        <v>20791557.5</v>
      </c>
      <c r="AI897" s="11">
        <v>16448482.800000001</v>
      </c>
      <c r="AJ897" s="11">
        <v>1494266.9</v>
      </c>
      <c r="AK897" s="11">
        <v>14954215.9</v>
      </c>
      <c r="AL897" s="11">
        <v>1697231.9</v>
      </c>
      <c r="AM897" s="11">
        <v>-138511.6</v>
      </c>
      <c r="AN897" s="11">
        <v>829790.8</v>
      </c>
      <c r="AO897" s="13">
        <v>18836994</v>
      </c>
      <c r="AP897" s="11">
        <v>1954563.5</v>
      </c>
      <c r="AQ897" s="11">
        <v>52137.599999999999</v>
      </c>
      <c r="AR897" s="11">
        <v>35470.800000000003</v>
      </c>
      <c r="AS897">
        <f t="shared" si="18"/>
        <v>32896965.600000001</v>
      </c>
      <c r="AT897">
        <f t="shared" ref="AT897:AT909" si="19">AH897/AS897</f>
        <v>0.63202052592960123</v>
      </c>
    </row>
    <row r="898" spans="1:46" x14ac:dyDescent="0.4">
      <c r="A898" s="3" t="s">
        <v>1029</v>
      </c>
      <c r="B898">
        <v>15352507.1</v>
      </c>
      <c r="C898">
        <v>4977651.8</v>
      </c>
      <c r="D898">
        <v>3991156.3</v>
      </c>
      <c r="E898">
        <v>2690100.5</v>
      </c>
      <c r="F898">
        <v>1301055.8</v>
      </c>
      <c r="G898">
        <v>986495.5</v>
      </c>
      <c r="H898">
        <v>83874</v>
      </c>
      <c r="I898">
        <v>902621.5</v>
      </c>
      <c r="J898">
        <v>10374855.300000001</v>
      </c>
      <c r="K898">
        <v>2589292.2000000002</v>
      </c>
      <c r="L898">
        <v>4643163.9000000004</v>
      </c>
      <c r="M898">
        <v>2223428.7999999998</v>
      </c>
      <c r="N898">
        <v>270949.09999999998</v>
      </c>
      <c r="O898">
        <v>1952479.7</v>
      </c>
      <c r="P898">
        <v>2419735</v>
      </c>
      <c r="Q898">
        <v>377487.9</v>
      </c>
      <c r="R898">
        <v>100183.8</v>
      </c>
      <c r="S898">
        <v>421289.1</v>
      </c>
      <c r="T898">
        <v>1520774.3</v>
      </c>
      <c r="U898" s="11">
        <v>1532904.2</v>
      </c>
      <c r="V898" s="12">
        <v>746706.1</v>
      </c>
      <c r="W898" s="11">
        <v>786198.1</v>
      </c>
      <c r="X898" s="11">
        <v>472728.1</v>
      </c>
      <c r="Y898" s="11">
        <v>313470</v>
      </c>
      <c r="Z898" s="11">
        <v>1609495.1</v>
      </c>
      <c r="AA898" s="11">
        <v>690215.3</v>
      </c>
      <c r="AB898" s="11">
        <v>919279.8</v>
      </c>
      <c r="AC898" s="11">
        <v>213650.5</v>
      </c>
      <c r="AD898" s="11">
        <v>3601667.4</v>
      </c>
      <c r="AE898" s="11">
        <v>606480.30000000005</v>
      </c>
      <c r="AF898" s="11">
        <v>8371.1</v>
      </c>
      <c r="AG898" s="11">
        <v>1714296.9</v>
      </c>
      <c r="AH898" s="13">
        <v>21069672.399999999</v>
      </c>
      <c r="AI898" s="11">
        <v>16693857</v>
      </c>
      <c r="AJ898" s="11">
        <v>1484784.6</v>
      </c>
      <c r="AK898" s="11">
        <v>15209072.4</v>
      </c>
      <c r="AL898" s="11">
        <v>1708422.4</v>
      </c>
      <c r="AM898" s="11">
        <v>-155086.20000000001</v>
      </c>
      <c r="AN898" s="11">
        <v>840967.6</v>
      </c>
      <c r="AO898" s="13">
        <v>19088160.899999999</v>
      </c>
      <c r="AP898" s="11">
        <v>1981511.5</v>
      </c>
      <c r="AQ898" s="11">
        <v>32996.400000000001</v>
      </c>
      <c r="AR898" s="11">
        <v>22916.400000000001</v>
      </c>
      <c r="AS898">
        <f t="shared" si="18"/>
        <v>33387714</v>
      </c>
      <c r="AT898">
        <f t="shared" si="19"/>
        <v>0.63106064703920728</v>
      </c>
    </row>
    <row r="899" spans="1:46" x14ac:dyDescent="0.4">
      <c r="A899" s="3" t="s">
        <v>1030</v>
      </c>
      <c r="B899">
        <v>15430939.300000001</v>
      </c>
      <c r="C899">
        <v>5077712.3</v>
      </c>
      <c r="D899">
        <v>4058145.4</v>
      </c>
      <c r="E899">
        <v>2729369.4</v>
      </c>
      <c r="F899">
        <v>1328776.1000000001</v>
      </c>
      <c r="G899">
        <v>1019566.8</v>
      </c>
      <c r="H899">
        <v>84392.7</v>
      </c>
      <c r="I899">
        <v>935174.1</v>
      </c>
      <c r="J899">
        <v>10353227</v>
      </c>
      <c r="K899">
        <v>2557927.1</v>
      </c>
      <c r="L899">
        <v>4644432</v>
      </c>
      <c r="M899">
        <v>2218893.5</v>
      </c>
      <c r="N899">
        <v>266811.8</v>
      </c>
      <c r="O899">
        <v>1952081.8</v>
      </c>
      <c r="P899">
        <v>2425538.5</v>
      </c>
      <c r="Q899">
        <v>378517.2</v>
      </c>
      <c r="R899">
        <v>99890.2</v>
      </c>
      <c r="S899">
        <v>422063.6</v>
      </c>
      <c r="T899">
        <v>1525067.6</v>
      </c>
      <c r="U899" s="11">
        <v>1538867.6</v>
      </c>
      <c r="V899" s="12">
        <v>745811.2</v>
      </c>
      <c r="W899" s="11">
        <v>793056.4</v>
      </c>
      <c r="X899" s="11">
        <v>479169</v>
      </c>
      <c r="Y899" s="11">
        <v>313887.40000000002</v>
      </c>
      <c r="Z899" s="11">
        <v>1612000.3</v>
      </c>
      <c r="AA899" s="11">
        <v>687956.3</v>
      </c>
      <c r="AB899" s="11">
        <v>924044.1</v>
      </c>
      <c r="AC899" s="11">
        <v>196212.6</v>
      </c>
      <c r="AD899" s="11">
        <v>3811676</v>
      </c>
      <c r="AE899" s="11">
        <v>646696.6</v>
      </c>
      <c r="AF899" s="11">
        <v>5366.1</v>
      </c>
      <c r="AG899" s="11">
        <v>1716864.8</v>
      </c>
      <c r="AH899" s="13">
        <v>21415330.100000001</v>
      </c>
      <c r="AI899" s="11">
        <v>16917673.199999999</v>
      </c>
      <c r="AJ899" s="11">
        <v>1467719.5</v>
      </c>
      <c r="AK899" s="11">
        <v>15449953.699999999</v>
      </c>
      <c r="AL899" s="11">
        <v>1717119.4</v>
      </c>
      <c r="AM899" s="11">
        <v>-106962.2</v>
      </c>
      <c r="AN899" s="11">
        <v>841309.9</v>
      </c>
      <c r="AO899" s="13">
        <v>19369140.199999999</v>
      </c>
      <c r="AP899" s="11">
        <v>2046189.9</v>
      </c>
      <c r="AQ899" s="11">
        <v>31106.799999999999</v>
      </c>
      <c r="AR899" s="11">
        <v>20247.099999999999</v>
      </c>
      <c r="AS899">
        <f t="shared" si="18"/>
        <v>33835346.399999999</v>
      </c>
      <c r="AT899">
        <f t="shared" si="19"/>
        <v>0.63292776278477825</v>
      </c>
    </row>
    <row r="900" spans="1:46" x14ac:dyDescent="0.4">
      <c r="A900" s="3" t="s">
        <v>1031</v>
      </c>
      <c r="B900">
        <v>15554768.5</v>
      </c>
      <c r="C900">
        <v>5182822.5999999996</v>
      </c>
      <c r="D900">
        <v>4143615.4</v>
      </c>
      <c r="E900">
        <v>2780028.5</v>
      </c>
      <c r="F900">
        <v>1363586.8</v>
      </c>
      <c r="G900">
        <v>1039207.3</v>
      </c>
      <c r="H900">
        <v>85135</v>
      </c>
      <c r="I900">
        <v>954072.2</v>
      </c>
      <c r="J900">
        <v>10371945.9</v>
      </c>
      <c r="K900">
        <v>2539327</v>
      </c>
      <c r="L900">
        <v>4642123.4000000004</v>
      </c>
      <c r="M900">
        <v>2210040.7000000002</v>
      </c>
      <c r="N900">
        <v>264100</v>
      </c>
      <c r="O900">
        <v>1945940.7</v>
      </c>
      <c r="P900">
        <v>2432082.7000000002</v>
      </c>
      <c r="Q900">
        <v>379691.4</v>
      </c>
      <c r="R900">
        <v>99764.800000000003</v>
      </c>
      <c r="S900">
        <v>423766.4</v>
      </c>
      <c r="T900">
        <v>1528860.1</v>
      </c>
      <c r="U900" s="11">
        <v>1553253.2</v>
      </c>
      <c r="V900" s="12">
        <v>750806.4</v>
      </c>
      <c r="W900" s="11">
        <v>802446.8</v>
      </c>
      <c r="X900" s="11">
        <v>484585.8</v>
      </c>
      <c r="Y900" s="11">
        <v>317861</v>
      </c>
      <c r="Z900" s="11">
        <v>1637242.3</v>
      </c>
      <c r="AA900" s="11">
        <v>703512.4</v>
      </c>
      <c r="AB900" s="11">
        <v>933729.9</v>
      </c>
      <c r="AC900" s="11">
        <v>193531.4</v>
      </c>
      <c r="AD900" s="11">
        <v>3803743.4</v>
      </c>
      <c r="AE900" s="11">
        <v>629507.30000000005</v>
      </c>
      <c r="AF900" s="11">
        <v>5543.7</v>
      </c>
      <c r="AG900" s="11">
        <v>1709106.2</v>
      </c>
      <c r="AH900" s="13">
        <v>21509137.699999999</v>
      </c>
      <c r="AI900" s="11">
        <v>17091833.699999999</v>
      </c>
      <c r="AJ900" s="11">
        <v>1459080.3</v>
      </c>
      <c r="AK900" s="11">
        <v>15632753.4</v>
      </c>
      <c r="AL900" s="11">
        <v>1687961.9</v>
      </c>
      <c r="AM900" s="11">
        <v>-98568.8</v>
      </c>
      <c r="AN900" s="11">
        <v>838754.5</v>
      </c>
      <c r="AO900" s="13">
        <v>19519981.300000001</v>
      </c>
      <c r="AP900" s="11">
        <v>1989156.4</v>
      </c>
      <c r="AQ900" s="11">
        <v>32149.9</v>
      </c>
      <c r="AR900" s="11">
        <v>21018.799999999999</v>
      </c>
      <c r="AS900">
        <f t="shared" si="18"/>
        <v>34183667.399999999</v>
      </c>
      <c r="AT900">
        <f t="shared" si="19"/>
        <v>0.62922264742138234</v>
      </c>
    </row>
    <row r="901" spans="1:46" x14ac:dyDescent="0.4">
      <c r="A901" s="3" t="s">
        <v>1032</v>
      </c>
      <c r="B901">
        <v>15608150.300000001</v>
      </c>
      <c r="C901">
        <v>5252333.7</v>
      </c>
      <c r="D901">
        <v>4202504.0999999996</v>
      </c>
      <c r="E901">
        <v>2799853.6</v>
      </c>
      <c r="F901">
        <v>1402650.5</v>
      </c>
      <c r="G901">
        <v>1049829.6000000001</v>
      </c>
      <c r="H901">
        <v>86421.5</v>
      </c>
      <c r="I901">
        <v>963408.1</v>
      </c>
      <c r="J901">
        <v>10355816.6</v>
      </c>
      <c r="K901">
        <v>2477281</v>
      </c>
      <c r="L901">
        <v>4653963.7</v>
      </c>
      <c r="M901">
        <v>2207074.5</v>
      </c>
      <c r="N901">
        <v>261681.5</v>
      </c>
      <c r="O901">
        <v>1945393</v>
      </c>
      <c r="P901">
        <v>2446889.2000000002</v>
      </c>
      <c r="Q901">
        <v>381161.1</v>
      </c>
      <c r="R901">
        <v>100183.7</v>
      </c>
      <c r="S901">
        <v>425988.3</v>
      </c>
      <c r="T901">
        <v>1539556.2</v>
      </c>
      <c r="U901" s="11">
        <v>1566534.6</v>
      </c>
      <c r="V901" s="12">
        <v>756575.6</v>
      </c>
      <c r="W901" s="11">
        <v>809959</v>
      </c>
      <c r="X901" s="11">
        <v>489558.5</v>
      </c>
      <c r="Y901" s="11">
        <v>320400.5</v>
      </c>
      <c r="Z901" s="11">
        <v>1658037.4</v>
      </c>
      <c r="AA901" s="11">
        <v>718387.9</v>
      </c>
      <c r="AB901" s="11">
        <v>939649.5</v>
      </c>
      <c r="AC901" s="11">
        <v>188464.1</v>
      </c>
      <c r="AD901" s="11">
        <v>3807713.3</v>
      </c>
      <c r="AE901" s="11">
        <v>625437.19999999995</v>
      </c>
      <c r="AF901" s="11">
        <v>6076.7</v>
      </c>
      <c r="AG901" s="11">
        <v>1733302.8</v>
      </c>
      <c r="AH901" s="13">
        <v>21592216.199999999</v>
      </c>
      <c r="AI901" s="11">
        <v>17137302.5</v>
      </c>
      <c r="AJ901" s="11">
        <v>1459637</v>
      </c>
      <c r="AK901" s="11">
        <v>15677665.5</v>
      </c>
      <c r="AL901" s="11">
        <v>1652193.1</v>
      </c>
      <c r="AM901" s="11">
        <v>-77601.100000000006</v>
      </c>
      <c r="AN901" s="11">
        <v>852839.1</v>
      </c>
      <c r="AO901" s="13">
        <v>19564733.600000001</v>
      </c>
      <c r="AP901" s="11">
        <v>2027482.6</v>
      </c>
      <c r="AQ901" s="11">
        <v>33540</v>
      </c>
      <c r="AR901" s="11">
        <v>19967.5</v>
      </c>
      <c r="AS901">
        <f t="shared" si="18"/>
        <v>34274605</v>
      </c>
      <c r="AT901">
        <f t="shared" si="19"/>
        <v>0.62997709820434111</v>
      </c>
    </row>
    <row r="902" spans="1:46" x14ac:dyDescent="0.4">
      <c r="A902" s="3" t="s">
        <v>1033</v>
      </c>
      <c r="B902">
        <v>15682930.800000001</v>
      </c>
      <c r="C902">
        <v>5296819.5999999996</v>
      </c>
      <c r="D902">
        <v>4246192.2</v>
      </c>
      <c r="E902">
        <v>2831836.1</v>
      </c>
      <c r="F902">
        <v>1414356.1</v>
      </c>
      <c r="G902">
        <v>1050627.3999999999</v>
      </c>
      <c r="H902">
        <v>88841.1</v>
      </c>
      <c r="I902">
        <v>961786.3</v>
      </c>
      <c r="J902">
        <v>10386111.199999999</v>
      </c>
      <c r="K902">
        <v>2454592.4</v>
      </c>
      <c r="L902">
        <v>4668282.9000000004</v>
      </c>
      <c r="M902">
        <v>2210604.5</v>
      </c>
      <c r="N902">
        <v>258878.4</v>
      </c>
      <c r="O902">
        <v>1951726.2</v>
      </c>
      <c r="P902">
        <v>2457678.4</v>
      </c>
      <c r="Q902">
        <v>382184.2</v>
      </c>
      <c r="R902">
        <v>100668.7</v>
      </c>
      <c r="S902">
        <v>429391.8</v>
      </c>
      <c r="T902">
        <v>1545433.7</v>
      </c>
      <c r="U902" s="11">
        <v>1579282.6</v>
      </c>
      <c r="V902" s="12">
        <v>762522.8</v>
      </c>
      <c r="W902" s="11">
        <v>816759.8</v>
      </c>
      <c r="X902" s="11">
        <v>494053</v>
      </c>
      <c r="Y902" s="11">
        <v>322706.8</v>
      </c>
      <c r="Z902" s="11">
        <v>1683953.3</v>
      </c>
      <c r="AA902" s="11">
        <v>734434.3</v>
      </c>
      <c r="AB902" s="11">
        <v>949519</v>
      </c>
      <c r="AC902" s="11">
        <v>176010.6</v>
      </c>
      <c r="AD902" s="11">
        <v>3942578.4</v>
      </c>
      <c r="AE902" s="11">
        <v>602257.6</v>
      </c>
      <c r="AF902" s="11">
        <v>6251.7</v>
      </c>
      <c r="AG902" s="11">
        <v>1745218.5</v>
      </c>
      <c r="AH902" s="13">
        <v>21803226.300000001</v>
      </c>
      <c r="AI902" s="11">
        <v>17253360.699999999</v>
      </c>
      <c r="AJ902" s="11">
        <v>1443080.9</v>
      </c>
      <c r="AK902" s="11">
        <v>15810279.800000001</v>
      </c>
      <c r="AL902" s="11">
        <v>1672815.6</v>
      </c>
      <c r="AM902" s="11">
        <v>-46977.9</v>
      </c>
      <c r="AN902" s="11">
        <v>861821.2</v>
      </c>
      <c r="AO902" s="13">
        <v>19741019.5</v>
      </c>
      <c r="AP902" s="11">
        <v>2062206.8</v>
      </c>
      <c r="AQ902" s="11">
        <v>38355.199999999997</v>
      </c>
      <c r="AR902" s="11">
        <v>22101.1</v>
      </c>
      <c r="AS902">
        <f t="shared" si="18"/>
        <v>34506721.399999999</v>
      </c>
      <c r="AT902">
        <f t="shared" si="19"/>
        <v>0.63185447400980843</v>
      </c>
    </row>
    <row r="903" spans="1:46" x14ac:dyDescent="0.4">
      <c r="A903" s="3" t="s">
        <v>1034</v>
      </c>
      <c r="B903">
        <v>15777188.199999999</v>
      </c>
      <c r="C903">
        <v>5350507.5</v>
      </c>
      <c r="D903">
        <v>4293409.9000000004</v>
      </c>
      <c r="E903">
        <v>2865828.9</v>
      </c>
      <c r="F903">
        <v>1427581</v>
      </c>
      <c r="G903">
        <v>1057097.6000000001</v>
      </c>
      <c r="H903">
        <v>91063.5</v>
      </c>
      <c r="I903">
        <v>966034.1</v>
      </c>
      <c r="J903">
        <v>10426680.699999999</v>
      </c>
      <c r="K903">
        <v>2430765.1</v>
      </c>
      <c r="L903">
        <v>4694072.2</v>
      </c>
      <c r="M903">
        <v>2223699.2000000002</v>
      </c>
      <c r="N903">
        <v>256394.6</v>
      </c>
      <c r="O903">
        <v>1967304.6</v>
      </c>
      <c r="P903">
        <v>2470373</v>
      </c>
      <c r="Q903">
        <v>383430.7</v>
      </c>
      <c r="R903">
        <v>101026.9</v>
      </c>
      <c r="S903">
        <v>431748.3</v>
      </c>
      <c r="T903">
        <v>1554167</v>
      </c>
      <c r="U903" s="11">
        <v>1591805.6</v>
      </c>
      <c r="V903" s="12">
        <v>768405.8</v>
      </c>
      <c r="W903" s="11">
        <v>823399.8</v>
      </c>
      <c r="X903" s="11">
        <v>498348.6</v>
      </c>
      <c r="Y903" s="11">
        <v>325051.3</v>
      </c>
      <c r="Z903" s="11">
        <v>1710037.8</v>
      </c>
      <c r="AA903" s="11">
        <v>749450.9</v>
      </c>
      <c r="AB903" s="11">
        <v>960586.9</v>
      </c>
      <c r="AC903" s="11">
        <v>174368.1</v>
      </c>
      <c r="AD903" s="11">
        <v>4045575.2</v>
      </c>
      <c r="AE903" s="11">
        <v>600729.30000000005</v>
      </c>
      <c r="AF903" s="11">
        <v>6596.8</v>
      </c>
      <c r="AG903" s="11">
        <v>1756857.4</v>
      </c>
      <c r="AH903" s="13">
        <v>22012578.800000001</v>
      </c>
      <c r="AI903" s="11">
        <v>17443213.800000001</v>
      </c>
      <c r="AJ903" s="11">
        <v>1446012.7</v>
      </c>
      <c r="AK903" s="11">
        <v>15997201.1</v>
      </c>
      <c r="AL903" s="11">
        <v>1675692</v>
      </c>
      <c r="AM903" s="11">
        <v>-6064</v>
      </c>
      <c r="AN903" s="11">
        <v>872207.2</v>
      </c>
      <c r="AO903" s="13">
        <v>19985048.899999999</v>
      </c>
      <c r="AP903" s="11">
        <v>2027529.8</v>
      </c>
      <c r="AQ903" s="11">
        <v>40124.6</v>
      </c>
      <c r="AR903" s="11">
        <v>22912.5</v>
      </c>
      <c r="AS903">
        <f t="shared" si="18"/>
        <v>34886427.600000001</v>
      </c>
      <c r="AT903">
        <f t="shared" si="19"/>
        <v>0.63097830056981818</v>
      </c>
    </row>
    <row r="904" spans="1:46" x14ac:dyDescent="0.4">
      <c r="A904" s="3" t="s">
        <v>1035</v>
      </c>
      <c r="B904">
        <v>15871195.199999999</v>
      </c>
      <c r="C904">
        <v>5414454.2999999998</v>
      </c>
      <c r="D904">
        <v>4346433.5</v>
      </c>
      <c r="E904">
        <v>2886386.2</v>
      </c>
      <c r="F904">
        <v>1460047.2</v>
      </c>
      <c r="G904">
        <v>1068020.8</v>
      </c>
      <c r="H904">
        <v>92863.1</v>
      </c>
      <c r="I904">
        <v>975157.8</v>
      </c>
      <c r="J904">
        <v>10456740.9</v>
      </c>
      <c r="K904">
        <v>2416352.2999999998</v>
      </c>
      <c r="L904">
        <v>4711061.5</v>
      </c>
      <c r="M904">
        <v>2228383.1</v>
      </c>
      <c r="N904">
        <v>254035.9</v>
      </c>
      <c r="O904">
        <v>1974347.2</v>
      </c>
      <c r="P904">
        <v>2482678.4</v>
      </c>
      <c r="Q904">
        <v>384676.1</v>
      </c>
      <c r="R904">
        <v>101323.4</v>
      </c>
      <c r="S904">
        <v>434743.7</v>
      </c>
      <c r="T904">
        <v>1561935.3</v>
      </c>
      <c r="U904" s="11">
        <v>1600650.2</v>
      </c>
      <c r="V904" s="12">
        <v>772218.1</v>
      </c>
      <c r="W904" s="11">
        <v>828432.1</v>
      </c>
      <c r="X904" s="11">
        <v>500489.3</v>
      </c>
      <c r="Y904" s="11">
        <v>327942.90000000002</v>
      </c>
      <c r="Z904" s="11">
        <v>1728677</v>
      </c>
      <c r="AA904" s="11">
        <v>761294.7</v>
      </c>
      <c r="AB904" s="11">
        <v>967382.2</v>
      </c>
      <c r="AC904" s="11">
        <v>173508.9</v>
      </c>
      <c r="AD904" s="11">
        <v>4120596.1</v>
      </c>
      <c r="AE904" s="11">
        <v>600377.69999999995</v>
      </c>
      <c r="AF904" s="11">
        <v>6272.3</v>
      </c>
      <c r="AG904" s="11">
        <v>1771536.9</v>
      </c>
      <c r="AH904" s="13">
        <v>22196469.300000001</v>
      </c>
      <c r="AI904" s="11">
        <v>17564415.899999999</v>
      </c>
      <c r="AJ904" s="11">
        <v>1442873.8</v>
      </c>
      <c r="AK904" s="11">
        <v>16121542.1</v>
      </c>
      <c r="AL904" s="11">
        <v>1682067.8</v>
      </c>
      <c r="AM904" s="11">
        <v>43197.9</v>
      </c>
      <c r="AN904" s="11">
        <v>884489.7</v>
      </c>
      <c r="AO904" s="13">
        <v>20174171.199999999</v>
      </c>
      <c r="AP904" s="11">
        <v>2022298.1</v>
      </c>
      <c r="AQ904" s="11">
        <v>34467.9</v>
      </c>
      <c r="AR904" s="11">
        <v>19420.7</v>
      </c>
      <c r="AS904">
        <f t="shared" si="18"/>
        <v>35128831.799999997</v>
      </c>
      <c r="AT904">
        <f t="shared" si="19"/>
        <v>0.63185902185338261</v>
      </c>
    </row>
    <row r="905" spans="1:46" x14ac:dyDescent="0.4">
      <c r="A905" s="3" t="s">
        <v>1036</v>
      </c>
      <c r="B905">
        <v>16032346.300000001</v>
      </c>
      <c r="C905">
        <v>5531653.5</v>
      </c>
      <c r="D905">
        <v>4454409.8</v>
      </c>
      <c r="E905">
        <v>2916718.1</v>
      </c>
      <c r="F905">
        <v>1537691.7</v>
      </c>
      <c r="G905">
        <v>1077243.7</v>
      </c>
      <c r="H905">
        <v>97063.1</v>
      </c>
      <c r="I905">
        <v>980180.6</v>
      </c>
      <c r="J905">
        <v>10500692.800000001</v>
      </c>
      <c r="K905">
        <v>2416162</v>
      </c>
      <c r="L905">
        <v>4731667.5</v>
      </c>
      <c r="M905">
        <v>2239671.1</v>
      </c>
      <c r="N905">
        <v>251886.5</v>
      </c>
      <c r="O905">
        <v>1987784.6</v>
      </c>
      <c r="P905">
        <v>2491996.4</v>
      </c>
      <c r="Q905">
        <v>385269.7</v>
      </c>
      <c r="R905">
        <v>101696.3</v>
      </c>
      <c r="S905">
        <v>433695</v>
      </c>
      <c r="T905">
        <v>1571335.4</v>
      </c>
      <c r="U905" s="11">
        <v>1613177.9</v>
      </c>
      <c r="V905" s="12">
        <v>778969.4</v>
      </c>
      <c r="W905" s="11">
        <v>834208.5</v>
      </c>
      <c r="X905" s="11">
        <v>502644</v>
      </c>
      <c r="Y905" s="11">
        <v>331564.5</v>
      </c>
      <c r="Z905" s="11">
        <v>1739685.5</v>
      </c>
      <c r="AA905" s="11">
        <v>764070</v>
      </c>
      <c r="AB905" s="11">
        <v>975615.5</v>
      </c>
      <c r="AC905" s="11">
        <v>168584.5</v>
      </c>
      <c r="AD905" s="11">
        <v>4118900</v>
      </c>
      <c r="AE905" s="11">
        <v>600461.30000000005</v>
      </c>
      <c r="AF905" s="11">
        <v>5657.9</v>
      </c>
      <c r="AG905" s="11">
        <v>1802437.6</v>
      </c>
      <c r="AH905" s="13">
        <v>22391218.600000001</v>
      </c>
      <c r="AI905" s="11">
        <v>17679922.100000001</v>
      </c>
      <c r="AJ905" s="11">
        <v>1448116.8</v>
      </c>
      <c r="AK905" s="11">
        <v>16231805.199999999</v>
      </c>
      <c r="AL905" s="11">
        <v>1700682</v>
      </c>
      <c r="AM905" s="11">
        <v>63043.1</v>
      </c>
      <c r="AN905" s="11">
        <v>908580</v>
      </c>
      <c r="AO905" s="13">
        <v>20352227.199999999</v>
      </c>
      <c r="AP905" s="11">
        <v>2038991.5</v>
      </c>
      <c r="AQ905" s="11">
        <v>18411.900000000001</v>
      </c>
      <c r="AR905" s="11">
        <v>9702.2999999999993</v>
      </c>
      <c r="AS905">
        <f t="shared" ref="AS905:AS909" si="20">SUM(AI905:AK905)</f>
        <v>35359844.100000001</v>
      </c>
      <c r="AT905">
        <f t="shared" si="19"/>
        <v>0.63323861204467247</v>
      </c>
    </row>
    <row r="906" spans="1:46" x14ac:dyDescent="0.4">
      <c r="A906" s="3" t="s">
        <v>1037</v>
      </c>
      <c r="B906">
        <v>16182475.4</v>
      </c>
      <c r="C906">
        <v>5598819.4000000004</v>
      </c>
      <c r="D906">
        <v>4506854.2</v>
      </c>
      <c r="E906">
        <v>2905173.4</v>
      </c>
      <c r="F906">
        <v>1601680.8</v>
      </c>
      <c r="G906">
        <v>1091965.3</v>
      </c>
      <c r="H906">
        <v>101413.5</v>
      </c>
      <c r="I906">
        <v>990551.8</v>
      </c>
      <c r="J906">
        <v>10583656</v>
      </c>
      <c r="K906">
        <v>2439133</v>
      </c>
      <c r="L906">
        <v>4756238.4000000004</v>
      </c>
      <c r="M906">
        <v>2250176.2999999998</v>
      </c>
      <c r="N906">
        <v>251179.4</v>
      </c>
      <c r="O906">
        <v>1998996.8</v>
      </c>
      <c r="P906">
        <v>2506062.2000000002</v>
      </c>
      <c r="Q906">
        <v>387347.5</v>
      </c>
      <c r="R906">
        <v>102513.1</v>
      </c>
      <c r="S906">
        <v>437141.9</v>
      </c>
      <c r="T906">
        <v>1579059.6</v>
      </c>
      <c r="U906" s="11">
        <v>1629257.8</v>
      </c>
      <c r="V906" s="12">
        <v>788971.8</v>
      </c>
      <c r="W906" s="11">
        <v>840286</v>
      </c>
      <c r="X906" s="11">
        <v>505330.9</v>
      </c>
      <c r="Y906" s="11">
        <v>334955.09999999998</v>
      </c>
      <c r="Z906" s="11">
        <v>1759026.8</v>
      </c>
      <c r="AA906" s="11">
        <v>778513.2</v>
      </c>
      <c r="AB906" s="11">
        <v>980513.6</v>
      </c>
      <c r="AC906" s="11">
        <v>168976.2</v>
      </c>
      <c r="AD906" s="11">
        <v>4136520.4</v>
      </c>
      <c r="AE906" s="11">
        <v>620717.4</v>
      </c>
      <c r="AF906" s="11">
        <v>5592.5</v>
      </c>
      <c r="AG906" s="11">
        <v>1824753.3</v>
      </c>
      <c r="AH906" s="13">
        <v>22601082.800000001</v>
      </c>
      <c r="AI906" s="11">
        <v>17859742.399999999</v>
      </c>
      <c r="AJ906" s="11">
        <v>1464966.7</v>
      </c>
      <c r="AK906" s="11">
        <v>16394775.6</v>
      </c>
      <c r="AL906" s="11">
        <v>1718395.8</v>
      </c>
      <c r="AM906" s="11">
        <v>107796.2</v>
      </c>
      <c r="AN906" s="11">
        <v>925095.6</v>
      </c>
      <c r="AO906" s="13">
        <v>20611029.899999999</v>
      </c>
      <c r="AP906" s="11">
        <v>1990052.9</v>
      </c>
      <c r="AQ906" s="11">
        <v>9532.4</v>
      </c>
      <c r="AR906" s="11">
        <v>3896.1</v>
      </c>
      <c r="AS906">
        <f t="shared" si="20"/>
        <v>35719484.699999996</v>
      </c>
      <c r="AT906">
        <f t="shared" si="19"/>
        <v>0.6327382096864349</v>
      </c>
    </row>
    <row r="907" spans="1:46" x14ac:dyDescent="0.4">
      <c r="A907" s="3" t="s">
        <v>1038</v>
      </c>
      <c r="B907">
        <v>16391770.300000001</v>
      </c>
      <c r="C907">
        <v>5676390.5</v>
      </c>
      <c r="D907">
        <v>4562695.3</v>
      </c>
      <c r="E907">
        <v>2923778.7</v>
      </c>
      <c r="F907">
        <v>1638916.6</v>
      </c>
      <c r="G907">
        <v>1113695.2</v>
      </c>
      <c r="H907">
        <v>105561.9</v>
      </c>
      <c r="I907">
        <v>1008133.3</v>
      </c>
      <c r="J907">
        <v>10715379.800000001</v>
      </c>
      <c r="K907">
        <v>2488556.5</v>
      </c>
      <c r="L907">
        <v>4783758</v>
      </c>
      <c r="M907">
        <v>2259508</v>
      </c>
      <c r="N907">
        <v>249429.3</v>
      </c>
      <c r="O907">
        <v>2010078.7</v>
      </c>
      <c r="P907">
        <v>2524250</v>
      </c>
      <c r="Q907">
        <v>387563</v>
      </c>
      <c r="R907">
        <v>103330.4</v>
      </c>
      <c r="S907">
        <v>443841.5</v>
      </c>
      <c r="T907">
        <v>1589515.1</v>
      </c>
      <c r="U907" s="11">
        <v>1645814.8</v>
      </c>
      <c r="V907" s="12">
        <v>798605.4</v>
      </c>
      <c r="W907" s="11">
        <v>847209.4</v>
      </c>
      <c r="X907" s="11">
        <v>508363.6</v>
      </c>
      <c r="Y907" s="11">
        <v>338845.8</v>
      </c>
      <c r="Z907" s="11">
        <v>1797250.6</v>
      </c>
      <c r="AA907" s="11">
        <v>807639.7</v>
      </c>
      <c r="AB907" s="11">
        <v>989610.9</v>
      </c>
      <c r="AC907" s="11">
        <v>168246.1</v>
      </c>
      <c r="AD907" s="11">
        <v>4138771.8</v>
      </c>
      <c r="AE907" s="11">
        <v>596821.6</v>
      </c>
      <c r="AF907" s="11">
        <v>5998.3</v>
      </c>
      <c r="AG907" s="11">
        <v>1782314.4</v>
      </c>
      <c r="AH907" s="13">
        <v>22747430.300000001</v>
      </c>
      <c r="AI907" s="11">
        <v>17995965</v>
      </c>
      <c r="AJ907" s="11">
        <v>1432493.9</v>
      </c>
      <c r="AK907" s="11">
        <v>16563471.1</v>
      </c>
      <c r="AL907" s="11">
        <v>1678575.5</v>
      </c>
      <c r="AM907" s="11">
        <v>144741.1</v>
      </c>
      <c r="AN907" s="11">
        <v>896265.7</v>
      </c>
      <c r="AO907" s="13">
        <v>20715547.300000001</v>
      </c>
      <c r="AP907" s="11">
        <v>2031883</v>
      </c>
      <c r="AQ907" s="11">
        <v>5598.4</v>
      </c>
      <c r="AR907" s="11">
        <v>568</v>
      </c>
      <c r="AS907">
        <f t="shared" si="20"/>
        <v>35991930</v>
      </c>
      <c r="AT907">
        <f t="shared" si="19"/>
        <v>0.63201474052655693</v>
      </c>
    </row>
    <row r="908" spans="1:46" x14ac:dyDescent="0.4">
      <c r="A908" s="3" t="s">
        <v>1039</v>
      </c>
      <c r="B908">
        <v>16554972.199999999</v>
      </c>
      <c r="C908">
        <v>5779999.5</v>
      </c>
      <c r="D908">
        <v>4652331.2</v>
      </c>
      <c r="E908">
        <v>2970577.6</v>
      </c>
      <c r="F908">
        <v>1681753.7</v>
      </c>
      <c r="G908">
        <v>1127668.3</v>
      </c>
      <c r="H908">
        <v>118320.5</v>
      </c>
      <c r="I908">
        <v>1009347.7</v>
      </c>
      <c r="J908">
        <v>10774972.699999999</v>
      </c>
      <c r="K908">
        <v>2495209.4</v>
      </c>
      <c r="L908">
        <v>4803633.0999999996</v>
      </c>
      <c r="M908">
        <v>2264033.7999999998</v>
      </c>
      <c r="N908">
        <v>247536.3</v>
      </c>
      <c r="O908">
        <v>2016497.6</v>
      </c>
      <c r="P908">
        <v>2539599.2000000002</v>
      </c>
      <c r="Q908">
        <v>388338.7</v>
      </c>
      <c r="R908">
        <v>103556.9</v>
      </c>
      <c r="S908">
        <v>450525.2</v>
      </c>
      <c r="T908">
        <v>1597178.4</v>
      </c>
      <c r="U908" s="11">
        <v>1660589.3</v>
      </c>
      <c r="V908" s="12">
        <v>808673.7</v>
      </c>
      <c r="W908" s="11">
        <v>851915.6</v>
      </c>
      <c r="X908" s="11">
        <v>510527.6</v>
      </c>
      <c r="Y908" s="11">
        <v>341388</v>
      </c>
      <c r="Z908" s="11">
        <v>1815541</v>
      </c>
      <c r="AA908" s="11">
        <v>820575</v>
      </c>
      <c r="AB908" s="11">
        <v>994966</v>
      </c>
      <c r="AC908" s="11">
        <v>163257.9</v>
      </c>
      <c r="AD908" s="11">
        <v>3869376.4</v>
      </c>
      <c r="AE908" s="11">
        <v>601105.6</v>
      </c>
      <c r="AF908" s="11">
        <v>10715.8</v>
      </c>
      <c r="AG908" s="11">
        <v>1811990.5</v>
      </c>
      <c r="AH908" s="13">
        <v>22684902.699999999</v>
      </c>
      <c r="AI908" s="11">
        <v>18070203.300000001</v>
      </c>
      <c r="AJ908" s="11">
        <v>1430130.9</v>
      </c>
      <c r="AK908" s="11">
        <v>16640072.5</v>
      </c>
      <c r="AL908" s="11">
        <v>1658766.2</v>
      </c>
      <c r="AM908" s="11">
        <v>53212.6</v>
      </c>
      <c r="AN908" s="11">
        <v>914380.9</v>
      </c>
      <c r="AO908" s="13">
        <v>20696563</v>
      </c>
      <c r="AP908" s="11">
        <v>1988339.6</v>
      </c>
      <c r="AQ908" s="11">
        <v>-16540.8</v>
      </c>
      <c r="AR908" s="11">
        <v>-16424.599999999999</v>
      </c>
      <c r="AS908">
        <f t="shared" si="20"/>
        <v>36140406.700000003</v>
      </c>
      <c r="AT908">
        <f t="shared" si="19"/>
        <v>0.62768808575693191</v>
      </c>
    </row>
    <row r="909" spans="1:46" x14ac:dyDescent="0.4">
      <c r="A909" s="3" t="s">
        <v>1040</v>
      </c>
      <c r="B909">
        <v>16634842.6</v>
      </c>
      <c r="C909">
        <v>5807944.2000000002</v>
      </c>
      <c r="D909">
        <v>4686787.3</v>
      </c>
      <c r="E909">
        <v>2983846.2</v>
      </c>
      <c r="F909">
        <v>1702941.1</v>
      </c>
      <c r="G909">
        <v>1121156.8</v>
      </c>
      <c r="H909">
        <v>118910.6</v>
      </c>
      <c r="I909">
        <v>1002246.2</v>
      </c>
      <c r="J909">
        <v>10826898.4</v>
      </c>
      <c r="K909">
        <v>2494582.2000000002</v>
      </c>
      <c r="L909">
        <v>4829644</v>
      </c>
      <c r="M909">
        <v>2274698.5</v>
      </c>
      <c r="N909">
        <v>246644.9</v>
      </c>
      <c r="O909">
        <v>2028053.7</v>
      </c>
      <c r="P909">
        <v>2554945.4</v>
      </c>
      <c r="Q909">
        <v>392467.8</v>
      </c>
      <c r="R909">
        <v>103746.2</v>
      </c>
      <c r="S909">
        <v>453142.3</v>
      </c>
      <c r="T909">
        <v>1605589.2</v>
      </c>
      <c r="U909" s="11">
        <v>1680648.9</v>
      </c>
      <c r="V909" s="12">
        <v>820644.5</v>
      </c>
      <c r="W909" s="11">
        <v>860004.5</v>
      </c>
      <c r="X909" s="11">
        <v>514351.7</v>
      </c>
      <c r="Y909" s="11">
        <v>345652.8</v>
      </c>
      <c r="Z909" s="11">
        <v>1822023.3</v>
      </c>
      <c r="AA909" s="11">
        <v>822592.4</v>
      </c>
      <c r="AB909" s="11">
        <v>999430.9</v>
      </c>
      <c r="AC909" s="11">
        <v>162365.6</v>
      </c>
      <c r="AD909" s="11">
        <v>3741083.3</v>
      </c>
      <c r="AE909" s="11">
        <v>608527.1</v>
      </c>
      <c r="AF909" s="11">
        <v>6030.9</v>
      </c>
      <c r="AG909" s="11">
        <v>1834785.2</v>
      </c>
      <c r="AH909" s="13">
        <v>22662903.5</v>
      </c>
      <c r="AI909" s="11">
        <v>18123398.199999999</v>
      </c>
      <c r="AJ909" s="11">
        <v>1440270</v>
      </c>
      <c r="AK909" s="11">
        <v>16683128.199999999</v>
      </c>
      <c r="AL909" s="11">
        <v>1618269.5</v>
      </c>
      <c r="AM909" s="11">
        <v>41543.4</v>
      </c>
      <c r="AN909" s="11">
        <v>898455.4</v>
      </c>
      <c r="AO909" s="13">
        <v>20681666.5</v>
      </c>
      <c r="AP909" s="11">
        <v>1981237</v>
      </c>
      <c r="AQ909" s="11">
        <v>-44828.5</v>
      </c>
      <c r="AR909" s="11">
        <v>-29495.1</v>
      </c>
      <c r="AS909">
        <f t="shared" si="20"/>
        <v>36246796.399999999</v>
      </c>
      <c r="AT909">
        <f t="shared" si="19"/>
        <v>0.62523880041437263</v>
      </c>
    </row>
  </sheetData>
  <phoneticPr fontId="26" type="noConversion"/>
  <hyperlinks>
    <hyperlink ref="A1" r:id="rId1" display="http://www.federalreserve.gov/datadownload/Output.aspx?rel=H8&amp;series=9c11dc6ad1288b9a2d155c0df14a3809&amp;lastobs=&amp;from=&amp;to=&amp;filetype=spreadsheetml&amp;label=include&amp;layout=seriescolumn" xr:uid="{00000000-0004-0000-0000-000000000000}"/>
  </hyperlinks>
  <pageMargins left="0.75" right="0.75" top="1" bottom="1" header="0.5" footer="0.5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3086-B867-4EF3-952D-81BBA5521C4F}">
  <dimension ref="A1:Q261"/>
  <sheetViews>
    <sheetView zoomScale="80" zoomScaleNormal="8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P44" sqref="P44:P55"/>
    </sheetView>
  </sheetViews>
  <sheetFormatPr defaultColWidth="9.1171875" defaultRowHeight="15.35" x14ac:dyDescent="0.5"/>
  <cols>
    <col min="1" max="1" width="16.64453125" style="23" customWidth="1"/>
    <col min="2" max="2" width="16.64453125" style="33" customWidth="1"/>
    <col min="3" max="4" width="16.64453125" style="21" customWidth="1"/>
    <col min="5" max="5" width="16.64453125" style="17" customWidth="1"/>
    <col min="6" max="8" width="16.64453125" style="21" customWidth="1"/>
    <col min="9" max="9" width="18.46875" style="21" bestFit="1" customWidth="1"/>
    <col min="10" max="15" width="16.64453125" style="21" customWidth="1"/>
    <col min="16" max="16" width="9.64453125" style="14" bestFit="1" customWidth="1"/>
    <col min="17" max="17" width="12.41015625" style="14" bestFit="1" customWidth="1"/>
    <col min="18" max="16384" width="9.1171875" style="14"/>
  </cols>
  <sheetData>
    <row r="1" spans="1:16" s="15" customFormat="1" ht="15" x14ac:dyDescent="0.45">
      <c r="A1" s="16" t="s">
        <v>1041</v>
      </c>
      <c r="B1" s="16"/>
      <c r="C1" s="19" t="s">
        <v>1042</v>
      </c>
      <c r="D1" s="19" t="s">
        <v>1045</v>
      </c>
      <c r="E1" s="16" t="s">
        <v>1043</v>
      </c>
      <c r="F1" s="19" t="s">
        <v>1044</v>
      </c>
      <c r="G1" s="19" t="s">
        <v>1067</v>
      </c>
      <c r="H1" s="19" t="s">
        <v>1049</v>
      </c>
      <c r="I1" s="19" t="s">
        <v>1068</v>
      </c>
      <c r="J1" s="19" t="s">
        <v>1055</v>
      </c>
      <c r="K1" s="19" t="s">
        <v>1046</v>
      </c>
      <c r="L1" s="19" t="s">
        <v>1048</v>
      </c>
      <c r="M1" s="19" t="s">
        <v>1047</v>
      </c>
      <c r="N1" s="19" t="s">
        <v>1051</v>
      </c>
      <c r="O1" s="19" t="s">
        <v>1050</v>
      </c>
    </row>
    <row r="2" spans="1:16" x14ac:dyDescent="0.5">
      <c r="A2" s="23" t="str">
        <f>'raw data'!A650</f>
        <v>2000-07</v>
      </c>
      <c r="B2" s="32">
        <f>'raw data'!U650</f>
        <v>531142</v>
      </c>
      <c r="C2" s="20">
        <f>'raw data'!V650</f>
        <v>211897.8</v>
      </c>
      <c r="D2" s="20">
        <f>E2-C2</f>
        <v>5693184</v>
      </c>
      <c r="E2" s="18">
        <f>'raw data'!AH650</f>
        <v>5905081.7999999998</v>
      </c>
      <c r="F2" s="20">
        <f>'raw data'!AO650</f>
        <v>5678886</v>
      </c>
      <c r="G2" s="20">
        <f>'raw data'!AS650</f>
        <v>4521704.5</v>
      </c>
      <c r="H2" s="20">
        <f>E2-F2</f>
        <v>226195.79999999981</v>
      </c>
      <c r="I2" s="20">
        <f>E2-G2</f>
        <v>1383377.2999999998</v>
      </c>
      <c r="J2" s="22">
        <f>C2/E2*100</f>
        <v>3.5883973698721663</v>
      </c>
      <c r="K2" s="22">
        <f>D2/C2</f>
        <v>26.867593717348647</v>
      </c>
      <c r="L2" s="22">
        <f>E2/C2</f>
        <v>27.867593717348647</v>
      </c>
      <c r="M2" s="22">
        <f>F2/C2</f>
        <v>26.800117792633998</v>
      </c>
      <c r="N2" s="30">
        <f>E2/F2</f>
        <v>1.0398310161535202</v>
      </c>
      <c r="O2" s="22">
        <f>E2/H2</f>
        <v>26.106062977296681</v>
      </c>
      <c r="P2" s="14">
        <f>E2/I2</f>
        <v>4.2685981619042037</v>
      </c>
    </row>
    <row r="3" spans="1:16" x14ac:dyDescent="0.5">
      <c r="A3" s="23" t="str">
        <f>'raw data'!A651</f>
        <v>2000-08</v>
      </c>
      <c r="B3" s="32">
        <f>'raw data'!U651</f>
        <v>538855.4</v>
      </c>
      <c r="C3" s="20">
        <f>'raw data'!V651</f>
        <v>217854</v>
      </c>
      <c r="D3" s="20">
        <f t="shared" ref="D3:D66" si="0">E3-C3</f>
        <v>5716299.2000000002</v>
      </c>
      <c r="E3" s="18">
        <f>'raw data'!AH651</f>
        <v>5934153.2000000002</v>
      </c>
      <c r="F3" s="20">
        <f>'raw data'!AO651</f>
        <v>5714051.0999999996</v>
      </c>
      <c r="G3" s="20">
        <f>'raw data'!AS651</f>
        <v>4564306.7</v>
      </c>
      <c r="H3" s="20">
        <f t="shared" ref="H3:H66" si="1">E3-F3</f>
        <v>220102.10000000056</v>
      </c>
      <c r="I3" s="20">
        <f t="shared" ref="I3:I66" si="2">E3-G3</f>
        <v>1369846.5</v>
      </c>
      <c r="J3" s="22">
        <f t="shared" ref="J3:J66" si="3">C3/E3*100</f>
        <v>3.6711893450947644</v>
      </c>
      <c r="K3" s="22">
        <f t="shared" ref="K3:K66" si="4">D3/C3</f>
        <v>26.239128957925953</v>
      </c>
      <c r="L3" s="22">
        <f t="shared" ref="L3:L66" si="5">E3/C3</f>
        <v>27.239128957925953</v>
      </c>
      <c r="M3" s="22">
        <f t="shared" ref="M3:M66" si="6">F3/C3</f>
        <v>26.228809661516426</v>
      </c>
      <c r="N3" s="30">
        <f t="shared" ref="N3:N66" si="7">E3/F3</f>
        <v>1.038519449012278</v>
      </c>
      <c r="O3" s="22">
        <f t="shared" ref="O3:O66" si="8">E3/H3</f>
        <v>26.960911322517983</v>
      </c>
      <c r="P3" s="14">
        <f t="shared" ref="P3:P66" si="9">E3/I3</f>
        <v>4.3319840580678202</v>
      </c>
    </row>
    <row r="4" spans="1:16" x14ac:dyDescent="0.5">
      <c r="A4" s="23" t="str">
        <f>'raw data'!A652</f>
        <v>2000-09</v>
      </c>
      <c r="B4" s="32">
        <f>'raw data'!U652</f>
        <v>543717.1</v>
      </c>
      <c r="C4" s="20">
        <f>'raw data'!V652</f>
        <v>222410.9</v>
      </c>
      <c r="D4" s="20">
        <f t="shared" si="0"/>
        <v>5751305.5999999996</v>
      </c>
      <c r="E4" s="18">
        <f>'raw data'!AH652</f>
        <v>5973716.5</v>
      </c>
      <c r="F4" s="20">
        <f>'raw data'!AO652</f>
        <v>5736376.5999999996</v>
      </c>
      <c r="G4" s="20">
        <f>'raw data'!AS652</f>
        <v>4578304.4000000004</v>
      </c>
      <c r="H4" s="20">
        <f t="shared" si="1"/>
        <v>237339.90000000037</v>
      </c>
      <c r="I4" s="20">
        <f t="shared" si="2"/>
        <v>1395412.0999999996</v>
      </c>
      <c r="J4" s="22">
        <f t="shared" si="3"/>
        <v>3.7231579369392573</v>
      </c>
      <c r="K4" s="22">
        <f t="shared" si="4"/>
        <v>25.858919684242093</v>
      </c>
      <c r="L4" s="22">
        <f t="shared" si="5"/>
        <v>26.858919684242096</v>
      </c>
      <c r="M4" s="22">
        <f t="shared" si="6"/>
        <v>25.791796175457225</v>
      </c>
      <c r="N4" s="30">
        <f t="shared" si="7"/>
        <v>1.0413745324879822</v>
      </c>
      <c r="O4" s="22">
        <f t="shared" si="8"/>
        <v>25.169457390013186</v>
      </c>
      <c r="P4" s="14">
        <f t="shared" si="9"/>
        <v>4.2809693996490363</v>
      </c>
    </row>
    <row r="5" spans="1:16" x14ac:dyDescent="0.5">
      <c r="A5" s="23" t="str">
        <f>'raw data'!A653</f>
        <v>2000-10</v>
      </c>
      <c r="B5" s="32">
        <f>'raw data'!U653</f>
        <v>544271.9</v>
      </c>
      <c r="C5" s="20">
        <f>'raw data'!V653</f>
        <v>220752.4</v>
      </c>
      <c r="D5" s="20">
        <f t="shared" si="0"/>
        <v>5770217.5</v>
      </c>
      <c r="E5" s="18">
        <f>'raw data'!AH653</f>
        <v>5990969.9000000004</v>
      </c>
      <c r="F5" s="20">
        <f>'raw data'!AO653</f>
        <v>5730192.0999999996</v>
      </c>
      <c r="G5" s="20">
        <f>'raw data'!AS653</f>
        <v>4585167.3</v>
      </c>
      <c r="H5" s="20">
        <f t="shared" si="1"/>
        <v>260777.80000000075</v>
      </c>
      <c r="I5" s="20">
        <f t="shared" si="2"/>
        <v>1405802.6000000006</v>
      </c>
      <c r="J5" s="22">
        <f t="shared" si="3"/>
        <v>3.6847522802609971</v>
      </c>
      <c r="K5" s="22">
        <f t="shared" si="4"/>
        <v>26.138866440410162</v>
      </c>
      <c r="L5" s="22">
        <f t="shared" si="5"/>
        <v>27.138866440410162</v>
      </c>
      <c r="M5" s="22">
        <f t="shared" si="6"/>
        <v>25.957552896367151</v>
      </c>
      <c r="N5" s="30">
        <f t="shared" si="7"/>
        <v>1.0455094341427054</v>
      </c>
      <c r="O5" s="22">
        <f t="shared" si="8"/>
        <v>22.973465916193721</v>
      </c>
      <c r="P5" s="14">
        <f t="shared" si="9"/>
        <v>4.2616010953458172</v>
      </c>
    </row>
    <row r="6" spans="1:16" x14ac:dyDescent="0.5">
      <c r="A6" s="23" t="str">
        <f>'raw data'!A654</f>
        <v>2000-11</v>
      </c>
      <c r="B6" s="32">
        <f>'raw data'!U654</f>
        <v>548263.80000000005</v>
      </c>
      <c r="C6" s="20">
        <f>'raw data'!V654</f>
        <v>222338.7</v>
      </c>
      <c r="D6" s="20">
        <f t="shared" si="0"/>
        <v>5768300.5999999996</v>
      </c>
      <c r="E6" s="18">
        <f>'raw data'!AH654</f>
        <v>5990639.2999999998</v>
      </c>
      <c r="F6" s="20">
        <f>'raw data'!AO654</f>
        <v>5716039.2000000002</v>
      </c>
      <c r="G6" s="20">
        <f>'raw data'!AS654</f>
        <v>4576630.5</v>
      </c>
      <c r="H6" s="20">
        <f t="shared" si="1"/>
        <v>274600.09999999963</v>
      </c>
      <c r="I6" s="20">
        <f t="shared" si="2"/>
        <v>1414008.7999999998</v>
      </c>
      <c r="J6" s="22">
        <f t="shared" si="3"/>
        <v>3.7114352720251409</v>
      </c>
      <c r="K6" s="22">
        <f t="shared" si="4"/>
        <v>25.94375428119351</v>
      </c>
      <c r="L6" s="22">
        <f t="shared" si="5"/>
        <v>26.94375428119351</v>
      </c>
      <c r="M6" s="22">
        <f t="shared" si="6"/>
        <v>25.708701184274261</v>
      </c>
      <c r="N6" s="30">
        <f t="shared" si="7"/>
        <v>1.0480402758609493</v>
      </c>
      <c r="O6" s="22">
        <f t="shared" si="8"/>
        <v>21.815867146443164</v>
      </c>
      <c r="P6" s="14">
        <f t="shared" si="9"/>
        <v>4.2366350902483783</v>
      </c>
    </row>
    <row r="7" spans="1:16" x14ac:dyDescent="0.5">
      <c r="A7" s="23" t="str">
        <f>'raw data'!A655</f>
        <v>2000-12</v>
      </c>
      <c r="B7" s="32">
        <f>'raw data'!U655</f>
        <v>555531.4</v>
      </c>
      <c r="C7" s="20">
        <f>'raw data'!V655</f>
        <v>228197.3</v>
      </c>
      <c r="D7" s="20">
        <f t="shared" si="0"/>
        <v>5839338.5</v>
      </c>
      <c r="E7" s="18">
        <f>'raw data'!AH655</f>
        <v>6067535.7999999998</v>
      </c>
      <c r="F7" s="20">
        <f>'raw data'!AO655</f>
        <v>5809431.7999999998</v>
      </c>
      <c r="G7" s="20">
        <f>'raw data'!AS655</f>
        <v>4646582.5</v>
      </c>
      <c r="H7" s="20">
        <f t="shared" si="1"/>
        <v>258104</v>
      </c>
      <c r="I7" s="20">
        <f t="shared" si="2"/>
        <v>1420953.2999999998</v>
      </c>
      <c r="J7" s="22">
        <f t="shared" si="3"/>
        <v>3.7609551475575964</v>
      </c>
      <c r="K7" s="22">
        <f t="shared" si="4"/>
        <v>25.588990316712774</v>
      </c>
      <c r="L7" s="22">
        <f t="shared" si="5"/>
        <v>26.588990316712774</v>
      </c>
      <c r="M7" s="22">
        <f t="shared" si="6"/>
        <v>25.457933989578319</v>
      </c>
      <c r="N7" s="30">
        <f t="shared" si="7"/>
        <v>1.044428441349462</v>
      </c>
      <c r="O7" s="22">
        <f t="shared" si="8"/>
        <v>23.508104485013792</v>
      </c>
      <c r="P7" s="14">
        <f t="shared" si="9"/>
        <v>4.2700458910225976</v>
      </c>
    </row>
    <row r="8" spans="1:16" x14ac:dyDescent="0.5">
      <c r="A8" s="23" t="str">
        <f>'raw data'!A656</f>
        <v>2001-01</v>
      </c>
      <c r="B8" s="32">
        <f>'raw data'!U656</f>
        <v>558590.1</v>
      </c>
      <c r="C8" s="20">
        <f>'raw data'!V656</f>
        <v>230967.4</v>
      </c>
      <c r="D8" s="20">
        <f t="shared" si="0"/>
        <v>5920051.6999999993</v>
      </c>
      <c r="E8" s="18">
        <f>'raw data'!AH656</f>
        <v>6151019.0999999996</v>
      </c>
      <c r="F8" s="20">
        <f>'raw data'!AO656</f>
        <v>5877247</v>
      </c>
      <c r="G8" s="20">
        <f>'raw data'!AS656</f>
        <v>4688421.8999999994</v>
      </c>
      <c r="H8" s="20">
        <f t="shared" si="1"/>
        <v>273772.09999999963</v>
      </c>
      <c r="I8" s="20">
        <f t="shared" si="2"/>
        <v>1462597.2000000002</v>
      </c>
      <c r="J8" s="22">
        <f t="shared" si="3"/>
        <v>3.754945257770375</v>
      </c>
      <c r="K8" s="22">
        <f t="shared" si="4"/>
        <v>25.6315467031278</v>
      </c>
      <c r="L8" s="22">
        <f t="shared" si="5"/>
        <v>26.6315467031278</v>
      </c>
      <c r="M8" s="22">
        <f t="shared" si="6"/>
        <v>25.446218817027859</v>
      </c>
      <c r="N8" s="30">
        <f t="shared" si="7"/>
        <v>1.0465816903730607</v>
      </c>
      <c r="O8" s="22">
        <f t="shared" si="8"/>
        <v>22.467662336666184</v>
      </c>
      <c r="P8" s="14">
        <f t="shared" si="9"/>
        <v>4.2055455186157875</v>
      </c>
    </row>
    <row r="9" spans="1:16" x14ac:dyDescent="0.5">
      <c r="A9" s="23" t="str">
        <f>'raw data'!A657</f>
        <v>2001-02</v>
      </c>
      <c r="B9" s="32">
        <f>'raw data'!U657</f>
        <v>557858</v>
      </c>
      <c r="C9" s="20">
        <f>'raw data'!V657</f>
        <v>229551.1</v>
      </c>
      <c r="D9" s="20">
        <f t="shared" si="0"/>
        <v>5908417.3000000007</v>
      </c>
      <c r="E9" s="18">
        <f>'raw data'!AH657</f>
        <v>6137968.4000000004</v>
      </c>
      <c r="F9" s="20">
        <f>'raw data'!AO657</f>
        <v>5870782.7000000002</v>
      </c>
      <c r="G9" s="20">
        <f>'raw data'!AS657</f>
        <v>4700436.3</v>
      </c>
      <c r="H9" s="20">
        <f t="shared" si="1"/>
        <v>267185.70000000019</v>
      </c>
      <c r="I9" s="20">
        <f t="shared" si="2"/>
        <v>1437532.1000000006</v>
      </c>
      <c r="J9" s="22">
        <f t="shared" si="3"/>
        <v>3.7398547050193347</v>
      </c>
      <c r="K9" s="22">
        <f t="shared" si="4"/>
        <v>25.739006696112547</v>
      </c>
      <c r="L9" s="22">
        <f t="shared" si="5"/>
        <v>26.739006696112543</v>
      </c>
      <c r="M9" s="22">
        <f t="shared" si="6"/>
        <v>25.575058015404849</v>
      </c>
      <c r="N9" s="30">
        <f t="shared" si="7"/>
        <v>1.0455110866222319</v>
      </c>
      <c r="O9" s="22">
        <f t="shared" si="8"/>
        <v>22.972668073179051</v>
      </c>
      <c r="P9" s="14">
        <f t="shared" si="9"/>
        <v>4.2697957144748271</v>
      </c>
    </row>
    <row r="10" spans="1:16" x14ac:dyDescent="0.5">
      <c r="A10" s="23" t="str">
        <f>'raw data'!A658</f>
        <v>2001-03</v>
      </c>
      <c r="B10" s="32">
        <f>'raw data'!U658</f>
        <v>557205.5</v>
      </c>
      <c r="C10" s="20">
        <f>'raw data'!V658</f>
        <v>228144.8</v>
      </c>
      <c r="D10" s="20">
        <f t="shared" si="0"/>
        <v>5960646.7000000002</v>
      </c>
      <c r="E10" s="18">
        <f>'raw data'!AH658</f>
        <v>6188791.5</v>
      </c>
      <c r="F10" s="20">
        <f>'raw data'!AO658</f>
        <v>5919212.5999999996</v>
      </c>
      <c r="G10" s="20">
        <f>'raw data'!AS658</f>
        <v>4737073.4000000004</v>
      </c>
      <c r="H10" s="20">
        <f t="shared" si="1"/>
        <v>269578.90000000037</v>
      </c>
      <c r="I10" s="20">
        <f t="shared" si="2"/>
        <v>1451718.0999999996</v>
      </c>
      <c r="J10" s="22">
        <f t="shared" si="3"/>
        <v>3.6864192306365466</v>
      </c>
      <c r="K10" s="22">
        <f t="shared" si="4"/>
        <v>26.126594601323372</v>
      </c>
      <c r="L10" s="22">
        <f t="shared" si="5"/>
        <v>27.126594601323372</v>
      </c>
      <c r="M10" s="22">
        <f t="shared" si="6"/>
        <v>25.944981432844404</v>
      </c>
      <c r="N10" s="30">
        <f t="shared" si="7"/>
        <v>1.0455430338825811</v>
      </c>
      <c r="O10" s="22">
        <f t="shared" si="8"/>
        <v>22.957254814824125</v>
      </c>
      <c r="P10" s="14">
        <f t="shared" si="9"/>
        <v>4.2630807592741329</v>
      </c>
    </row>
    <row r="11" spans="1:16" x14ac:dyDescent="0.5">
      <c r="A11" s="23" t="str">
        <f>'raw data'!A659</f>
        <v>2001-04</v>
      </c>
      <c r="B11" s="32">
        <f>'raw data'!U659</f>
        <v>561350.19999999995</v>
      </c>
      <c r="C11" s="20">
        <f>'raw data'!V659</f>
        <v>232200.8</v>
      </c>
      <c r="D11" s="20">
        <f t="shared" si="0"/>
        <v>5996841.9000000004</v>
      </c>
      <c r="E11" s="18">
        <f>'raw data'!AH659</f>
        <v>6229042.7000000002</v>
      </c>
      <c r="F11" s="20">
        <f>'raw data'!AO659</f>
        <v>5948783.7000000002</v>
      </c>
      <c r="G11" s="20">
        <f>'raw data'!AS659</f>
        <v>4783168.3</v>
      </c>
      <c r="H11" s="20">
        <f t="shared" si="1"/>
        <v>280259</v>
      </c>
      <c r="I11" s="20">
        <f t="shared" si="2"/>
        <v>1445874.4000000004</v>
      </c>
      <c r="J11" s="22">
        <f t="shared" si="3"/>
        <v>3.7277124460874216</v>
      </c>
      <c r="K11" s="22">
        <f t="shared" si="4"/>
        <v>25.826103527636427</v>
      </c>
      <c r="L11" s="22">
        <f t="shared" si="5"/>
        <v>26.826103527636427</v>
      </c>
      <c r="M11" s="22">
        <f t="shared" si="6"/>
        <v>25.619135248457372</v>
      </c>
      <c r="N11" s="30">
        <f t="shared" si="7"/>
        <v>1.0471119835807781</v>
      </c>
      <c r="O11" s="22">
        <f t="shared" si="8"/>
        <v>22.226022001077574</v>
      </c>
      <c r="P11" s="14">
        <f t="shared" si="9"/>
        <v>4.3081492417321989</v>
      </c>
    </row>
    <row r="12" spans="1:16" x14ac:dyDescent="0.5">
      <c r="A12" s="23" t="str">
        <f>'raw data'!A660</f>
        <v>2001-05</v>
      </c>
      <c r="B12" s="32">
        <f>'raw data'!U660</f>
        <v>566114.6</v>
      </c>
      <c r="C12" s="20">
        <f>'raw data'!V660</f>
        <v>235574.1</v>
      </c>
      <c r="D12" s="20">
        <f t="shared" si="0"/>
        <v>5983711.3000000007</v>
      </c>
      <c r="E12" s="18">
        <f>'raw data'!AH660</f>
        <v>6219285.4000000004</v>
      </c>
      <c r="F12" s="20">
        <f>'raw data'!AO660</f>
        <v>5946266.5</v>
      </c>
      <c r="G12" s="20">
        <f>'raw data'!AS660</f>
        <v>4814665.4000000004</v>
      </c>
      <c r="H12" s="20">
        <f t="shared" si="1"/>
        <v>273018.90000000037</v>
      </c>
      <c r="I12" s="20">
        <f t="shared" si="2"/>
        <v>1404620</v>
      </c>
      <c r="J12" s="22">
        <f t="shared" si="3"/>
        <v>3.7878001225028197</v>
      </c>
      <c r="K12" s="22">
        <f t="shared" si="4"/>
        <v>25.40054827759079</v>
      </c>
      <c r="L12" s="22">
        <f t="shared" si="5"/>
        <v>26.40054827759079</v>
      </c>
      <c r="M12" s="22">
        <f t="shared" si="6"/>
        <v>25.241597017668749</v>
      </c>
      <c r="N12" s="30">
        <f t="shared" si="7"/>
        <v>1.0459143396953365</v>
      </c>
      <c r="O12" s="22">
        <f t="shared" si="8"/>
        <v>22.779688146131978</v>
      </c>
      <c r="P12" s="14">
        <f t="shared" si="9"/>
        <v>4.4277351881647711</v>
      </c>
    </row>
    <row r="13" spans="1:16" x14ac:dyDescent="0.5">
      <c r="A13" s="23" t="str">
        <f>'raw data'!A661</f>
        <v>2001-06</v>
      </c>
      <c r="B13" s="32">
        <f>'raw data'!U661</f>
        <v>564557.4</v>
      </c>
      <c r="C13" s="20">
        <f>'raw data'!V661</f>
        <v>233267.1</v>
      </c>
      <c r="D13" s="20">
        <f t="shared" si="0"/>
        <v>5974287.5</v>
      </c>
      <c r="E13" s="18">
        <f>'raw data'!AH661</f>
        <v>6207554.5999999996</v>
      </c>
      <c r="F13" s="20">
        <f>'raw data'!AO661</f>
        <v>5932611.4000000004</v>
      </c>
      <c r="G13" s="20">
        <f>'raw data'!AS661</f>
        <v>4833647.0999999996</v>
      </c>
      <c r="H13" s="20">
        <f t="shared" si="1"/>
        <v>274943.19999999925</v>
      </c>
      <c r="I13" s="20">
        <f t="shared" si="2"/>
        <v>1373907.5</v>
      </c>
      <c r="J13" s="22">
        <f t="shared" si="3"/>
        <v>3.757793769546546</v>
      </c>
      <c r="K13" s="22">
        <f t="shared" si="4"/>
        <v>25.611359252976523</v>
      </c>
      <c r="L13" s="22">
        <f t="shared" si="5"/>
        <v>26.61135925297652</v>
      </c>
      <c r="M13" s="22">
        <f t="shared" si="6"/>
        <v>25.432696681186503</v>
      </c>
      <c r="N13" s="30">
        <f t="shared" si="7"/>
        <v>1.0463443804864749</v>
      </c>
      <c r="O13" s="22">
        <f t="shared" si="8"/>
        <v>22.577589116588506</v>
      </c>
      <c r="P13" s="14">
        <f t="shared" si="9"/>
        <v>4.5181750590924059</v>
      </c>
    </row>
    <row r="14" spans="1:16" x14ac:dyDescent="0.5">
      <c r="A14" s="23" t="str">
        <f>'raw data'!A662</f>
        <v>2001-07</v>
      </c>
      <c r="B14" s="32">
        <f>'raw data'!U662</f>
        <v>564153</v>
      </c>
      <c r="C14" s="20">
        <f>'raw data'!V662</f>
        <v>231746.9</v>
      </c>
      <c r="D14" s="20">
        <f t="shared" si="0"/>
        <v>5990555.6999999993</v>
      </c>
      <c r="E14" s="18">
        <f>'raw data'!AH662</f>
        <v>6222302.5999999996</v>
      </c>
      <c r="F14" s="20">
        <f>'raw data'!AO662</f>
        <v>5954753.0999999996</v>
      </c>
      <c r="G14" s="20">
        <f>'raw data'!AS662</f>
        <v>4842322.9000000004</v>
      </c>
      <c r="H14" s="20">
        <f t="shared" si="1"/>
        <v>267549.5</v>
      </c>
      <c r="I14" s="20">
        <f t="shared" si="2"/>
        <v>1379979.6999999993</v>
      </c>
      <c r="J14" s="22">
        <f t="shared" si="3"/>
        <v>3.7244556380141334</v>
      </c>
      <c r="K14" s="22">
        <f t="shared" si="4"/>
        <v>25.849561310205225</v>
      </c>
      <c r="L14" s="22">
        <f t="shared" si="5"/>
        <v>26.849561310205228</v>
      </c>
      <c r="M14" s="22">
        <f t="shared" si="6"/>
        <v>25.69507121778112</v>
      </c>
      <c r="N14" s="30">
        <f t="shared" si="7"/>
        <v>1.0449304102969441</v>
      </c>
      <c r="O14" s="22">
        <f t="shared" si="8"/>
        <v>23.256640733770759</v>
      </c>
      <c r="P14" s="14">
        <f t="shared" si="9"/>
        <v>4.5089812553039748</v>
      </c>
    </row>
    <row r="15" spans="1:16" x14ac:dyDescent="0.5">
      <c r="A15" s="23" t="str">
        <f>'raw data'!A663</f>
        <v>2001-08</v>
      </c>
      <c r="B15" s="32">
        <f>'raw data'!U663</f>
        <v>566727.4</v>
      </c>
      <c r="C15" s="20">
        <f>'raw data'!V663</f>
        <v>233757.4</v>
      </c>
      <c r="D15" s="20">
        <f t="shared" si="0"/>
        <v>6018713.8999999994</v>
      </c>
      <c r="E15" s="18">
        <f>'raw data'!AH663</f>
        <v>6252471.2999999998</v>
      </c>
      <c r="F15" s="20">
        <f>'raw data'!AO663</f>
        <v>5976166.9000000004</v>
      </c>
      <c r="G15" s="20">
        <f>'raw data'!AS663</f>
        <v>4842771.8</v>
      </c>
      <c r="H15" s="20">
        <f t="shared" si="1"/>
        <v>276304.39999999944</v>
      </c>
      <c r="I15" s="20">
        <f t="shared" si="2"/>
        <v>1409699.5</v>
      </c>
      <c r="J15" s="22">
        <f t="shared" si="3"/>
        <v>3.7386401117906773</v>
      </c>
      <c r="K15" s="22">
        <f t="shared" si="4"/>
        <v>25.747693548952888</v>
      </c>
      <c r="L15" s="22">
        <f t="shared" si="5"/>
        <v>26.747693548952888</v>
      </c>
      <c r="M15" s="22">
        <f t="shared" si="6"/>
        <v>25.565680059754261</v>
      </c>
      <c r="N15" s="30">
        <f t="shared" si="7"/>
        <v>1.0462343847860072</v>
      </c>
      <c r="O15" s="22">
        <f t="shared" si="8"/>
        <v>22.628924114129244</v>
      </c>
      <c r="P15" s="14">
        <f t="shared" si="9"/>
        <v>4.4353220668660231</v>
      </c>
    </row>
    <row r="16" spans="1:16" x14ac:dyDescent="0.5">
      <c r="A16" s="23" t="str">
        <f>'raw data'!A664</f>
        <v>2001-09</v>
      </c>
      <c r="B16" s="32">
        <f>'raw data'!U664</f>
        <v>567191.5</v>
      </c>
      <c r="C16" s="20">
        <f>'raw data'!V664</f>
        <v>232893.4</v>
      </c>
      <c r="D16" s="20">
        <f t="shared" si="0"/>
        <v>6241730.2999999998</v>
      </c>
      <c r="E16" s="18">
        <f>'raw data'!AH664</f>
        <v>6474623.7000000002</v>
      </c>
      <c r="F16" s="20">
        <f>'raw data'!AO664</f>
        <v>6190016.4000000004</v>
      </c>
      <c r="G16" s="20">
        <f>'raw data'!AS664</f>
        <v>4982273.9000000004</v>
      </c>
      <c r="H16" s="20">
        <f t="shared" si="1"/>
        <v>284607.29999999981</v>
      </c>
      <c r="I16" s="20">
        <f t="shared" si="2"/>
        <v>1492349.7999999998</v>
      </c>
      <c r="J16" s="22">
        <f t="shared" si="3"/>
        <v>3.5970183101143007</v>
      </c>
      <c r="K16" s="22">
        <f t="shared" si="4"/>
        <v>26.800803715347879</v>
      </c>
      <c r="L16" s="22">
        <f t="shared" si="5"/>
        <v>27.800803715347882</v>
      </c>
      <c r="M16" s="22">
        <f t="shared" si="6"/>
        <v>26.578754056576958</v>
      </c>
      <c r="N16" s="30">
        <f t="shared" si="7"/>
        <v>1.0459784403802226</v>
      </c>
      <c r="O16" s="22">
        <f t="shared" si="8"/>
        <v>22.749324068637748</v>
      </c>
      <c r="P16" s="14">
        <f t="shared" si="9"/>
        <v>4.3385429475046671</v>
      </c>
    </row>
    <row r="17" spans="1:16" x14ac:dyDescent="0.5">
      <c r="A17" s="23" t="str">
        <f>'raw data'!A665</f>
        <v>2001-10</v>
      </c>
      <c r="B17" s="32">
        <f>'raw data'!U665</f>
        <v>566487.19999999995</v>
      </c>
      <c r="C17" s="20">
        <f>'raw data'!V665</f>
        <v>233647.6</v>
      </c>
      <c r="D17" s="20">
        <f t="shared" si="0"/>
        <v>6153652.5</v>
      </c>
      <c r="E17" s="18">
        <f>'raw data'!AH665</f>
        <v>6387300.0999999996</v>
      </c>
      <c r="F17" s="20">
        <f>'raw data'!AO665</f>
        <v>6079653.4000000004</v>
      </c>
      <c r="G17" s="20">
        <f>'raw data'!AS665</f>
        <v>4947200.9000000004</v>
      </c>
      <c r="H17" s="20">
        <f t="shared" si="1"/>
        <v>307646.69999999925</v>
      </c>
      <c r="I17" s="20">
        <f t="shared" si="2"/>
        <v>1440099.1999999993</v>
      </c>
      <c r="J17" s="22">
        <f t="shared" si="3"/>
        <v>3.6580025416372721</v>
      </c>
      <c r="K17" s="22">
        <f t="shared" si="4"/>
        <v>26.337323815866288</v>
      </c>
      <c r="L17" s="22">
        <f t="shared" si="5"/>
        <v>27.337323815866284</v>
      </c>
      <c r="M17" s="22">
        <f t="shared" si="6"/>
        <v>26.02061138226971</v>
      </c>
      <c r="N17" s="30">
        <f t="shared" si="7"/>
        <v>1.0506026708693623</v>
      </c>
      <c r="O17" s="22">
        <f t="shared" si="8"/>
        <v>20.761802743211661</v>
      </c>
      <c r="P17" s="14">
        <f t="shared" si="9"/>
        <v>4.4353195252104873</v>
      </c>
    </row>
    <row r="18" spans="1:16" x14ac:dyDescent="0.5">
      <c r="A18" s="23" t="str">
        <f>'raw data'!A666</f>
        <v>2001-11</v>
      </c>
      <c r="B18" s="32">
        <f>'raw data'!U666</f>
        <v>571855.1</v>
      </c>
      <c r="C18" s="20">
        <f>'raw data'!V666</f>
        <v>239137</v>
      </c>
      <c r="D18" s="20">
        <f t="shared" si="0"/>
        <v>6165909</v>
      </c>
      <c r="E18" s="18">
        <f>'raw data'!AH666</f>
        <v>6405046</v>
      </c>
      <c r="F18" s="20">
        <f>'raw data'!AO666</f>
        <v>6095864</v>
      </c>
      <c r="G18" s="20">
        <f>'raw data'!AS666</f>
        <v>4991452.3999999994</v>
      </c>
      <c r="H18" s="20">
        <f t="shared" si="1"/>
        <v>309182</v>
      </c>
      <c r="I18" s="20">
        <f t="shared" si="2"/>
        <v>1413593.6000000006</v>
      </c>
      <c r="J18" s="22">
        <f t="shared" si="3"/>
        <v>3.7335719368760194</v>
      </c>
      <c r="K18" s="22">
        <f t="shared" si="4"/>
        <v>25.784002475568396</v>
      </c>
      <c r="L18" s="22">
        <f t="shared" si="5"/>
        <v>26.784002475568396</v>
      </c>
      <c r="M18" s="22">
        <f t="shared" si="6"/>
        <v>25.491095062662826</v>
      </c>
      <c r="N18" s="30">
        <f t="shared" si="7"/>
        <v>1.050719963568741</v>
      </c>
      <c r="O18" s="22">
        <f t="shared" si="8"/>
        <v>20.716102489795656</v>
      </c>
      <c r="P18" s="14">
        <f t="shared" si="9"/>
        <v>4.5310377749305015</v>
      </c>
    </row>
    <row r="19" spans="1:16" x14ac:dyDescent="0.5">
      <c r="A19" s="23" t="str">
        <f>'raw data'!A667</f>
        <v>2001-12</v>
      </c>
      <c r="B19" s="32">
        <f>'raw data'!U667</f>
        <v>574282.4</v>
      </c>
      <c r="C19" s="20">
        <f>'raw data'!V667</f>
        <v>241907.7</v>
      </c>
      <c r="D19" s="20">
        <f t="shared" si="0"/>
        <v>6151391.5999999996</v>
      </c>
      <c r="E19" s="18">
        <f>'raw data'!AH667</f>
        <v>6393299.2999999998</v>
      </c>
      <c r="F19" s="20">
        <f>'raw data'!AO667</f>
        <v>6098836.5999999996</v>
      </c>
      <c r="G19" s="20">
        <f>'raw data'!AS667</f>
        <v>5051154.5</v>
      </c>
      <c r="H19" s="20">
        <f t="shared" si="1"/>
        <v>294462.70000000019</v>
      </c>
      <c r="I19" s="20">
        <f t="shared" si="2"/>
        <v>1342144.7999999998</v>
      </c>
      <c r="J19" s="22">
        <f t="shared" si="3"/>
        <v>3.7837693598984181</v>
      </c>
      <c r="K19" s="22">
        <f t="shared" si="4"/>
        <v>25.428672175379283</v>
      </c>
      <c r="L19" s="22">
        <f t="shared" si="5"/>
        <v>26.428672175379287</v>
      </c>
      <c r="M19" s="22">
        <f t="shared" si="6"/>
        <v>25.21141989279382</v>
      </c>
      <c r="N19" s="30">
        <f t="shared" si="7"/>
        <v>1.048281782135301</v>
      </c>
      <c r="O19" s="22">
        <f t="shared" si="8"/>
        <v>21.711745834022427</v>
      </c>
      <c r="P19" s="14">
        <f t="shared" si="9"/>
        <v>4.7634944456067636</v>
      </c>
    </row>
    <row r="20" spans="1:16" x14ac:dyDescent="0.5">
      <c r="A20" s="23" t="str">
        <f>'raw data'!A668</f>
        <v>2002-01</v>
      </c>
      <c r="B20" s="32">
        <f>'raw data'!U668</f>
        <v>574272.69999999995</v>
      </c>
      <c r="C20" s="20">
        <f>'raw data'!V668</f>
        <v>241331.7</v>
      </c>
      <c r="D20" s="20">
        <f t="shared" si="0"/>
        <v>6142078.7999999998</v>
      </c>
      <c r="E20" s="18">
        <f>'raw data'!AH668</f>
        <v>6383410.5</v>
      </c>
      <c r="F20" s="20">
        <f>'raw data'!AO668</f>
        <v>6088692.0999999996</v>
      </c>
      <c r="G20" s="20">
        <f>'raw data'!AS668</f>
        <v>5074321.5</v>
      </c>
      <c r="H20" s="20">
        <f t="shared" si="1"/>
        <v>294718.40000000037</v>
      </c>
      <c r="I20" s="20">
        <f t="shared" si="2"/>
        <v>1309089</v>
      </c>
      <c r="J20" s="22">
        <f t="shared" si="3"/>
        <v>3.7806075608015499</v>
      </c>
      <c r="K20" s="22">
        <f t="shared" si="4"/>
        <v>25.450775012151322</v>
      </c>
      <c r="L20" s="22">
        <f t="shared" si="5"/>
        <v>26.450775012151325</v>
      </c>
      <c r="M20" s="22">
        <f t="shared" si="6"/>
        <v>25.229557907228926</v>
      </c>
      <c r="N20" s="30">
        <f t="shared" si="7"/>
        <v>1.0484042213269416</v>
      </c>
      <c r="O20" s="22">
        <f t="shared" si="8"/>
        <v>21.659355167509027</v>
      </c>
      <c r="P20" s="14">
        <f t="shared" si="9"/>
        <v>4.8762234653258867</v>
      </c>
    </row>
    <row r="21" spans="1:16" x14ac:dyDescent="0.5">
      <c r="A21" s="23" t="str">
        <f>'raw data'!A669</f>
        <v>2002-02</v>
      </c>
      <c r="B21" s="32">
        <f>'raw data'!U669</f>
        <v>575841.9</v>
      </c>
      <c r="C21" s="20">
        <f>'raw data'!V669</f>
        <v>240609.4</v>
      </c>
      <c r="D21" s="20">
        <f t="shared" si="0"/>
        <v>6138423.5</v>
      </c>
      <c r="E21" s="18">
        <f>'raw data'!AH669</f>
        <v>6379032.9000000004</v>
      </c>
      <c r="F21" s="20">
        <f>'raw data'!AO669</f>
        <v>6088404.0999999996</v>
      </c>
      <c r="G21" s="20">
        <f>'raw data'!AS669</f>
        <v>5117711.5</v>
      </c>
      <c r="H21" s="20">
        <f t="shared" si="1"/>
        <v>290628.80000000075</v>
      </c>
      <c r="I21" s="20">
        <f t="shared" si="2"/>
        <v>1261321.4000000004</v>
      </c>
      <c r="J21" s="22">
        <f t="shared" si="3"/>
        <v>3.7718789630321545</v>
      </c>
      <c r="K21" s="22">
        <f t="shared" si="4"/>
        <v>25.511985400404143</v>
      </c>
      <c r="L21" s="22">
        <f t="shared" si="5"/>
        <v>26.511985400404143</v>
      </c>
      <c r="M21" s="22">
        <f t="shared" si="6"/>
        <v>25.304099091722932</v>
      </c>
      <c r="N21" s="30">
        <f t="shared" si="7"/>
        <v>1.0477348078784718</v>
      </c>
      <c r="O21" s="22">
        <f t="shared" si="8"/>
        <v>21.949073526092334</v>
      </c>
      <c r="P21" s="14">
        <f t="shared" si="9"/>
        <v>5.0574206542440319</v>
      </c>
    </row>
    <row r="22" spans="1:16" x14ac:dyDescent="0.5">
      <c r="A22" s="23" t="str">
        <f>'raw data'!A670</f>
        <v>2002-03</v>
      </c>
      <c r="B22" s="32">
        <f>'raw data'!U670</f>
        <v>575239.69999999995</v>
      </c>
      <c r="C22" s="20">
        <f>'raw data'!V670</f>
        <v>240353.9</v>
      </c>
      <c r="D22" s="20">
        <f t="shared" si="0"/>
        <v>6109203.7999999998</v>
      </c>
      <c r="E22" s="18">
        <f>'raw data'!AH670</f>
        <v>6349557.7000000002</v>
      </c>
      <c r="F22" s="20">
        <f>'raw data'!AO670</f>
        <v>6062806.2000000002</v>
      </c>
      <c r="G22" s="20">
        <f>'raw data'!AS670</f>
        <v>5145724.6000000006</v>
      </c>
      <c r="H22" s="20">
        <f t="shared" si="1"/>
        <v>286751.5</v>
      </c>
      <c r="I22" s="20">
        <f t="shared" si="2"/>
        <v>1203833.0999999996</v>
      </c>
      <c r="J22" s="22">
        <f t="shared" si="3"/>
        <v>3.7853644514483267</v>
      </c>
      <c r="K22" s="22">
        <f t="shared" si="4"/>
        <v>25.417535559023591</v>
      </c>
      <c r="L22" s="22">
        <f t="shared" si="5"/>
        <v>26.417535559023591</v>
      </c>
      <c r="M22" s="22">
        <f t="shared" si="6"/>
        <v>25.224496877312998</v>
      </c>
      <c r="N22" s="30">
        <f t="shared" si="7"/>
        <v>1.0472968276637311</v>
      </c>
      <c r="O22" s="22">
        <f t="shared" si="8"/>
        <v>22.14306708073018</v>
      </c>
      <c r="P22" s="14">
        <f t="shared" si="9"/>
        <v>5.274450170875018</v>
      </c>
    </row>
    <row r="23" spans="1:16" x14ac:dyDescent="0.5">
      <c r="A23" s="23" t="str">
        <f>'raw data'!A671</f>
        <v>2002-04</v>
      </c>
      <c r="B23" s="32">
        <f>'raw data'!U671</f>
        <v>580433.69999999995</v>
      </c>
      <c r="C23" s="20">
        <f>'raw data'!V671</f>
        <v>245823.3</v>
      </c>
      <c r="D23" s="20">
        <f t="shared" si="0"/>
        <v>6131253.5</v>
      </c>
      <c r="E23" s="18">
        <f>'raw data'!AH671</f>
        <v>6377076.7999999998</v>
      </c>
      <c r="F23" s="20">
        <f>'raw data'!AO671</f>
        <v>6082899.9000000004</v>
      </c>
      <c r="G23" s="20">
        <f>'raw data'!AS671</f>
        <v>5163764.9000000004</v>
      </c>
      <c r="H23" s="20">
        <f t="shared" si="1"/>
        <v>294176.89999999944</v>
      </c>
      <c r="I23" s="20">
        <f t="shared" si="2"/>
        <v>1213311.8999999994</v>
      </c>
      <c r="J23" s="22">
        <f t="shared" si="3"/>
        <v>3.8547959779941805</v>
      </c>
      <c r="K23" s="22">
        <f t="shared" si="4"/>
        <v>24.941710163357175</v>
      </c>
      <c r="L23" s="22">
        <f t="shared" si="5"/>
        <v>25.941710163357175</v>
      </c>
      <c r="M23" s="22">
        <f t="shared" si="6"/>
        <v>24.74500952513452</v>
      </c>
      <c r="N23" s="30">
        <f t="shared" si="7"/>
        <v>1.0483612922842935</v>
      </c>
      <c r="O23" s="22">
        <f t="shared" si="8"/>
        <v>21.677693931780546</v>
      </c>
      <c r="P23" s="14">
        <f t="shared" si="9"/>
        <v>5.2559253725278738</v>
      </c>
    </row>
    <row r="24" spans="1:16" x14ac:dyDescent="0.5">
      <c r="A24" s="23" t="str">
        <f>'raw data'!A672</f>
        <v>2002-05</v>
      </c>
      <c r="B24" s="32">
        <f>'raw data'!U672</f>
        <v>580831</v>
      </c>
      <c r="C24" s="20">
        <f>'raw data'!V672</f>
        <v>244887</v>
      </c>
      <c r="D24" s="20">
        <f t="shared" si="0"/>
        <v>6150780.5999999996</v>
      </c>
      <c r="E24" s="18">
        <f>'raw data'!AH672</f>
        <v>6395667.5999999996</v>
      </c>
      <c r="F24" s="20">
        <f>'raw data'!AO672</f>
        <v>6105385.9000000004</v>
      </c>
      <c r="G24" s="20">
        <f>'raw data'!AS672</f>
        <v>5187745.5</v>
      </c>
      <c r="H24" s="20">
        <f t="shared" si="1"/>
        <v>290281.69999999925</v>
      </c>
      <c r="I24" s="20">
        <f t="shared" si="2"/>
        <v>1207922.0999999996</v>
      </c>
      <c r="J24" s="22">
        <f t="shared" si="3"/>
        <v>3.8289513357448408</v>
      </c>
      <c r="K24" s="22">
        <f t="shared" si="4"/>
        <v>25.116811427311372</v>
      </c>
      <c r="L24" s="22">
        <f t="shared" si="5"/>
        <v>26.116811427311372</v>
      </c>
      <c r="M24" s="22">
        <f t="shared" si="6"/>
        <v>24.931441440337789</v>
      </c>
      <c r="N24" s="30">
        <f t="shared" si="7"/>
        <v>1.0475451846540935</v>
      </c>
      <c r="O24" s="22">
        <f t="shared" si="8"/>
        <v>22.032624171623688</v>
      </c>
      <c r="P24" s="14">
        <f t="shared" si="9"/>
        <v>5.2947682636156763</v>
      </c>
    </row>
    <row r="25" spans="1:16" x14ac:dyDescent="0.5">
      <c r="A25" s="23" t="str">
        <f>'raw data'!A673</f>
        <v>2002-06</v>
      </c>
      <c r="B25" s="32">
        <f>'raw data'!U673</f>
        <v>579127.4</v>
      </c>
      <c r="C25" s="20">
        <f>'raw data'!V673</f>
        <v>243277.3</v>
      </c>
      <c r="D25" s="20">
        <f t="shared" si="0"/>
        <v>6187707.7999999998</v>
      </c>
      <c r="E25" s="18">
        <f>'raw data'!AH673</f>
        <v>6430985.0999999996</v>
      </c>
      <c r="F25" s="20">
        <f>'raw data'!AO673</f>
        <v>6128023.2999999998</v>
      </c>
      <c r="G25" s="20">
        <f>'raw data'!AS673</f>
        <v>5192114.4000000004</v>
      </c>
      <c r="H25" s="20">
        <f t="shared" si="1"/>
        <v>302961.79999999981</v>
      </c>
      <c r="I25" s="20">
        <f t="shared" si="2"/>
        <v>1238870.6999999993</v>
      </c>
      <c r="J25" s="22">
        <f t="shared" si="3"/>
        <v>3.7828932304632459</v>
      </c>
      <c r="K25" s="22">
        <f t="shared" si="4"/>
        <v>25.434793135241144</v>
      </c>
      <c r="L25" s="22">
        <f t="shared" si="5"/>
        <v>26.434793135241144</v>
      </c>
      <c r="M25" s="22">
        <f t="shared" si="6"/>
        <v>25.189457873792581</v>
      </c>
      <c r="N25" s="30">
        <f t="shared" si="7"/>
        <v>1.0494387480543685</v>
      </c>
      <c r="O25" s="22">
        <f t="shared" si="8"/>
        <v>21.227049416791171</v>
      </c>
      <c r="P25" s="14">
        <f t="shared" si="9"/>
        <v>5.191005889476604</v>
      </c>
    </row>
    <row r="26" spans="1:16" x14ac:dyDescent="0.5">
      <c r="A26" s="23" t="str">
        <f>'raw data'!A674</f>
        <v>2002-07</v>
      </c>
      <c r="B26" s="32">
        <f>'raw data'!U674</f>
        <v>578372.5</v>
      </c>
      <c r="C26" s="20">
        <f>'raw data'!V674</f>
        <v>239896.9</v>
      </c>
      <c r="D26" s="20">
        <f t="shared" si="0"/>
        <v>6233360</v>
      </c>
      <c r="E26" s="18">
        <f>'raw data'!AH674</f>
        <v>6473256.9000000004</v>
      </c>
      <c r="F26" s="20">
        <f>'raw data'!AO674</f>
        <v>6187739</v>
      </c>
      <c r="G26" s="20">
        <f>'raw data'!AS674</f>
        <v>5238084.7</v>
      </c>
      <c r="H26" s="20">
        <f t="shared" si="1"/>
        <v>285517.90000000037</v>
      </c>
      <c r="I26" s="20">
        <f t="shared" si="2"/>
        <v>1235172.2000000002</v>
      </c>
      <c r="J26" s="22">
        <f t="shared" si="3"/>
        <v>3.7059690926216757</v>
      </c>
      <c r="K26" s="22">
        <f t="shared" si="4"/>
        <v>25.983495409903171</v>
      </c>
      <c r="L26" s="22">
        <f t="shared" si="5"/>
        <v>26.983495409903174</v>
      </c>
      <c r="M26" s="22">
        <f t="shared" si="6"/>
        <v>25.793326216387122</v>
      </c>
      <c r="N26" s="30">
        <f t="shared" si="7"/>
        <v>1.0461425247574276</v>
      </c>
      <c r="O26" s="22">
        <f t="shared" si="8"/>
        <v>22.671982737334478</v>
      </c>
      <c r="P26" s="14">
        <f t="shared" si="9"/>
        <v>5.2407728250360552</v>
      </c>
    </row>
    <row r="27" spans="1:16" x14ac:dyDescent="0.5">
      <c r="A27" s="23" t="str">
        <f>'raw data'!A675</f>
        <v>2002-08</v>
      </c>
      <c r="B27" s="32">
        <f>'raw data'!U675</f>
        <v>590682.6</v>
      </c>
      <c r="C27" s="20">
        <f>'raw data'!V675</f>
        <v>249804.6</v>
      </c>
      <c r="D27" s="20">
        <f t="shared" si="0"/>
        <v>6341618</v>
      </c>
      <c r="E27" s="18">
        <f>'raw data'!AH675</f>
        <v>6591422.5999999996</v>
      </c>
      <c r="F27" s="20">
        <f>'raw data'!AO675</f>
        <v>6297552.0999999996</v>
      </c>
      <c r="G27" s="20">
        <f>'raw data'!AS675</f>
        <v>5276239.1000000006</v>
      </c>
      <c r="H27" s="20">
        <f t="shared" si="1"/>
        <v>293870.5</v>
      </c>
      <c r="I27" s="20">
        <f t="shared" si="2"/>
        <v>1315183.4999999991</v>
      </c>
      <c r="J27" s="22">
        <f t="shared" si="3"/>
        <v>3.7898434853805312</v>
      </c>
      <c r="K27" s="22">
        <f t="shared" si="4"/>
        <v>25.386313942977832</v>
      </c>
      <c r="L27" s="22">
        <f t="shared" si="5"/>
        <v>26.386313942977829</v>
      </c>
      <c r="M27" s="22">
        <f t="shared" si="6"/>
        <v>25.209912467584662</v>
      </c>
      <c r="N27" s="30">
        <f t="shared" si="7"/>
        <v>1.046664242761882</v>
      </c>
      <c r="O27" s="22">
        <f t="shared" si="8"/>
        <v>22.429684503888616</v>
      </c>
      <c r="P27" s="14">
        <f t="shared" si="9"/>
        <v>5.011789305446734</v>
      </c>
    </row>
    <row r="28" spans="1:16" x14ac:dyDescent="0.5">
      <c r="A28" s="23" t="str">
        <f>'raw data'!A676</f>
        <v>2002-09</v>
      </c>
      <c r="B28" s="32">
        <f>'raw data'!U676</f>
        <v>598723.69999999995</v>
      </c>
      <c r="C28" s="20">
        <f>'raw data'!V676</f>
        <v>255537.5</v>
      </c>
      <c r="D28" s="20">
        <f t="shared" si="0"/>
        <v>6407455.5999999996</v>
      </c>
      <c r="E28" s="18">
        <f>'raw data'!AH676</f>
        <v>6662993.0999999996</v>
      </c>
      <c r="F28" s="20">
        <f>'raw data'!AO676</f>
        <v>6352250.7000000002</v>
      </c>
      <c r="G28" s="20">
        <f>'raw data'!AS676</f>
        <v>5303230.0999999996</v>
      </c>
      <c r="H28" s="20">
        <f t="shared" si="1"/>
        <v>310742.39999999944</v>
      </c>
      <c r="I28" s="20">
        <f t="shared" si="2"/>
        <v>1359763</v>
      </c>
      <c r="J28" s="22">
        <f t="shared" si="3"/>
        <v>3.8351758161058278</v>
      </c>
      <c r="K28" s="22">
        <f t="shared" si="4"/>
        <v>25.074423910384972</v>
      </c>
      <c r="L28" s="22">
        <f t="shared" si="5"/>
        <v>26.074423910384972</v>
      </c>
      <c r="M28" s="22">
        <f t="shared" si="6"/>
        <v>24.8583894731693</v>
      </c>
      <c r="N28" s="30">
        <f t="shared" si="7"/>
        <v>1.0489184723140728</v>
      </c>
      <c r="O28" s="22">
        <f t="shared" si="8"/>
        <v>21.442175576940937</v>
      </c>
      <c r="P28" s="14">
        <f t="shared" si="9"/>
        <v>4.9001135491993821</v>
      </c>
    </row>
    <row r="29" spans="1:16" x14ac:dyDescent="0.5">
      <c r="A29" s="23" t="str">
        <f>'raw data'!A677</f>
        <v>2002-10</v>
      </c>
      <c r="B29" s="32">
        <f>'raw data'!U677</f>
        <v>606254.69999999995</v>
      </c>
      <c r="C29" s="20">
        <f>'raw data'!V677</f>
        <v>255850</v>
      </c>
      <c r="D29" s="20">
        <f t="shared" si="0"/>
        <v>6499163.4000000004</v>
      </c>
      <c r="E29" s="18">
        <f>'raw data'!AH677</f>
        <v>6755013.4000000004</v>
      </c>
      <c r="F29" s="20">
        <f>'raw data'!AO677</f>
        <v>6425969.5999999996</v>
      </c>
      <c r="G29" s="20">
        <f>'raw data'!AS677</f>
        <v>5358484.5999999996</v>
      </c>
      <c r="H29" s="20">
        <f t="shared" si="1"/>
        <v>329043.80000000075</v>
      </c>
      <c r="I29" s="20">
        <f t="shared" si="2"/>
        <v>1396528.8000000007</v>
      </c>
      <c r="J29" s="22">
        <f t="shared" si="3"/>
        <v>3.7875572534023392</v>
      </c>
      <c r="K29" s="22">
        <f t="shared" si="4"/>
        <v>25.402241156927889</v>
      </c>
      <c r="L29" s="22">
        <f t="shared" si="5"/>
        <v>26.402241156927889</v>
      </c>
      <c r="M29" s="22">
        <f t="shared" si="6"/>
        <v>25.116160250146567</v>
      </c>
      <c r="N29" s="30">
        <f t="shared" si="7"/>
        <v>1.0512053153815109</v>
      </c>
      <c r="O29" s="22">
        <f t="shared" si="8"/>
        <v>20.529222553349996</v>
      </c>
      <c r="P29" s="14">
        <f t="shared" si="9"/>
        <v>4.8370025738101479</v>
      </c>
    </row>
    <row r="30" spans="1:16" x14ac:dyDescent="0.5">
      <c r="A30" s="23" t="str">
        <f>'raw data'!A678</f>
        <v>2002-11</v>
      </c>
      <c r="B30" s="32">
        <f>'raw data'!U678</f>
        <v>605519.5</v>
      </c>
      <c r="C30" s="20">
        <f>'raw data'!V678</f>
        <v>252094.5</v>
      </c>
      <c r="D30" s="20">
        <f t="shared" si="0"/>
        <v>6589977.7999999998</v>
      </c>
      <c r="E30" s="18">
        <f>'raw data'!AH678</f>
        <v>6842072.2999999998</v>
      </c>
      <c r="F30" s="20">
        <f>'raw data'!AO678</f>
        <v>6518168</v>
      </c>
      <c r="G30" s="20">
        <f>'raw data'!AS678</f>
        <v>5378393</v>
      </c>
      <c r="H30" s="20">
        <f t="shared" si="1"/>
        <v>323904.29999999981</v>
      </c>
      <c r="I30" s="20">
        <f t="shared" si="2"/>
        <v>1463679.2999999998</v>
      </c>
      <c r="J30" s="22">
        <f t="shared" si="3"/>
        <v>3.6844758275939298</v>
      </c>
      <c r="K30" s="22">
        <f t="shared" si="4"/>
        <v>26.140902717036667</v>
      </c>
      <c r="L30" s="22">
        <f t="shared" si="5"/>
        <v>27.140902717036667</v>
      </c>
      <c r="M30" s="22">
        <f t="shared" si="6"/>
        <v>25.856050012991162</v>
      </c>
      <c r="N30" s="30">
        <f t="shared" si="7"/>
        <v>1.0496925363077478</v>
      </c>
      <c r="O30" s="22">
        <f t="shared" si="8"/>
        <v>21.123746427571366</v>
      </c>
      <c r="P30" s="14">
        <f t="shared" si="9"/>
        <v>4.674570652191365</v>
      </c>
    </row>
    <row r="31" spans="1:16" x14ac:dyDescent="0.5">
      <c r="A31" s="23" t="str">
        <f>'raw data'!A679</f>
        <v>2002-12</v>
      </c>
      <c r="B31" s="32">
        <f>'raw data'!U679</f>
        <v>610947.6</v>
      </c>
      <c r="C31" s="20">
        <f>'raw data'!V679</f>
        <v>254992</v>
      </c>
      <c r="D31" s="20">
        <f t="shared" si="0"/>
        <v>6679435.7000000002</v>
      </c>
      <c r="E31" s="18">
        <f>'raw data'!AH679</f>
        <v>6934427.7000000002</v>
      </c>
      <c r="F31" s="20">
        <f>'raw data'!AO679</f>
        <v>6607436.9000000004</v>
      </c>
      <c r="G31" s="20">
        <f>'raw data'!AS679</f>
        <v>5344775.7</v>
      </c>
      <c r="H31" s="20">
        <f t="shared" si="1"/>
        <v>326990.79999999981</v>
      </c>
      <c r="I31" s="20">
        <f t="shared" si="2"/>
        <v>1589652</v>
      </c>
      <c r="J31" s="22">
        <f t="shared" si="3"/>
        <v>3.677188818336083</v>
      </c>
      <c r="K31" s="22">
        <f t="shared" si="4"/>
        <v>26.194687284306958</v>
      </c>
      <c r="L31" s="22">
        <f t="shared" si="5"/>
        <v>27.194687284306958</v>
      </c>
      <c r="M31" s="22">
        <f t="shared" si="6"/>
        <v>25.912330190751085</v>
      </c>
      <c r="N31" s="30">
        <f t="shared" si="7"/>
        <v>1.049488297042988</v>
      </c>
      <c r="O31" s="22">
        <f t="shared" si="8"/>
        <v>21.206797561276964</v>
      </c>
      <c r="P31" s="14">
        <f t="shared" si="9"/>
        <v>4.362230035252999</v>
      </c>
    </row>
    <row r="32" spans="1:16" x14ac:dyDescent="0.5">
      <c r="A32" s="23" t="str">
        <f>'raw data'!A680</f>
        <v>2003-01</v>
      </c>
      <c r="B32" s="32">
        <f>'raw data'!U680</f>
        <v>610198.19999999995</v>
      </c>
      <c r="C32" s="20">
        <f>'raw data'!V680</f>
        <v>251182.2</v>
      </c>
      <c r="D32" s="20">
        <f t="shared" si="0"/>
        <v>6661770.7000000002</v>
      </c>
      <c r="E32" s="18">
        <f>'raw data'!AH680</f>
        <v>6912952.9000000004</v>
      </c>
      <c r="F32" s="20">
        <f>'raw data'!AO680</f>
        <v>6599094.5999999996</v>
      </c>
      <c r="G32" s="20">
        <f>'raw data'!AS680</f>
        <v>5379785</v>
      </c>
      <c r="H32" s="20">
        <f t="shared" si="1"/>
        <v>313858.30000000075</v>
      </c>
      <c r="I32" s="20">
        <f t="shared" si="2"/>
        <v>1533167.9000000004</v>
      </c>
      <c r="J32" s="22">
        <f t="shared" si="3"/>
        <v>3.6335008155487363</v>
      </c>
      <c r="K32" s="22">
        <f t="shared" si="4"/>
        <v>26.521667140426352</v>
      </c>
      <c r="L32" s="22">
        <f t="shared" si="5"/>
        <v>27.521667140426352</v>
      </c>
      <c r="M32" s="22">
        <f t="shared" si="6"/>
        <v>26.272142691639772</v>
      </c>
      <c r="N32" s="30">
        <f t="shared" si="7"/>
        <v>1.0475608123575013</v>
      </c>
      <c r="O32" s="22">
        <f t="shared" si="8"/>
        <v>22.025713196050525</v>
      </c>
      <c r="P32" s="14">
        <f t="shared" si="9"/>
        <v>4.5089340182507076</v>
      </c>
    </row>
    <row r="33" spans="1:17" x14ac:dyDescent="0.5">
      <c r="A33" s="23" t="str">
        <f>'raw data'!A681</f>
        <v>2003-02</v>
      </c>
      <c r="B33" s="32">
        <f>'raw data'!U681</f>
        <v>608572.69999999995</v>
      </c>
      <c r="C33" s="20">
        <f>'raw data'!V681</f>
        <v>247057.2</v>
      </c>
      <c r="D33" s="20">
        <f t="shared" si="0"/>
        <v>6751721.5</v>
      </c>
      <c r="E33" s="18">
        <f>'raw data'!AH681</f>
        <v>6998778.7000000002</v>
      </c>
      <c r="F33" s="20">
        <f>'raw data'!AO681</f>
        <v>6670175.2999999998</v>
      </c>
      <c r="G33" s="20">
        <f>'raw data'!AS681</f>
        <v>5438014.7000000002</v>
      </c>
      <c r="H33" s="20">
        <f t="shared" si="1"/>
        <v>328603.40000000037</v>
      </c>
      <c r="I33" s="20">
        <f t="shared" si="2"/>
        <v>1560764</v>
      </c>
      <c r="J33" s="22">
        <f t="shared" si="3"/>
        <v>3.5300044563489341</v>
      </c>
      <c r="K33" s="22">
        <f t="shared" si="4"/>
        <v>27.328576135405079</v>
      </c>
      <c r="L33" s="22">
        <f t="shared" si="5"/>
        <v>28.328576135405079</v>
      </c>
      <c r="M33" s="22">
        <f t="shared" si="6"/>
        <v>26.9985060139919</v>
      </c>
      <c r="N33" s="30">
        <f t="shared" si="7"/>
        <v>1.0492645822966602</v>
      </c>
      <c r="O33" s="22">
        <f t="shared" si="8"/>
        <v>21.298558383753765</v>
      </c>
      <c r="P33" s="14">
        <f t="shared" si="9"/>
        <v>4.4842004941169842</v>
      </c>
    </row>
    <row r="34" spans="1:17" x14ac:dyDescent="0.5">
      <c r="A34" s="23" t="str">
        <f>'raw data'!A682</f>
        <v>2003-03</v>
      </c>
      <c r="B34" s="32">
        <f>'raw data'!U682</f>
        <v>603353.1</v>
      </c>
      <c r="C34" s="20">
        <f>'raw data'!V682</f>
        <v>243718.5</v>
      </c>
      <c r="D34" s="20">
        <f t="shared" si="0"/>
        <v>6799158.0999999996</v>
      </c>
      <c r="E34" s="18">
        <f>'raw data'!AH682</f>
        <v>7042876.5999999996</v>
      </c>
      <c r="F34" s="20">
        <f>'raw data'!AO682</f>
        <v>6714315.4000000004</v>
      </c>
      <c r="G34" s="20">
        <f>'raw data'!AS682</f>
        <v>5463388.5</v>
      </c>
      <c r="H34" s="20">
        <f t="shared" si="1"/>
        <v>328561.19999999925</v>
      </c>
      <c r="I34" s="20">
        <f t="shared" si="2"/>
        <v>1579488.0999999996</v>
      </c>
      <c r="J34" s="22">
        <f t="shared" si="3"/>
        <v>3.4604965249568624</v>
      </c>
      <c r="K34" s="22">
        <f t="shared" si="4"/>
        <v>27.897587175368301</v>
      </c>
      <c r="L34" s="22">
        <f t="shared" si="5"/>
        <v>28.897587175368301</v>
      </c>
      <c r="M34" s="22">
        <f t="shared" si="6"/>
        <v>27.549469572478085</v>
      </c>
      <c r="N34" s="30">
        <f t="shared" si="7"/>
        <v>1.0489344304558583</v>
      </c>
      <c r="O34" s="22">
        <f t="shared" si="8"/>
        <v>21.435509122805783</v>
      </c>
      <c r="P34" s="14">
        <f t="shared" si="9"/>
        <v>4.4589614825208255</v>
      </c>
    </row>
    <row r="35" spans="1:17" x14ac:dyDescent="0.5">
      <c r="A35" s="23" t="str">
        <f>'raw data'!A683</f>
        <v>2003-04</v>
      </c>
      <c r="B35" s="32">
        <f>'raw data'!U683</f>
        <v>602293.1</v>
      </c>
      <c r="C35" s="20">
        <f>'raw data'!V683</f>
        <v>239855.9</v>
      </c>
      <c r="D35" s="20">
        <f t="shared" si="0"/>
        <v>6828500.5999999996</v>
      </c>
      <c r="E35" s="18">
        <f>'raw data'!AH683</f>
        <v>7068356.5</v>
      </c>
      <c r="F35" s="20">
        <f>'raw data'!AO683</f>
        <v>6720037.2999999998</v>
      </c>
      <c r="G35" s="20">
        <f>'raw data'!AS683</f>
        <v>5453323.7999999998</v>
      </c>
      <c r="H35" s="20">
        <f t="shared" si="1"/>
        <v>348319.20000000019</v>
      </c>
      <c r="I35" s="20">
        <f t="shared" si="2"/>
        <v>1615032.7000000002</v>
      </c>
      <c r="J35" s="22">
        <f t="shared" si="3"/>
        <v>3.3933758151558995</v>
      </c>
      <c r="K35" s="22">
        <f t="shared" si="4"/>
        <v>28.469179203013141</v>
      </c>
      <c r="L35" s="22">
        <f t="shared" si="5"/>
        <v>29.469179203013145</v>
      </c>
      <c r="M35" s="22">
        <f t="shared" si="6"/>
        <v>28.016977276773261</v>
      </c>
      <c r="N35" s="30">
        <f t="shared" si="7"/>
        <v>1.0518329265821189</v>
      </c>
      <c r="O35" s="22">
        <f t="shared" si="8"/>
        <v>20.292755897464154</v>
      </c>
      <c r="P35" s="14">
        <f t="shared" si="9"/>
        <v>4.3766027152267561</v>
      </c>
    </row>
    <row r="36" spans="1:17" x14ac:dyDescent="0.5">
      <c r="A36" s="23" t="str">
        <f>'raw data'!A684</f>
        <v>2003-05</v>
      </c>
      <c r="B36" s="32">
        <f>'raw data'!U684</f>
        <v>613210</v>
      </c>
      <c r="C36" s="20">
        <f>'raw data'!V684</f>
        <v>248238</v>
      </c>
      <c r="D36" s="20">
        <f t="shared" si="0"/>
        <v>6948343.7999999998</v>
      </c>
      <c r="E36" s="18">
        <f>'raw data'!AH684</f>
        <v>7196581.7999999998</v>
      </c>
      <c r="F36" s="20">
        <f>'raw data'!AO684</f>
        <v>6833941.0999999996</v>
      </c>
      <c r="G36" s="20">
        <f>'raw data'!AS684</f>
        <v>5501537.7999999998</v>
      </c>
      <c r="H36" s="20">
        <f t="shared" si="1"/>
        <v>362640.70000000019</v>
      </c>
      <c r="I36" s="20">
        <f t="shared" si="2"/>
        <v>1695044</v>
      </c>
      <c r="J36" s="22">
        <f t="shared" si="3"/>
        <v>3.4493875967615626</v>
      </c>
      <c r="K36" s="22">
        <f t="shared" si="4"/>
        <v>27.990653324632007</v>
      </c>
      <c r="L36" s="22">
        <f t="shared" si="5"/>
        <v>28.990653324632007</v>
      </c>
      <c r="M36" s="22">
        <f t="shared" si="6"/>
        <v>27.529794390866829</v>
      </c>
      <c r="N36" s="30">
        <f t="shared" si="7"/>
        <v>1.0530646510839843</v>
      </c>
      <c r="O36" s="22">
        <f t="shared" si="8"/>
        <v>19.84493687553547</v>
      </c>
      <c r="P36" s="14">
        <f t="shared" si="9"/>
        <v>4.2456607616085478</v>
      </c>
    </row>
    <row r="37" spans="1:17" x14ac:dyDescent="0.5">
      <c r="A37" s="23" t="str">
        <f>'raw data'!A685</f>
        <v>2003-06</v>
      </c>
      <c r="B37" s="32">
        <f>'raw data'!U685</f>
        <v>613366.6</v>
      </c>
      <c r="C37" s="20">
        <f>'raw data'!V685</f>
        <v>245189.6</v>
      </c>
      <c r="D37" s="20">
        <f t="shared" si="0"/>
        <v>7035389.8000000007</v>
      </c>
      <c r="E37" s="18">
        <f>'raw data'!AH685</f>
        <v>7280579.4000000004</v>
      </c>
      <c r="F37" s="20">
        <f>'raw data'!AO685</f>
        <v>6910782.9000000004</v>
      </c>
      <c r="G37" s="20">
        <f>'raw data'!AS685</f>
        <v>5543478</v>
      </c>
      <c r="H37" s="20">
        <f t="shared" si="1"/>
        <v>369796.5</v>
      </c>
      <c r="I37" s="20">
        <f t="shared" si="2"/>
        <v>1737101.4000000004</v>
      </c>
      <c r="J37" s="22">
        <f t="shared" si="3"/>
        <v>3.3677209811076296</v>
      </c>
      <c r="K37" s="22">
        <f t="shared" si="4"/>
        <v>28.693671346582402</v>
      </c>
      <c r="L37" s="22">
        <f t="shared" si="5"/>
        <v>29.693671346582402</v>
      </c>
      <c r="M37" s="22">
        <f t="shared" si="6"/>
        <v>28.18546504419437</v>
      </c>
      <c r="N37" s="30">
        <f t="shared" si="7"/>
        <v>1.0535100733666514</v>
      </c>
      <c r="O37" s="22">
        <f t="shared" si="8"/>
        <v>19.688070060154708</v>
      </c>
      <c r="P37" s="14">
        <f t="shared" si="9"/>
        <v>4.1912230339576029</v>
      </c>
    </row>
    <row r="38" spans="1:17" x14ac:dyDescent="0.5">
      <c r="A38" s="23" t="str">
        <f>'raw data'!A686</f>
        <v>2003-07</v>
      </c>
      <c r="B38" s="32">
        <f>'raw data'!U686</f>
        <v>617939.4</v>
      </c>
      <c r="C38" s="20">
        <f>'raw data'!V686</f>
        <v>245820.79999999999</v>
      </c>
      <c r="D38" s="20">
        <f t="shared" si="0"/>
        <v>7059945.4000000004</v>
      </c>
      <c r="E38" s="18">
        <f>'raw data'!AH686</f>
        <v>7305766.2000000002</v>
      </c>
      <c r="F38" s="20">
        <f>'raw data'!AO686</f>
        <v>6950692.0999999996</v>
      </c>
      <c r="G38" s="20">
        <f>'raw data'!AS686</f>
        <v>5589842.6999999993</v>
      </c>
      <c r="H38" s="20">
        <f t="shared" si="1"/>
        <v>355074.10000000056</v>
      </c>
      <c r="I38" s="20">
        <f t="shared" si="2"/>
        <v>1715923.5000000009</v>
      </c>
      <c r="J38" s="22">
        <f t="shared" si="3"/>
        <v>3.3647504350741473</v>
      </c>
      <c r="K38" s="22">
        <f t="shared" si="4"/>
        <v>28.719886193519834</v>
      </c>
      <c r="L38" s="22">
        <f t="shared" si="5"/>
        <v>29.719886193519834</v>
      </c>
      <c r="M38" s="22">
        <f t="shared" si="6"/>
        <v>28.275443331076946</v>
      </c>
      <c r="N38" s="30">
        <f t="shared" si="7"/>
        <v>1.0510847114059334</v>
      </c>
      <c r="O38" s="22">
        <f t="shared" si="8"/>
        <v>20.575328361037847</v>
      </c>
      <c r="P38" s="14">
        <f t="shared" si="9"/>
        <v>4.2576293173908955</v>
      </c>
    </row>
    <row r="39" spans="1:17" x14ac:dyDescent="0.5">
      <c r="A39" s="23" t="str">
        <f>'raw data'!A687</f>
        <v>2003-08</v>
      </c>
      <c r="B39" s="32">
        <f>'raw data'!U687</f>
        <v>618795.1</v>
      </c>
      <c r="C39" s="20">
        <f>'raw data'!V687</f>
        <v>245567.6</v>
      </c>
      <c r="D39" s="20">
        <f t="shared" si="0"/>
        <v>7067359.4000000004</v>
      </c>
      <c r="E39" s="18">
        <f>'raw data'!AH687</f>
        <v>7312927</v>
      </c>
      <c r="F39" s="20">
        <f>'raw data'!AO687</f>
        <v>6956933.4000000004</v>
      </c>
      <c r="G39" s="20">
        <f>'raw data'!AS687</f>
        <v>5621517.7000000002</v>
      </c>
      <c r="H39" s="20">
        <f t="shared" si="1"/>
        <v>355993.59999999963</v>
      </c>
      <c r="I39" s="20">
        <f t="shared" si="2"/>
        <v>1691409.2999999998</v>
      </c>
      <c r="J39" s="22">
        <f t="shared" si="3"/>
        <v>3.3579933178602772</v>
      </c>
      <c r="K39" s="22">
        <f t="shared" si="4"/>
        <v>28.779689991676427</v>
      </c>
      <c r="L39" s="22">
        <f t="shared" si="5"/>
        <v>29.779689991676424</v>
      </c>
      <c r="M39" s="22">
        <f t="shared" si="6"/>
        <v>28.330013405677295</v>
      </c>
      <c r="N39" s="30">
        <f t="shared" si="7"/>
        <v>1.0511710518890407</v>
      </c>
      <c r="O39" s="22">
        <f t="shared" si="8"/>
        <v>20.542299075039573</v>
      </c>
      <c r="P39" s="14">
        <f t="shared" si="9"/>
        <v>4.3235702913540806</v>
      </c>
    </row>
    <row r="40" spans="1:17" x14ac:dyDescent="0.5">
      <c r="A40" s="23" t="str">
        <f>'raw data'!A688</f>
        <v>2003-09</v>
      </c>
      <c r="B40" s="32">
        <f>'raw data'!U688</f>
        <v>618248.5</v>
      </c>
      <c r="C40" s="20">
        <f>'raw data'!V688</f>
        <v>244047.2</v>
      </c>
      <c r="D40" s="20">
        <f t="shared" si="0"/>
        <v>7032531.2999999998</v>
      </c>
      <c r="E40" s="18">
        <f>'raw data'!AH688</f>
        <v>7276578.5</v>
      </c>
      <c r="F40" s="20">
        <f>'raw data'!AO688</f>
        <v>6910878.0999999996</v>
      </c>
      <c r="G40" s="20">
        <f>'raw data'!AS688</f>
        <v>5607037.4000000004</v>
      </c>
      <c r="H40" s="20">
        <f t="shared" si="1"/>
        <v>365700.40000000037</v>
      </c>
      <c r="I40" s="20">
        <f t="shared" si="2"/>
        <v>1669541.0999999996</v>
      </c>
      <c r="J40" s="22">
        <f t="shared" si="3"/>
        <v>3.3538729775264571</v>
      </c>
      <c r="K40" s="22">
        <f t="shared" si="4"/>
        <v>28.816275294287333</v>
      </c>
      <c r="L40" s="22">
        <f t="shared" si="5"/>
        <v>29.816275294287333</v>
      </c>
      <c r="M40" s="22">
        <f t="shared" si="6"/>
        <v>28.317793033478768</v>
      </c>
      <c r="N40" s="30">
        <f t="shared" si="7"/>
        <v>1.0529166329818493</v>
      </c>
      <c r="O40" s="22">
        <f t="shared" si="8"/>
        <v>19.897649824829266</v>
      </c>
      <c r="P40" s="14">
        <f t="shared" si="9"/>
        <v>4.3584302896167104</v>
      </c>
    </row>
    <row r="41" spans="1:17" x14ac:dyDescent="0.5">
      <c r="A41" s="23" t="str">
        <f>'raw data'!A689</f>
        <v>2003-10</v>
      </c>
      <c r="B41" s="32">
        <f>'raw data'!U689</f>
        <v>617352.5</v>
      </c>
      <c r="C41" s="20">
        <f>'raw data'!V689</f>
        <v>241731.9</v>
      </c>
      <c r="D41" s="20">
        <f t="shared" si="0"/>
        <v>7015983.5</v>
      </c>
      <c r="E41" s="18">
        <f>'raw data'!AH689</f>
        <v>7257715.4000000004</v>
      </c>
      <c r="F41" s="20">
        <f>'raw data'!AO689</f>
        <v>6887707.2000000002</v>
      </c>
      <c r="G41" s="20">
        <f>'raw data'!AS689</f>
        <v>5569042.5999999996</v>
      </c>
      <c r="H41" s="20">
        <f t="shared" si="1"/>
        <v>370008.20000000019</v>
      </c>
      <c r="I41" s="20">
        <f t="shared" si="2"/>
        <v>1688672.8000000007</v>
      </c>
      <c r="J41" s="22">
        <f t="shared" si="3"/>
        <v>3.3306886076023314</v>
      </c>
      <c r="K41" s="22">
        <f t="shared" si="4"/>
        <v>29.023821431925203</v>
      </c>
      <c r="L41" s="22">
        <f t="shared" si="5"/>
        <v>30.023821431925207</v>
      </c>
      <c r="M41" s="22">
        <f t="shared" si="6"/>
        <v>28.49316618948513</v>
      </c>
      <c r="N41" s="30">
        <f t="shared" si="7"/>
        <v>1.0537200826423052</v>
      </c>
      <c r="O41" s="22">
        <f t="shared" si="8"/>
        <v>19.615012315943261</v>
      </c>
      <c r="P41" s="14">
        <f t="shared" si="9"/>
        <v>4.2978813894556707</v>
      </c>
    </row>
    <row r="42" spans="1:17" x14ac:dyDescent="0.5">
      <c r="A42" s="23" t="str">
        <f>'raw data'!A690</f>
        <v>2003-11</v>
      </c>
      <c r="B42" s="32">
        <f>'raw data'!U690</f>
        <v>646436.80000000005</v>
      </c>
      <c r="C42" s="20">
        <f>'raw data'!V690</f>
        <v>271378.3</v>
      </c>
      <c r="D42" s="20">
        <f t="shared" si="0"/>
        <v>7006895</v>
      </c>
      <c r="E42" s="18">
        <f>'raw data'!AH690</f>
        <v>7278273.2999999998</v>
      </c>
      <c r="F42" s="20">
        <f>'raw data'!AO690</f>
        <v>6909239.4000000004</v>
      </c>
      <c r="G42" s="20">
        <f>'raw data'!AS690</f>
        <v>5603547</v>
      </c>
      <c r="H42" s="20">
        <f t="shared" si="1"/>
        <v>369033.89999999944</v>
      </c>
      <c r="I42" s="20">
        <f t="shared" si="2"/>
        <v>1674726.2999999998</v>
      </c>
      <c r="J42" s="22">
        <f t="shared" si="3"/>
        <v>3.7286082675680778</v>
      </c>
      <c r="K42" s="22">
        <f t="shared" si="4"/>
        <v>25.819658388308866</v>
      </c>
      <c r="L42" s="22">
        <f t="shared" si="5"/>
        <v>26.819658388308866</v>
      </c>
      <c r="M42" s="22">
        <f t="shared" si="6"/>
        <v>25.459807950746249</v>
      </c>
      <c r="N42" s="30">
        <f t="shared" si="7"/>
        <v>1.0534116533869124</v>
      </c>
      <c r="O42" s="22">
        <f t="shared" si="8"/>
        <v>19.722505981157859</v>
      </c>
      <c r="P42" s="14">
        <f t="shared" si="9"/>
        <v>4.3459479319098291</v>
      </c>
    </row>
    <row r="43" spans="1:17" x14ac:dyDescent="0.5">
      <c r="A43" s="23" t="str">
        <f>'raw data'!A691</f>
        <v>2003-12</v>
      </c>
      <c r="B43" s="32">
        <f>'raw data'!U691</f>
        <v>664772.1</v>
      </c>
      <c r="C43" s="20">
        <f>'raw data'!V691</f>
        <v>280989.7</v>
      </c>
      <c r="D43" s="20">
        <f t="shared" si="0"/>
        <v>7033550.5</v>
      </c>
      <c r="E43" s="18">
        <f>'raw data'!AH691</f>
        <v>7314540.2000000002</v>
      </c>
      <c r="F43" s="20">
        <f>'raw data'!AO691</f>
        <v>6930551.9000000004</v>
      </c>
      <c r="G43" s="20">
        <f>'raw data'!AS691</f>
        <v>5631953.5999999996</v>
      </c>
      <c r="H43" s="20">
        <f t="shared" si="1"/>
        <v>383988.29999999981</v>
      </c>
      <c r="I43" s="20">
        <f t="shared" si="2"/>
        <v>1682586.6000000006</v>
      </c>
      <c r="J43" s="22">
        <f t="shared" si="3"/>
        <v>3.8415223967187986</v>
      </c>
      <c r="K43" s="22">
        <f t="shared" si="4"/>
        <v>25.031346344723666</v>
      </c>
      <c r="L43" s="22">
        <f t="shared" si="5"/>
        <v>26.031346344723666</v>
      </c>
      <c r="M43" s="22">
        <f t="shared" si="6"/>
        <v>24.664789848168812</v>
      </c>
      <c r="N43" s="30">
        <f t="shared" si="7"/>
        <v>1.0554051546746226</v>
      </c>
      <c r="O43" s="22">
        <f t="shared" si="8"/>
        <v>19.048862165852459</v>
      </c>
      <c r="P43" s="14">
        <f t="shared" si="9"/>
        <v>4.3471998410066961</v>
      </c>
    </row>
    <row r="44" spans="1:17" s="28" customFormat="1" x14ac:dyDescent="0.5">
      <c r="A44" s="24" t="str">
        <f>'raw data'!A692</f>
        <v>2004-01</v>
      </c>
      <c r="B44" s="34">
        <f>'raw data'!U692</f>
        <v>671934.4</v>
      </c>
      <c r="C44" s="25">
        <f>'raw data'!V692</f>
        <v>283276.59999999998</v>
      </c>
      <c r="D44" s="25">
        <f t="shared" si="0"/>
        <v>7118876.4000000004</v>
      </c>
      <c r="E44" s="26">
        <f>'raw data'!AH692</f>
        <v>7402153</v>
      </c>
      <c r="F44" s="25">
        <f>'raw data'!AO692</f>
        <v>7023084</v>
      </c>
      <c r="G44" s="20">
        <f>'raw data'!AS692</f>
        <v>5684357.3999999994</v>
      </c>
      <c r="H44" s="25">
        <f t="shared" si="1"/>
        <v>379069</v>
      </c>
      <c r="I44" s="20">
        <f t="shared" si="2"/>
        <v>1717795.6000000006</v>
      </c>
      <c r="J44" s="27">
        <f t="shared" si="3"/>
        <v>3.8269487269447144</v>
      </c>
      <c r="K44" s="27">
        <f t="shared" si="4"/>
        <v>25.130478126326004</v>
      </c>
      <c r="L44" s="27">
        <f t="shared" si="5"/>
        <v>26.130478126326004</v>
      </c>
      <c r="M44" s="27">
        <f t="shared" si="6"/>
        <v>24.792319591522915</v>
      </c>
      <c r="N44" s="31">
        <f t="shared" si="7"/>
        <v>1.0539747210769514</v>
      </c>
      <c r="O44" s="27">
        <f t="shared" si="8"/>
        <v>19.527191619467697</v>
      </c>
      <c r="P44" s="14">
        <f t="shared" si="9"/>
        <v>4.3090999883804555</v>
      </c>
      <c r="Q44" s="28" t="s">
        <v>1056</v>
      </c>
    </row>
    <row r="45" spans="1:17" s="28" customFormat="1" x14ac:dyDescent="0.5">
      <c r="A45" s="24" t="str">
        <f>'raw data'!A693</f>
        <v>2004-02</v>
      </c>
      <c r="B45" s="34">
        <f>'raw data'!U693</f>
        <v>671297.8</v>
      </c>
      <c r="C45" s="25">
        <f>'raw data'!V693</f>
        <v>281560.2</v>
      </c>
      <c r="D45" s="25">
        <f t="shared" si="0"/>
        <v>7239054.5999999996</v>
      </c>
      <c r="E45" s="26">
        <f>'raw data'!AH693</f>
        <v>7520614.7999999998</v>
      </c>
      <c r="F45" s="25">
        <f>'raw data'!AO693</f>
        <v>7130441.0999999996</v>
      </c>
      <c r="G45" s="20">
        <f>'raw data'!AS693</f>
        <v>5749278.8999999994</v>
      </c>
      <c r="H45" s="25">
        <f t="shared" si="1"/>
        <v>390173.70000000019</v>
      </c>
      <c r="I45" s="20">
        <f t="shared" si="2"/>
        <v>1771335.9000000004</v>
      </c>
      <c r="J45" s="27">
        <f t="shared" si="3"/>
        <v>3.7438455164596389</v>
      </c>
      <c r="K45" s="27">
        <f t="shared" si="4"/>
        <v>25.710503828310959</v>
      </c>
      <c r="L45" s="27">
        <f t="shared" si="5"/>
        <v>26.710503828310959</v>
      </c>
      <c r="M45" s="27">
        <f t="shared" si="6"/>
        <v>25.324747957985537</v>
      </c>
      <c r="N45" s="31">
        <f t="shared" si="7"/>
        <v>1.0547194338369894</v>
      </c>
      <c r="O45" s="27">
        <f t="shared" si="8"/>
        <v>19.27504288474594</v>
      </c>
      <c r="P45" s="14">
        <f t="shared" si="9"/>
        <v>4.2457304681737655</v>
      </c>
      <c r="Q45" s="29">
        <f>AVERAGE(J44:J55)</f>
        <v>3.6979737130567236</v>
      </c>
    </row>
    <row r="46" spans="1:17" s="28" customFormat="1" x14ac:dyDescent="0.5">
      <c r="A46" s="24" t="str">
        <f>'raw data'!A694</f>
        <v>2004-03</v>
      </c>
      <c r="B46" s="34">
        <f>'raw data'!U694</f>
        <v>669655.6</v>
      </c>
      <c r="C46" s="25">
        <f>'raw data'!V694</f>
        <v>279474.5</v>
      </c>
      <c r="D46" s="25">
        <f t="shared" si="0"/>
        <v>7272080.7999999998</v>
      </c>
      <c r="E46" s="26">
        <f>'raw data'!AH694</f>
        <v>7551555.2999999998</v>
      </c>
      <c r="F46" s="25">
        <f>'raw data'!AO694</f>
        <v>7160907.0999999996</v>
      </c>
      <c r="G46" s="20">
        <f>'raw data'!AS694</f>
        <v>5828558.7999999998</v>
      </c>
      <c r="H46" s="25">
        <f t="shared" si="1"/>
        <v>390648.20000000019</v>
      </c>
      <c r="I46" s="20">
        <f t="shared" si="2"/>
        <v>1722996.5</v>
      </c>
      <c r="J46" s="27">
        <f t="shared" si="3"/>
        <v>3.7008866239779774</v>
      </c>
      <c r="K46" s="27">
        <f t="shared" si="4"/>
        <v>26.020552143397698</v>
      </c>
      <c r="L46" s="27">
        <f t="shared" si="5"/>
        <v>27.020552143397698</v>
      </c>
      <c r="M46" s="27">
        <f t="shared" si="6"/>
        <v>25.622756637904352</v>
      </c>
      <c r="N46" s="31">
        <f t="shared" si="7"/>
        <v>1.0545528931662862</v>
      </c>
      <c r="O46" s="27">
        <f t="shared" si="8"/>
        <v>19.330833471138472</v>
      </c>
      <c r="P46" s="14">
        <f t="shared" si="9"/>
        <v>4.3828036214815294</v>
      </c>
      <c r="Q46" s="28" t="s">
        <v>1057</v>
      </c>
    </row>
    <row r="47" spans="1:17" s="28" customFormat="1" x14ac:dyDescent="0.5">
      <c r="A47" s="24" t="str">
        <f>'raw data'!A695</f>
        <v>2004-04</v>
      </c>
      <c r="B47" s="34">
        <f>'raw data'!U695</f>
        <v>672082.9</v>
      </c>
      <c r="C47" s="25">
        <f>'raw data'!V695</f>
        <v>281049.09999999998</v>
      </c>
      <c r="D47" s="25">
        <f t="shared" si="0"/>
        <v>7357249.4000000004</v>
      </c>
      <c r="E47" s="26">
        <f>'raw data'!AH695</f>
        <v>7638298.5</v>
      </c>
      <c r="F47" s="25">
        <f>'raw data'!AO695</f>
        <v>7202602.0999999996</v>
      </c>
      <c r="G47" s="20">
        <f>'raw data'!AS695</f>
        <v>5891009</v>
      </c>
      <c r="H47" s="25">
        <f t="shared" si="1"/>
        <v>435696.40000000037</v>
      </c>
      <c r="I47" s="20">
        <f t="shared" si="2"/>
        <v>1747289.5</v>
      </c>
      <c r="J47" s="27">
        <f t="shared" si="3"/>
        <v>3.6794725945837277</v>
      </c>
      <c r="K47" s="27">
        <f t="shared" si="4"/>
        <v>26.177808076951681</v>
      </c>
      <c r="L47" s="27">
        <f t="shared" si="5"/>
        <v>27.177808076951681</v>
      </c>
      <c r="M47" s="27">
        <f t="shared" si="6"/>
        <v>25.627557960512949</v>
      </c>
      <c r="N47" s="31">
        <f t="shared" si="7"/>
        <v>1.0604915270829691</v>
      </c>
      <c r="O47" s="27">
        <f t="shared" si="8"/>
        <v>17.531240790605555</v>
      </c>
      <c r="P47" s="14">
        <f t="shared" si="9"/>
        <v>4.3715128489011121</v>
      </c>
      <c r="Q47" s="29">
        <f>AVERAGE(O44:O55)</f>
        <v>18.060952483191663</v>
      </c>
    </row>
    <row r="48" spans="1:17" s="28" customFormat="1" x14ac:dyDescent="0.5">
      <c r="A48" s="24" t="str">
        <f>'raw data'!A696</f>
        <v>2004-05</v>
      </c>
      <c r="B48" s="34">
        <f>'raw data'!U696</f>
        <v>677176.8</v>
      </c>
      <c r="C48" s="25">
        <f>'raw data'!V696</f>
        <v>284903.90000000002</v>
      </c>
      <c r="D48" s="25">
        <f t="shared" si="0"/>
        <v>7379888.3999999994</v>
      </c>
      <c r="E48" s="26">
        <f>'raw data'!AH696</f>
        <v>7664792.2999999998</v>
      </c>
      <c r="F48" s="25">
        <f>'raw data'!AO696</f>
        <v>7233687.2000000002</v>
      </c>
      <c r="G48" s="20">
        <f>'raw data'!AS696</f>
        <v>6000669.6999999993</v>
      </c>
      <c r="H48" s="25">
        <f t="shared" si="1"/>
        <v>431105.09999999963</v>
      </c>
      <c r="I48" s="20">
        <f t="shared" si="2"/>
        <v>1664122.6000000006</v>
      </c>
      <c r="J48" s="27">
        <f t="shared" si="3"/>
        <v>3.7170465793313152</v>
      </c>
      <c r="K48" s="27">
        <f t="shared" si="4"/>
        <v>25.903079599822952</v>
      </c>
      <c r="L48" s="27">
        <f t="shared" si="5"/>
        <v>26.903079599822956</v>
      </c>
      <c r="M48" s="27">
        <f t="shared" si="6"/>
        <v>25.389919899306395</v>
      </c>
      <c r="N48" s="31">
        <f t="shared" si="7"/>
        <v>1.0595968678324934</v>
      </c>
      <c r="O48" s="27">
        <f t="shared" si="8"/>
        <v>17.779405300470827</v>
      </c>
      <c r="P48" s="14">
        <f t="shared" si="9"/>
        <v>4.6059060191839212</v>
      </c>
      <c r="Q48" s="28" t="s">
        <v>1052</v>
      </c>
    </row>
    <row r="49" spans="1:17" s="28" customFormat="1" x14ac:dyDescent="0.5">
      <c r="A49" s="24" t="str">
        <f>'raw data'!A697</f>
        <v>2004-06</v>
      </c>
      <c r="B49" s="34">
        <f>'raw data'!U697</f>
        <v>679977.5</v>
      </c>
      <c r="C49" s="25">
        <f>'raw data'!V697</f>
        <v>287433.59999999998</v>
      </c>
      <c r="D49" s="25">
        <f t="shared" si="0"/>
        <v>7454905.4000000004</v>
      </c>
      <c r="E49" s="26">
        <f>'raw data'!AH697</f>
        <v>7742339</v>
      </c>
      <c r="F49" s="25">
        <f>'raw data'!AO697</f>
        <v>7331544.0999999996</v>
      </c>
      <c r="G49" s="20">
        <f>'raw data'!AS697</f>
        <v>6060581.5</v>
      </c>
      <c r="H49" s="25">
        <f t="shared" si="1"/>
        <v>410794.90000000037</v>
      </c>
      <c r="I49" s="20">
        <f t="shared" si="2"/>
        <v>1681757.5</v>
      </c>
      <c r="J49" s="27">
        <f t="shared" si="3"/>
        <v>3.7124905019012986</v>
      </c>
      <c r="K49" s="27">
        <f t="shared" si="4"/>
        <v>25.936095849615359</v>
      </c>
      <c r="L49" s="27">
        <f t="shared" si="5"/>
        <v>26.936095849615356</v>
      </c>
      <c r="M49" s="27">
        <f t="shared" si="6"/>
        <v>25.506913944646694</v>
      </c>
      <c r="N49" s="31">
        <f t="shared" si="7"/>
        <v>1.0560311572019325</v>
      </c>
      <c r="O49" s="27">
        <f t="shared" si="8"/>
        <v>18.84721304962645</v>
      </c>
      <c r="P49" s="14">
        <f t="shared" si="9"/>
        <v>4.6037190260783731</v>
      </c>
      <c r="Q49" s="29">
        <f>AVERAGE(K44:K55)</f>
        <v>26.047341711072871</v>
      </c>
    </row>
    <row r="50" spans="1:17" s="28" customFormat="1" x14ac:dyDescent="0.5">
      <c r="A50" s="24" t="str">
        <f>'raw data'!A698</f>
        <v>2004-07</v>
      </c>
      <c r="B50" s="34">
        <f>'raw data'!U698</f>
        <v>680087</v>
      </c>
      <c r="C50" s="25">
        <f>'raw data'!V698</f>
        <v>287878.59999999998</v>
      </c>
      <c r="D50" s="25">
        <f t="shared" si="0"/>
        <v>7557867.1000000006</v>
      </c>
      <c r="E50" s="26">
        <f>'raw data'!AH698</f>
        <v>7845745.7000000002</v>
      </c>
      <c r="F50" s="25">
        <f>'raw data'!AO698</f>
        <v>7433368.7999999998</v>
      </c>
      <c r="G50" s="20">
        <f>'raw data'!AS698</f>
        <v>6156965.2999999998</v>
      </c>
      <c r="H50" s="25">
        <f t="shared" si="1"/>
        <v>412376.90000000037</v>
      </c>
      <c r="I50" s="20">
        <f t="shared" si="2"/>
        <v>1688780.4000000004</v>
      </c>
      <c r="J50" s="27">
        <f t="shared" si="3"/>
        <v>3.6692318487967301</v>
      </c>
      <c r="K50" s="27">
        <f t="shared" si="4"/>
        <v>26.253660744494386</v>
      </c>
      <c r="L50" s="27">
        <f t="shared" si="5"/>
        <v>27.253660744494383</v>
      </c>
      <c r="M50" s="27">
        <f t="shared" si="6"/>
        <v>25.821192683304702</v>
      </c>
      <c r="N50" s="31">
        <f t="shared" si="7"/>
        <v>1.0554764483096817</v>
      </c>
      <c r="O50" s="27">
        <f t="shared" si="8"/>
        <v>19.025667296107017</v>
      </c>
      <c r="P50" s="14">
        <f t="shared" si="9"/>
        <v>4.6458057542591078</v>
      </c>
      <c r="Q50" s="28" t="s">
        <v>1053</v>
      </c>
    </row>
    <row r="51" spans="1:17" s="28" customFormat="1" x14ac:dyDescent="0.5">
      <c r="A51" s="24" t="str">
        <f>'raw data'!A699</f>
        <v>2004-08</v>
      </c>
      <c r="B51" s="34">
        <f>'raw data'!U699</f>
        <v>683613.5</v>
      </c>
      <c r="C51" s="25">
        <f>'raw data'!V699</f>
        <v>290661.3</v>
      </c>
      <c r="D51" s="25">
        <f t="shared" si="0"/>
        <v>7586471.1000000006</v>
      </c>
      <c r="E51" s="26">
        <f>'raw data'!AH699</f>
        <v>7877132.4000000004</v>
      </c>
      <c r="F51" s="25">
        <f>'raw data'!AO699</f>
        <v>7445370.7999999998</v>
      </c>
      <c r="G51" s="20">
        <f>'raw data'!AS699</f>
        <v>6169053.8000000007</v>
      </c>
      <c r="H51" s="25">
        <f t="shared" si="1"/>
        <v>431761.60000000056</v>
      </c>
      <c r="I51" s="20">
        <f t="shared" si="2"/>
        <v>1708078.5999999996</v>
      </c>
      <c r="J51" s="27">
        <f t="shared" si="3"/>
        <v>3.6899379779372499</v>
      </c>
      <c r="K51" s="27">
        <f t="shared" si="4"/>
        <v>26.100726515707461</v>
      </c>
      <c r="L51" s="27">
        <f t="shared" si="5"/>
        <v>27.100726515707461</v>
      </c>
      <c r="M51" s="27">
        <f t="shared" si="6"/>
        <v>25.61528074084854</v>
      </c>
      <c r="N51" s="31">
        <f t="shared" si="7"/>
        <v>1.0579906107564181</v>
      </c>
      <c r="O51" s="27">
        <f t="shared" si="8"/>
        <v>18.244170857250829</v>
      </c>
      <c r="P51" s="14">
        <f t="shared" si="9"/>
        <v>4.6116919912233563</v>
      </c>
      <c r="Q51" s="29">
        <f>AVERAGE(N44:N55)</f>
        <v>1.0588514249957937</v>
      </c>
    </row>
    <row r="52" spans="1:17" s="28" customFormat="1" x14ac:dyDescent="0.5">
      <c r="A52" s="24" t="str">
        <f>'raw data'!A700</f>
        <v>2004-09</v>
      </c>
      <c r="B52" s="34">
        <f>'raw data'!U700</f>
        <v>686419.5</v>
      </c>
      <c r="C52" s="25">
        <f>'raw data'!V700</f>
        <v>294299.2</v>
      </c>
      <c r="D52" s="25">
        <f t="shared" si="0"/>
        <v>7666584.0999999996</v>
      </c>
      <c r="E52" s="26">
        <f>'raw data'!AH700</f>
        <v>7960883.2999999998</v>
      </c>
      <c r="F52" s="25">
        <f>'raw data'!AO700</f>
        <v>7498189.2999999998</v>
      </c>
      <c r="G52" s="20">
        <f>'raw data'!AS700</f>
        <v>6202452.8000000007</v>
      </c>
      <c r="H52" s="25">
        <f t="shared" si="1"/>
        <v>462694</v>
      </c>
      <c r="I52" s="20">
        <f t="shared" si="2"/>
        <v>1758430.4999999991</v>
      </c>
      <c r="J52" s="27">
        <f t="shared" si="3"/>
        <v>3.6968159048380982</v>
      </c>
      <c r="K52" s="27">
        <f t="shared" si="4"/>
        <v>26.050305607354691</v>
      </c>
      <c r="L52" s="27">
        <f t="shared" si="5"/>
        <v>27.050305607354691</v>
      </c>
      <c r="M52" s="27">
        <f t="shared" si="6"/>
        <v>25.47811648825413</v>
      </c>
      <c r="N52" s="31">
        <f t="shared" si="7"/>
        <v>1.061707431152745</v>
      </c>
      <c r="O52" s="27">
        <f t="shared" si="8"/>
        <v>17.205503637393178</v>
      </c>
      <c r="P52" s="14">
        <f t="shared" si="9"/>
        <v>4.5272663889758533</v>
      </c>
      <c r="Q52" s="28" t="s">
        <v>1054</v>
      </c>
    </row>
    <row r="53" spans="1:17" s="28" customFormat="1" x14ac:dyDescent="0.5">
      <c r="A53" s="24" t="str">
        <f>'raw data'!A701</f>
        <v>2004-10</v>
      </c>
      <c r="B53" s="34">
        <f>'raw data'!U701</f>
        <v>684346.8</v>
      </c>
      <c r="C53" s="25">
        <f>'raw data'!V701</f>
        <v>291309</v>
      </c>
      <c r="D53" s="25">
        <f t="shared" si="0"/>
        <v>7682430.5999999996</v>
      </c>
      <c r="E53" s="26">
        <f>'raw data'!AH701</f>
        <v>7973739.5999999996</v>
      </c>
      <c r="F53" s="25">
        <f>'raw data'!AO701</f>
        <v>7493249</v>
      </c>
      <c r="G53" s="20">
        <f>'raw data'!AS701</f>
        <v>6241305.5999999996</v>
      </c>
      <c r="H53" s="25">
        <f t="shared" si="1"/>
        <v>480490.59999999963</v>
      </c>
      <c r="I53" s="20">
        <f t="shared" si="2"/>
        <v>1732434</v>
      </c>
      <c r="J53" s="27">
        <f t="shared" si="3"/>
        <v>3.6533548198639445</v>
      </c>
      <c r="K53" s="27">
        <f t="shared" si="4"/>
        <v>26.372101788822178</v>
      </c>
      <c r="L53" s="27">
        <f t="shared" si="5"/>
        <v>27.372101788822178</v>
      </c>
      <c r="M53" s="27">
        <f t="shared" si="6"/>
        <v>25.722682787006239</v>
      </c>
      <c r="N53" s="31">
        <f t="shared" si="7"/>
        <v>1.0641231327025167</v>
      </c>
      <c r="O53" s="27">
        <f t="shared" si="8"/>
        <v>16.59499603113985</v>
      </c>
      <c r="P53" s="14">
        <f t="shared" si="9"/>
        <v>4.6026224375647207</v>
      </c>
      <c r="Q53" s="29">
        <f>AVERAGE(M44:M55)</f>
        <v>25.543578638161648</v>
      </c>
    </row>
    <row r="54" spans="1:17" s="28" customFormat="1" x14ac:dyDescent="0.5">
      <c r="A54" s="24" t="str">
        <f>'raw data'!A702</f>
        <v>2004-11</v>
      </c>
      <c r="B54" s="34">
        <f>'raw data'!U702</f>
        <v>680706.3</v>
      </c>
      <c r="C54" s="25">
        <f>'raw data'!V702</f>
        <v>287768.8</v>
      </c>
      <c r="D54" s="25">
        <f t="shared" si="0"/>
        <v>7721897.7000000002</v>
      </c>
      <c r="E54" s="26">
        <f>'raw data'!AH702</f>
        <v>8009666.5</v>
      </c>
      <c r="F54" s="25">
        <f>'raw data'!AO702</f>
        <v>7537779.5</v>
      </c>
      <c r="G54" s="20">
        <f>'raw data'!AS702</f>
        <v>6313141.4000000004</v>
      </c>
      <c r="H54" s="25">
        <f t="shared" si="1"/>
        <v>471887</v>
      </c>
      <c r="I54" s="20">
        <f t="shared" si="2"/>
        <v>1696525.0999999996</v>
      </c>
      <c r="J54" s="27">
        <f t="shared" si="3"/>
        <v>3.5927688125342048</v>
      </c>
      <c r="K54" s="27">
        <f t="shared" si="4"/>
        <v>26.833686278707074</v>
      </c>
      <c r="L54" s="27">
        <f t="shared" si="5"/>
        <v>27.833686278707074</v>
      </c>
      <c r="M54" s="27">
        <f t="shared" si="6"/>
        <v>26.193873345546844</v>
      </c>
      <c r="N54" s="31">
        <f t="shared" si="7"/>
        <v>1.0626029190692032</v>
      </c>
      <c r="O54" s="27">
        <f t="shared" si="8"/>
        <v>16.973696033160483</v>
      </c>
      <c r="P54" s="14">
        <f t="shared" si="9"/>
        <v>4.721218978723039</v>
      </c>
    </row>
    <row r="55" spans="1:17" s="28" customFormat="1" x14ac:dyDescent="0.5">
      <c r="A55" s="24" t="str">
        <f>'raw data'!A703</f>
        <v>2004-12</v>
      </c>
      <c r="B55" s="34">
        <f>'raw data'!U703</f>
        <v>691415</v>
      </c>
      <c r="C55" s="25">
        <f>'raw data'!V703</f>
        <v>296868.7</v>
      </c>
      <c r="D55" s="25">
        <f t="shared" si="0"/>
        <v>7742069.0999999996</v>
      </c>
      <c r="E55" s="26">
        <f>'raw data'!AH703</f>
        <v>8038937.7999999998</v>
      </c>
      <c r="F55" s="25">
        <f>'raw data'!AO703</f>
        <v>7548653.0999999996</v>
      </c>
      <c r="G55" s="20">
        <f>'raw data'!AS703</f>
        <v>6358149.6999999993</v>
      </c>
      <c r="H55" s="25">
        <f t="shared" si="1"/>
        <v>490284.70000000019</v>
      </c>
      <c r="I55" s="20">
        <f t="shared" si="2"/>
        <v>1680788.1000000006</v>
      </c>
      <c r="J55" s="27">
        <f t="shared" si="3"/>
        <v>3.6928846495117802</v>
      </c>
      <c r="K55" s="27">
        <f t="shared" si="4"/>
        <v>26.079101973363979</v>
      </c>
      <c r="L55" s="27">
        <f t="shared" si="5"/>
        <v>27.079101973363979</v>
      </c>
      <c r="M55" s="27">
        <f t="shared" si="6"/>
        <v>25.427581621100504</v>
      </c>
      <c r="N55" s="31">
        <f t="shared" si="7"/>
        <v>1.0649499577613388</v>
      </c>
      <c r="O55" s="27">
        <f t="shared" si="8"/>
        <v>16.396468827193662</v>
      </c>
      <c r="P55" s="14">
        <f t="shared" si="9"/>
        <v>4.7828383601716347</v>
      </c>
    </row>
    <row r="56" spans="1:17" x14ac:dyDescent="0.5">
      <c r="A56" s="23" t="str">
        <f>'raw data'!A704</f>
        <v>2005-01</v>
      </c>
      <c r="B56" s="32">
        <f>'raw data'!U704</f>
        <v>693794.9</v>
      </c>
      <c r="C56" s="20">
        <f>'raw data'!V704</f>
        <v>303790.40000000002</v>
      </c>
      <c r="D56" s="20">
        <f t="shared" si="0"/>
        <v>7792052.6999999993</v>
      </c>
      <c r="E56" s="18">
        <f>'raw data'!AH704</f>
        <v>8095843.0999999996</v>
      </c>
      <c r="F56" s="20">
        <f>'raw data'!AO704</f>
        <v>7607596.5</v>
      </c>
      <c r="G56" s="20">
        <f>'raw data'!AS704</f>
        <v>6424894.4000000004</v>
      </c>
      <c r="H56" s="20">
        <f t="shared" si="1"/>
        <v>488246.59999999963</v>
      </c>
      <c r="I56" s="20">
        <f t="shared" si="2"/>
        <v>1670948.6999999993</v>
      </c>
      <c r="J56" s="22">
        <f t="shared" si="3"/>
        <v>3.752424500420469</v>
      </c>
      <c r="K56" s="22">
        <f t="shared" si="4"/>
        <v>25.649436914398869</v>
      </c>
      <c r="L56" s="22">
        <f t="shared" si="5"/>
        <v>26.649436914398873</v>
      </c>
      <c r="M56" s="22">
        <f t="shared" si="6"/>
        <v>25.042254462287154</v>
      </c>
      <c r="N56" s="30">
        <f t="shared" si="7"/>
        <v>1.0641788244158321</v>
      </c>
      <c r="O56" s="22">
        <f t="shared" si="8"/>
        <v>16.581463342499479</v>
      </c>
      <c r="P56" s="14">
        <f t="shared" si="9"/>
        <v>4.8450578404950448</v>
      </c>
    </row>
    <row r="57" spans="1:17" x14ac:dyDescent="0.5">
      <c r="A57" s="23" t="str">
        <f>'raw data'!A705</f>
        <v>2005-02</v>
      </c>
      <c r="B57" s="32">
        <f>'raw data'!U705</f>
        <v>690746.4</v>
      </c>
      <c r="C57" s="20">
        <f>'raw data'!V705</f>
        <v>299128.90000000002</v>
      </c>
      <c r="D57" s="20">
        <f t="shared" si="0"/>
        <v>7874900.5999999996</v>
      </c>
      <c r="E57" s="18">
        <f>'raw data'!AH705</f>
        <v>8174029.5</v>
      </c>
      <c r="F57" s="20">
        <f>'raw data'!AO705</f>
        <v>7661914</v>
      </c>
      <c r="G57" s="20">
        <f>'raw data'!AS705</f>
        <v>6462188.8000000007</v>
      </c>
      <c r="H57" s="20">
        <f t="shared" si="1"/>
        <v>512115.5</v>
      </c>
      <c r="I57" s="20">
        <f t="shared" si="2"/>
        <v>1711840.6999999993</v>
      </c>
      <c r="J57" s="22">
        <f t="shared" si="3"/>
        <v>3.6595035532964495</v>
      </c>
      <c r="K57" s="22">
        <f t="shared" si="4"/>
        <v>26.326110917400488</v>
      </c>
      <c r="L57" s="22">
        <f t="shared" si="5"/>
        <v>27.326110917400491</v>
      </c>
      <c r="M57" s="22">
        <f t="shared" si="6"/>
        <v>25.614088107167177</v>
      </c>
      <c r="N57" s="30">
        <f t="shared" si="7"/>
        <v>1.066839108348123</v>
      </c>
      <c r="O57" s="22">
        <f t="shared" si="8"/>
        <v>15.961300722200363</v>
      </c>
      <c r="P57" s="14">
        <f t="shared" si="9"/>
        <v>4.7749942503411695</v>
      </c>
    </row>
    <row r="58" spans="1:17" x14ac:dyDescent="0.5">
      <c r="A58" s="23" t="str">
        <f>'raw data'!A706</f>
        <v>2005-03</v>
      </c>
      <c r="B58" s="32">
        <f>'raw data'!U706</f>
        <v>693057.9</v>
      </c>
      <c r="C58" s="20">
        <f>'raw data'!V706</f>
        <v>299727.2</v>
      </c>
      <c r="D58" s="20">
        <f t="shared" si="0"/>
        <v>7968888.7000000002</v>
      </c>
      <c r="E58" s="18">
        <f>'raw data'!AH706</f>
        <v>8268615.9000000004</v>
      </c>
      <c r="F58" s="20">
        <f>'raw data'!AO706</f>
        <v>7746512.2000000002</v>
      </c>
      <c r="G58" s="20">
        <f>'raw data'!AS706</f>
        <v>6499953.9000000004</v>
      </c>
      <c r="H58" s="20">
        <f t="shared" si="1"/>
        <v>522103.70000000019</v>
      </c>
      <c r="I58" s="20">
        <f t="shared" si="2"/>
        <v>1768662</v>
      </c>
      <c r="J58" s="22">
        <f t="shared" si="3"/>
        <v>3.6248775324053932</v>
      </c>
      <c r="K58" s="22">
        <f t="shared" si="4"/>
        <v>26.587138904977593</v>
      </c>
      <c r="L58" s="22">
        <f t="shared" si="5"/>
        <v>27.587138904977593</v>
      </c>
      <c r="M58" s="22">
        <f t="shared" si="6"/>
        <v>25.845209243605517</v>
      </c>
      <c r="N58" s="30">
        <f t="shared" si="7"/>
        <v>1.0673985513119053</v>
      </c>
      <c r="O58" s="22">
        <f t="shared" si="8"/>
        <v>15.83711415950509</v>
      </c>
      <c r="P58" s="14">
        <f t="shared" si="9"/>
        <v>4.675068441567694</v>
      </c>
    </row>
    <row r="59" spans="1:17" x14ac:dyDescent="0.5">
      <c r="A59" s="23" t="str">
        <f>'raw data'!A707</f>
        <v>2005-04</v>
      </c>
      <c r="B59" s="32">
        <f>'raw data'!U707</f>
        <v>693525.3</v>
      </c>
      <c r="C59" s="20">
        <f>'raw data'!V707</f>
        <v>301125.59999999998</v>
      </c>
      <c r="D59" s="20">
        <f t="shared" si="0"/>
        <v>7999630.4000000004</v>
      </c>
      <c r="E59" s="18">
        <f>'raw data'!AH707</f>
        <v>8300756</v>
      </c>
      <c r="F59" s="20">
        <f>'raw data'!AO707</f>
        <v>7765176.5999999996</v>
      </c>
      <c r="G59" s="20">
        <f>'raw data'!AS707</f>
        <v>6572787.5</v>
      </c>
      <c r="H59" s="20">
        <f t="shared" si="1"/>
        <v>535579.40000000037</v>
      </c>
      <c r="I59" s="20">
        <f t="shared" si="2"/>
        <v>1727968.5</v>
      </c>
      <c r="J59" s="22">
        <f t="shared" si="3"/>
        <v>3.6276888514732875</v>
      </c>
      <c r="K59" s="22">
        <f t="shared" si="4"/>
        <v>26.565759935389089</v>
      </c>
      <c r="L59" s="22">
        <f t="shared" si="5"/>
        <v>27.565759935389089</v>
      </c>
      <c r="M59" s="22">
        <f t="shared" si="6"/>
        <v>25.787168543624322</v>
      </c>
      <c r="N59" s="30">
        <f t="shared" si="7"/>
        <v>1.0689719535805535</v>
      </c>
      <c r="O59" s="22">
        <f t="shared" si="8"/>
        <v>15.498646885970585</v>
      </c>
      <c r="P59" s="14">
        <f t="shared" si="9"/>
        <v>4.8037658093883078</v>
      </c>
    </row>
    <row r="60" spans="1:17" x14ac:dyDescent="0.5">
      <c r="A60" s="23" t="str">
        <f>'raw data'!A708</f>
        <v>2005-05</v>
      </c>
      <c r="B60" s="32">
        <f>'raw data'!U708</f>
        <v>691829.1</v>
      </c>
      <c r="C60" s="20">
        <f>'raw data'!V708</f>
        <v>298997.3</v>
      </c>
      <c r="D60" s="20">
        <f t="shared" si="0"/>
        <v>8081607.6000000006</v>
      </c>
      <c r="E60" s="18">
        <f>'raw data'!AH708</f>
        <v>8380604.9000000004</v>
      </c>
      <c r="F60" s="20">
        <f>'raw data'!AO708</f>
        <v>7834926.4000000004</v>
      </c>
      <c r="G60" s="20">
        <f>'raw data'!AS708</f>
        <v>6603902.7000000002</v>
      </c>
      <c r="H60" s="20">
        <f t="shared" si="1"/>
        <v>545678.5</v>
      </c>
      <c r="I60" s="20">
        <f t="shared" si="2"/>
        <v>1776702.2000000002</v>
      </c>
      <c r="J60" s="22">
        <f t="shared" si="3"/>
        <v>3.5677293413510038</v>
      </c>
      <c r="K60" s="22">
        <f t="shared" si="4"/>
        <v>27.02903203473744</v>
      </c>
      <c r="L60" s="22">
        <f t="shared" si="5"/>
        <v>28.02903203473744</v>
      </c>
      <c r="M60" s="22">
        <f t="shared" si="6"/>
        <v>26.20400384886419</v>
      </c>
      <c r="N60" s="30">
        <f t="shared" si="7"/>
        <v>1.0696469209972412</v>
      </c>
      <c r="O60" s="22">
        <f t="shared" si="8"/>
        <v>15.358136521779766</v>
      </c>
      <c r="P60" s="14">
        <f t="shared" si="9"/>
        <v>4.7169440663719557</v>
      </c>
    </row>
    <row r="61" spans="1:17" x14ac:dyDescent="0.5">
      <c r="A61" s="23" t="str">
        <f>'raw data'!A709</f>
        <v>2005-06</v>
      </c>
      <c r="B61" s="32">
        <f>'raw data'!U709</f>
        <v>692900.4</v>
      </c>
      <c r="C61" s="20">
        <f>'raw data'!V709</f>
        <v>301594.90000000002</v>
      </c>
      <c r="D61" s="20">
        <f t="shared" si="0"/>
        <v>8126343.4000000004</v>
      </c>
      <c r="E61" s="18">
        <f>'raw data'!AH709</f>
        <v>8427938.3000000007</v>
      </c>
      <c r="F61" s="20">
        <f>'raw data'!AO709</f>
        <v>7877526.2999999998</v>
      </c>
      <c r="G61" s="20">
        <f>'raw data'!AS709</f>
        <v>6690853.8000000007</v>
      </c>
      <c r="H61" s="20">
        <f t="shared" si="1"/>
        <v>550412.00000000093</v>
      </c>
      <c r="I61" s="20">
        <f t="shared" si="2"/>
        <v>1737084.5</v>
      </c>
      <c r="J61" s="22">
        <f t="shared" si="3"/>
        <v>3.5785133832790397</v>
      </c>
      <c r="K61" s="22">
        <f t="shared" si="4"/>
        <v>26.944565044037546</v>
      </c>
      <c r="L61" s="22">
        <f t="shared" si="5"/>
        <v>27.944565044037549</v>
      </c>
      <c r="M61" s="22">
        <f t="shared" si="6"/>
        <v>26.119560708752037</v>
      </c>
      <c r="N61" s="30">
        <f t="shared" si="7"/>
        <v>1.0698711726294079</v>
      </c>
      <c r="O61" s="22">
        <f t="shared" si="8"/>
        <v>15.312054061321312</v>
      </c>
      <c r="P61" s="14">
        <f t="shared" si="9"/>
        <v>4.851772207972612</v>
      </c>
    </row>
    <row r="62" spans="1:17" x14ac:dyDescent="0.5">
      <c r="A62" s="23" t="str">
        <f>'raw data'!A710</f>
        <v>2005-07</v>
      </c>
      <c r="B62" s="32">
        <f>'raw data'!U710</f>
        <v>697638.40000000002</v>
      </c>
      <c r="C62" s="20">
        <f>'raw data'!V710</f>
        <v>302440.09999999998</v>
      </c>
      <c r="D62" s="20">
        <f t="shared" si="0"/>
        <v>8171457.0999999996</v>
      </c>
      <c r="E62" s="18">
        <f>'raw data'!AH710</f>
        <v>8473897.1999999993</v>
      </c>
      <c r="F62" s="20">
        <f>'raw data'!AO710</f>
        <v>7939848.9000000004</v>
      </c>
      <c r="G62" s="20">
        <f>'raw data'!AS710</f>
        <v>6730293.6999999993</v>
      </c>
      <c r="H62" s="20">
        <f t="shared" si="1"/>
        <v>534048.29999999888</v>
      </c>
      <c r="I62" s="20">
        <f t="shared" si="2"/>
        <v>1743603.5</v>
      </c>
      <c r="J62" s="22">
        <f t="shared" si="3"/>
        <v>3.5690791717416634</v>
      </c>
      <c r="K62" s="22">
        <f t="shared" si="4"/>
        <v>27.018431418320521</v>
      </c>
      <c r="L62" s="22">
        <f t="shared" si="5"/>
        <v>28.018431418320521</v>
      </c>
      <c r="M62" s="22">
        <f t="shared" si="6"/>
        <v>26.252632835394515</v>
      </c>
      <c r="N62" s="30">
        <f t="shared" si="7"/>
        <v>1.0672617711906329</v>
      </c>
      <c r="O62" s="22">
        <f t="shared" si="8"/>
        <v>15.867286161195564</v>
      </c>
      <c r="P62" s="14">
        <f t="shared" si="9"/>
        <v>4.8599909325715389</v>
      </c>
    </row>
    <row r="63" spans="1:17" x14ac:dyDescent="0.5">
      <c r="A63" s="23" t="str">
        <f>'raw data'!A711</f>
        <v>2005-08</v>
      </c>
      <c r="B63" s="32">
        <f>'raw data'!U711</f>
        <v>705855.3</v>
      </c>
      <c r="C63" s="20">
        <f>'raw data'!V711</f>
        <v>302007.90000000002</v>
      </c>
      <c r="D63" s="20">
        <f t="shared" si="0"/>
        <v>8269716.7999999989</v>
      </c>
      <c r="E63" s="18">
        <f>'raw data'!AH711</f>
        <v>8571724.6999999993</v>
      </c>
      <c r="F63" s="20">
        <f>'raw data'!AO711</f>
        <v>8032491.9000000004</v>
      </c>
      <c r="G63" s="20">
        <f>'raw data'!AS711</f>
        <v>6832019.5999999996</v>
      </c>
      <c r="H63" s="20">
        <f t="shared" si="1"/>
        <v>539232.79999999888</v>
      </c>
      <c r="I63" s="20">
        <f t="shared" si="2"/>
        <v>1739705.0999999996</v>
      </c>
      <c r="J63" s="22">
        <f t="shared" si="3"/>
        <v>3.5233037757267223</v>
      </c>
      <c r="K63" s="22">
        <f t="shared" si="4"/>
        <v>27.38245191599292</v>
      </c>
      <c r="L63" s="22">
        <f t="shared" si="5"/>
        <v>28.38245191599292</v>
      </c>
      <c r="M63" s="22">
        <f t="shared" si="6"/>
        <v>26.596959549733633</v>
      </c>
      <c r="N63" s="30">
        <f t="shared" si="7"/>
        <v>1.0671314464693078</v>
      </c>
      <c r="O63" s="22">
        <f t="shared" si="8"/>
        <v>15.896148565146662</v>
      </c>
      <c r="P63" s="14">
        <f t="shared" si="9"/>
        <v>4.9271136240274291</v>
      </c>
    </row>
    <row r="64" spans="1:17" x14ac:dyDescent="0.5">
      <c r="A64" s="23" t="str">
        <f>'raw data'!A712</f>
        <v>2005-09</v>
      </c>
      <c r="B64" s="32">
        <f>'raw data'!U712</f>
        <v>711058.5</v>
      </c>
      <c r="C64" s="20">
        <f>'raw data'!V712</f>
        <v>304130.3</v>
      </c>
      <c r="D64" s="20">
        <f t="shared" si="0"/>
        <v>8329633.8999999994</v>
      </c>
      <c r="E64" s="18">
        <f>'raw data'!AH712</f>
        <v>8633764.1999999993</v>
      </c>
      <c r="F64" s="20">
        <f>'raw data'!AO712</f>
        <v>8075420.7000000002</v>
      </c>
      <c r="G64" s="20">
        <f>'raw data'!AS712</f>
        <v>6892137.5</v>
      </c>
      <c r="H64" s="20">
        <f t="shared" si="1"/>
        <v>558343.49999999907</v>
      </c>
      <c r="I64" s="20">
        <f t="shared" si="2"/>
        <v>1741626.6999999993</v>
      </c>
      <c r="J64" s="22">
        <f t="shared" si="3"/>
        <v>3.5225689856111657</v>
      </c>
      <c r="K64" s="22">
        <f t="shared" si="4"/>
        <v>27.388372352245074</v>
      </c>
      <c r="L64" s="22">
        <f t="shared" si="5"/>
        <v>28.388372352245071</v>
      </c>
      <c r="M64" s="22">
        <f t="shared" si="6"/>
        <v>26.552502989672519</v>
      </c>
      <c r="N64" s="30">
        <f t="shared" si="7"/>
        <v>1.069141103695068</v>
      </c>
      <c r="O64" s="22">
        <f t="shared" si="8"/>
        <v>15.463176700364585</v>
      </c>
      <c r="P64" s="14">
        <f t="shared" si="9"/>
        <v>4.9572989435681043</v>
      </c>
    </row>
    <row r="65" spans="1:16" x14ac:dyDescent="0.5">
      <c r="A65" s="23" t="str">
        <f>'raw data'!A713</f>
        <v>2005-10</v>
      </c>
      <c r="B65" s="32">
        <f>'raw data'!U713</f>
        <v>702515.5</v>
      </c>
      <c r="C65" s="20">
        <f>'raw data'!V713</f>
        <v>296316.59999999998</v>
      </c>
      <c r="D65" s="20">
        <f t="shared" si="0"/>
        <v>8376140.3000000007</v>
      </c>
      <c r="E65" s="18">
        <f>'raw data'!AH713</f>
        <v>8672456.9000000004</v>
      </c>
      <c r="F65" s="20">
        <f>'raw data'!AO713</f>
        <v>8114409.2000000002</v>
      </c>
      <c r="G65" s="20">
        <f>'raw data'!AS713</f>
        <v>6932267.9000000004</v>
      </c>
      <c r="H65" s="20">
        <f t="shared" si="1"/>
        <v>558047.70000000019</v>
      </c>
      <c r="I65" s="20">
        <f t="shared" si="2"/>
        <v>1740189</v>
      </c>
      <c r="J65" s="22">
        <f t="shared" si="3"/>
        <v>3.4167549451874466</v>
      </c>
      <c r="K65" s="22">
        <f t="shared" si="4"/>
        <v>28.267536479562743</v>
      </c>
      <c r="L65" s="22">
        <f t="shared" si="5"/>
        <v>29.267536479562743</v>
      </c>
      <c r="M65" s="22">
        <f t="shared" si="6"/>
        <v>27.384254543957379</v>
      </c>
      <c r="N65" s="30">
        <f t="shared" si="7"/>
        <v>1.0687724375546652</v>
      </c>
      <c r="O65" s="22">
        <f t="shared" si="8"/>
        <v>15.540708975236342</v>
      </c>
      <c r="P65" s="14">
        <f t="shared" si="9"/>
        <v>4.9836293069316033</v>
      </c>
    </row>
    <row r="66" spans="1:16" x14ac:dyDescent="0.5">
      <c r="A66" s="23" t="str">
        <f>'raw data'!A714</f>
        <v>2005-11</v>
      </c>
      <c r="B66" s="32">
        <f>'raw data'!U714</f>
        <v>704577.7</v>
      </c>
      <c r="C66" s="20">
        <f>'raw data'!V714</f>
        <v>300495.2</v>
      </c>
      <c r="D66" s="20">
        <f t="shared" si="0"/>
        <v>8392816.1000000015</v>
      </c>
      <c r="E66" s="18">
        <f>'raw data'!AH714</f>
        <v>8693311.3000000007</v>
      </c>
      <c r="F66" s="20">
        <f>'raw data'!AO714</f>
        <v>8137540.0999999996</v>
      </c>
      <c r="G66" s="20">
        <f>'raw data'!AS714</f>
        <v>6960314.5</v>
      </c>
      <c r="H66" s="20">
        <f t="shared" si="1"/>
        <v>555771.20000000112</v>
      </c>
      <c r="I66" s="20">
        <f t="shared" si="2"/>
        <v>1732996.8000000007</v>
      </c>
      <c r="J66" s="22">
        <f t="shared" si="3"/>
        <v>3.4566253252658741</v>
      </c>
      <c r="K66" s="22">
        <f t="shared" si="4"/>
        <v>27.929950628163116</v>
      </c>
      <c r="L66" s="22">
        <f t="shared" si="5"/>
        <v>28.929950628163112</v>
      </c>
      <c r="M66" s="22">
        <f t="shared" si="6"/>
        <v>27.080432898761774</v>
      </c>
      <c r="N66" s="30">
        <f t="shared" si="7"/>
        <v>1.0682971995431396</v>
      </c>
      <c r="O66" s="22">
        <f t="shared" si="8"/>
        <v>15.641888784449398</v>
      </c>
      <c r="P66" s="14">
        <f t="shared" si="9"/>
        <v>5.0163458466859243</v>
      </c>
    </row>
    <row r="67" spans="1:16" x14ac:dyDescent="0.5">
      <c r="A67" s="23" t="str">
        <f>'raw data'!A715</f>
        <v>2005-12</v>
      </c>
      <c r="B67" s="32">
        <f>'raw data'!U715</f>
        <v>703290.3</v>
      </c>
      <c r="C67" s="20">
        <f>'raw data'!V715</f>
        <v>303347.40000000002</v>
      </c>
      <c r="D67" s="20">
        <f t="shared" ref="D67:D130" si="10">E67-C67</f>
        <v>8475083.5999999996</v>
      </c>
      <c r="E67" s="18">
        <f>'raw data'!AH715</f>
        <v>8778431</v>
      </c>
      <c r="F67" s="20">
        <f>'raw data'!AO715</f>
        <v>8201224.7000000002</v>
      </c>
      <c r="G67" s="20">
        <f>'raw data'!AS715</f>
        <v>7020937.5999999996</v>
      </c>
      <c r="H67" s="20">
        <f t="shared" ref="H67:H130" si="11">E67-F67</f>
        <v>577206.29999999981</v>
      </c>
      <c r="I67" s="20">
        <f t="shared" ref="I67:I130" si="12">E67-G67</f>
        <v>1757493.4000000004</v>
      </c>
      <c r="J67" s="22">
        <f t="shared" ref="J67:J130" si="13">C67/E67*100</f>
        <v>3.4555992978699726</v>
      </c>
      <c r="K67" s="22">
        <f t="shared" ref="K67:K130" si="14">D67/C67</f>
        <v>27.938540432520597</v>
      </c>
      <c r="L67" s="22">
        <f t="shared" ref="L67:L130" si="15">E67/C67</f>
        <v>28.9385404325206</v>
      </c>
      <c r="M67" s="22">
        <f t="shared" ref="M67:M130" si="16">F67/C67</f>
        <v>27.035750759690043</v>
      </c>
      <c r="N67" s="30">
        <f t="shared" ref="N67:N130" si="17">E67/F67</f>
        <v>1.0703805006098661</v>
      </c>
      <c r="O67" s="22">
        <f t="shared" ref="O67:O130" si="18">E67/H67</f>
        <v>15.208480919213811</v>
      </c>
      <c r="P67" s="14">
        <f t="shared" ref="P67:P130" si="19">E67/I67</f>
        <v>4.9948585866666688</v>
      </c>
    </row>
    <row r="68" spans="1:16" x14ac:dyDescent="0.5">
      <c r="A68" s="23" t="str">
        <f>'raw data'!A716</f>
        <v>2006-01</v>
      </c>
      <c r="B68" s="32">
        <f>'raw data'!U716</f>
        <v>702211.3</v>
      </c>
      <c r="C68" s="20">
        <f>'raw data'!V716</f>
        <v>302023.09999999998</v>
      </c>
      <c r="D68" s="20">
        <f t="shared" si="10"/>
        <v>8542746.0999999996</v>
      </c>
      <c r="E68" s="18">
        <f>'raw data'!AH716</f>
        <v>8844769.1999999993</v>
      </c>
      <c r="F68" s="20">
        <f>'raw data'!AO716</f>
        <v>8262996.4000000004</v>
      </c>
      <c r="G68" s="20">
        <f>'raw data'!AS716</f>
        <v>7083958.1999999993</v>
      </c>
      <c r="H68" s="20">
        <f t="shared" si="11"/>
        <v>581772.79999999888</v>
      </c>
      <c r="I68" s="20">
        <f t="shared" si="12"/>
        <v>1760811</v>
      </c>
      <c r="J68" s="22">
        <f t="shared" si="13"/>
        <v>3.4147086619286795</v>
      </c>
      <c r="K68" s="22">
        <f t="shared" si="14"/>
        <v>28.28507521444552</v>
      </c>
      <c r="L68" s="22">
        <f t="shared" si="15"/>
        <v>29.285075214445516</v>
      </c>
      <c r="M68" s="22">
        <f t="shared" si="16"/>
        <v>27.358822553639111</v>
      </c>
      <c r="N68" s="30">
        <f t="shared" si="17"/>
        <v>1.0704070015085567</v>
      </c>
      <c r="O68" s="22">
        <f t="shared" si="18"/>
        <v>15.203132906866763</v>
      </c>
      <c r="P68" s="14">
        <f t="shared" si="19"/>
        <v>5.0231224134787889</v>
      </c>
    </row>
    <row r="69" spans="1:16" x14ac:dyDescent="0.5">
      <c r="A69" s="23" t="str">
        <f>'raw data'!A717</f>
        <v>2006-02</v>
      </c>
      <c r="B69" s="32">
        <f>'raw data'!U717</f>
        <v>699866.3</v>
      </c>
      <c r="C69" s="20">
        <f>'raw data'!V717</f>
        <v>296137.59999999998</v>
      </c>
      <c r="D69" s="20">
        <f t="shared" si="10"/>
        <v>8619053.5</v>
      </c>
      <c r="E69" s="18">
        <f>'raw data'!AH717</f>
        <v>8915191.0999999996</v>
      </c>
      <c r="F69" s="20">
        <f>'raw data'!AO717</f>
        <v>8331480.7999999998</v>
      </c>
      <c r="G69" s="20">
        <f>'raw data'!AS717</f>
        <v>7149026</v>
      </c>
      <c r="H69" s="20">
        <f t="shared" si="11"/>
        <v>583710.29999999981</v>
      </c>
      <c r="I69" s="20">
        <f t="shared" si="12"/>
        <v>1766165.0999999996</v>
      </c>
      <c r="J69" s="22">
        <f t="shared" si="13"/>
        <v>3.3217190375201264</v>
      </c>
      <c r="K69" s="22">
        <f t="shared" si="14"/>
        <v>29.104894143803424</v>
      </c>
      <c r="L69" s="22">
        <f t="shared" si="15"/>
        <v>30.104894143803421</v>
      </c>
      <c r="M69" s="22">
        <f t="shared" si="16"/>
        <v>28.133816171941692</v>
      </c>
      <c r="N69" s="30">
        <f t="shared" si="17"/>
        <v>1.0700608107984837</v>
      </c>
      <c r="O69" s="22">
        <f t="shared" si="18"/>
        <v>15.27331469052371</v>
      </c>
      <c r="P69" s="14">
        <f t="shared" si="19"/>
        <v>5.0477676747207845</v>
      </c>
    </row>
    <row r="70" spans="1:16" x14ac:dyDescent="0.5">
      <c r="A70" s="23" t="str">
        <f>'raw data'!A718</f>
        <v>2006-03</v>
      </c>
      <c r="B70" s="32">
        <f>'raw data'!U718</f>
        <v>706845.4</v>
      </c>
      <c r="C70" s="20">
        <f>'raw data'!V718</f>
        <v>292044.7</v>
      </c>
      <c r="D70" s="20">
        <f t="shared" si="10"/>
        <v>8683700.4000000004</v>
      </c>
      <c r="E70" s="18">
        <f>'raw data'!AH718</f>
        <v>8975745.0999999996</v>
      </c>
      <c r="F70" s="20">
        <f>'raw data'!AO718</f>
        <v>8379266.9000000004</v>
      </c>
      <c r="G70" s="20">
        <f>'raw data'!AS718</f>
        <v>7222694.0999999996</v>
      </c>
      <c r="H70" s="20">
        <f t="shared" si="11"/>
        <v>596478.19999999925</v>
      </c>
      <c r="I70" s="20">
        <f t="shared" si="12"/>
        <v>1753051</v>
      </c>
      <c r="J70" s="22">
        <f t="shared" si="13"/>
        <v>3.2537098229315804</v>
      </c>
      <c r="K70" s="22">
        <f t="shared" si="14"/>
        <v>29.734148231417997</v>
      </c>
      <c r="L70" s="22">
        <f t="shared" si="15"/>
        <v>30.734148231417997</v>
      </c>
      <c r="M70" s="22">
        <f t="shared" si="16"/>
        <v>28.691727328042592</v>
      </c>
      <c r="N70" s="30">
        <f t="shared" si="17"/>
        <v>1.0711850102304294</v>
      </c>
      <c r="O70" s="22">
        <f t="shared" si="18"/>
        <v>15.04790133151557</v>
      </c>
      <c r="P70" s="14">
        <f t="shared" si="19"/>
        <v>5.1200707224148072</v>
      </c>
    </row>
    <row r="71" spans="1:16" x14ac:dyDescent="0.5">
      <c r="A71" s="23" t="str">
        <f>'raw data'!A719</f>
        <v>2006-04</v>
      </c>
      <c r="B71" s="32">
        <f>'raw data'!U719</f>
        <v>712830.9</v>
      </c>
      <c r="C71" s="20">
        <f>'raw data'!V719</f>
        <v>294895</v>
      </c>
      <c r="D71" s="20">
        <f t="shared" si="10"/>
        <v>8809583.0999999996</v>
      </c>
      <c r="E71" s="18">
        <f>'raw data'!AH719</f>
        <v>9104478.0999999996</v>
      </c>
      <c r="F71" s="20">
        <f>'raw data'!AO719</f>
        <v>8499401.1999999993</v>
      </c>
      <c r="G71" s="20">
        <f>'raw data'!AS719</f>
        <v>7320927.7000000002</v>
      </c>
      <c r="H71" s="20">
        <f t="shared" si="11"/>
        <v>605076.90000000037</v>
      </c>
      <c r="I71" s="20">
        <f t="shared" si="12"/>
        <v>1783550.3999999994</v>
      </c>
      <c r="J71" s="22">
        <f t="shared" si="13"/>
        <v>3.2390104821055039</v>
      </c>
      <c r="K71" s="22">
        <f t="shared" si="14"/>
        <v>29.873626545041454</v>
      </c>
      <c r="L71" s="22">
        <f t="shared" si="15"/>
        <v>30.873626545041454</v>
      </c>
      <c r="M71" s="22">
        <f t="shared" si="16"/>
        <v>28.821788094067376</v>
      </c>
      <c r="N71" s="30">
        <f t="shared" si="17"/>
        <v>1.0711905328107114</v>
      </c>
      <c r="O71" s="22">
        <f t="shared" si="18"/>
        <v>15.046811570562344</v>
      </c>
      <c r="P71" s="14">
        <f t="shared" si="19"/>
        <v>5.1046934810476916</v>
      </c>
    </row>
    <row r="72" spans="1:16" x14ac:dyDescent="0.5">
      <c r="A72" s="23" t="str">
        <f>'raw data'!A720</f>
        <v>2006-05</v>
      </c>
      <c r="B72" s="32">
        <f>'raw data'!U720</f>
        <v>722830.5</v>
      </c>
      <c r="C72" s="20">
        <f>'raw data'!V720</f>
        <v>301413.3</v>
      </c>
      <c r="D72" s="20">
        <f t="shared" si="10"/>
        <v>8926609.1999999993</v>
      </c>
      <c r="E72" s="18">
        <f>'raw data'!AH720</f>
        <v>9228022.5</v>
      </c>
      <c r="F72" s="20">
        <f>'raw data'!AO720</f>
        <v>8607656.8000000007</v>
      </c>
      <c r="G72" s="20">
        <f>'raw data'!AS720</f>
        <v>7355917.7999999998</v>
      </c>
      <c r="H72" s="20">
        <f t="shared" si="11"/>
        <v>620365.69999999925</v>
      </c>
      <c r="I72" s="20">
        <f t="shared" si="12"/>
        <v>1872104.7000000002</v>
      </c>
      <c r="J72" s="22">
        <f t="shared" si="13"/>
        <v>3.2662826732379551</v>
      </c>
      <c r="K72" s="22">
        <f t="shared" si="14"/>
        <v>29.61584376004642</v>
      </c>
      <c r="L72" s="22">
        <f t="shared" si="15"/>
        <v>30.615843760046424</v>
      </c>
      <c r="M72" s="22">
        <f t="shared" si="16"/>
        <v>28.557654224282739</v>
      </c>
      <c r="N72" s="30">
        <f t="shared" si="17"/>
        <v>1.0720713795187558</v>
      </c>
      <c r="O72" s="22">
        <f t="shared" si="18"/>
        <v>14.875133328615703</v>
      </c>
      <c r="P72" s="14">
        <f t="shared" si="19"/>
        <v>4.9292235097748538</v>
      </c>
    </row>
    <row r="73" spans="1:16" x14ac:dyDescent="0.5">
      <c r="A73" s="23" t="str">
        <f>'raw data'!A721</f>
        <v>2006-06</v>
      </c>
      <c r="B73" s="32">
        <f>'raw data'!U721</f>
        <v>714884.3</v>
      </c>
      <c r="C73" s="20">
        <f>'raw data'!V721</f>
        <v>298233</v>
      </c>
      <c r="D73" s="20">
        <f t="shared" si="10"/>
        <v>8945920.5</v>
      </c>
      <c r="E73" s="18">
        <f>'raw data'!AH721</f>
        <v>9244153.5</v>
      </c>
      <c r="F73" s="20">
        <f>'raw data'!AO721</f>
        <v>8636067.6999999993</v>
      </c>
      <c r="G73" s="20">
        <f>'raw data'!AS721</f>
        <v>7411512.5</v>
      </c>
      <c r="H73" s="20">
        <f t="shared" si="11"/>
        <v>608085.80000000075</v>
      </c>
      <c r="I73" s="20">
        <f t="shared" si="12"/>
        <v>1832641</v>
      </c>
      <c r="J73" s="22">
        <f t="shared" si="13"/>
        <v>3.2261796604740498</v>
      </c>
      <c r="K73" s="22">
        <f t="shared" si="14"/>
        <v>29.996413877739887</v>
      </c>
      <c r="L73" s="22">
        <f t="shared" si="15"/>
        <v>30.996413877739887</v>
      </c>
      <c r="M73" s="22">
        <f t="shared" si="16"/>
        <v>28.957451723987617</v>
      </c>
      <c r="N73" s="30">
        <f t="shared" si="17"/>
        <v>1.0704123475085774</v>
      </c>
      <c r="O73" s="22">
        <f t="shared" si="18"/>
        <v>15.202054545592068</v>
      </c>
      <c r="P73" s="14">
        <f t="shared" si="19"/>
        <v>5.0441704076248435</v>
      </c>
    </row>
    <row r="74" spans="1:16" x14ac:dyDescent="0.5">
      <c r="A74" s="23" t="str">
        <f>'raw data'!A722</f>
        <v>2006-07</v>
      </c>
      <c r="B74" s="32">
        <f>'raw data'!U722</f>
        <v>710374.3</v>
      </c>
      <c r="C74" s="20">
        <f>'raw data'!V722</f>
        <v>299822.7</v>
      </c>
      <c r="D74" s="20">
        <f t="shared" si="10"/>
        <v>8991250.1000000015</v>
      </c>
      <c r="E74" s="18">
        <f>'raw data'!AH722</f>
        <v>9291072.8000000007</v>
      </c>
      <c r="F74" s="20">
        <f>'raw data'!AO722</f>
        <v>8693672</v>
      </c>
      <c r="G74" s="20">
        <f>'raw data'!AS722</f>
        <v>7484105.0999999996</v>
      </c>
      <c r="H74" s="20">
        <f t="shared" si="11"/>
        <v>597400.80000000075</v>
      </c>
      <c r="I74" s="20">
        <f t="shared" si="12"/>
        <v>1806967.7000000011</v>
      </c>
      <c r="J74" s="22">
        <f t="shared" si="13"/>
        <v>3.2269976401433427</v>
      </c>
      <c r="K74" s="22">
        <f t="shared" si="14"/>
        <v>29.988556903796816</v>
      </c>
      <c r="L74" s="22">
        <f t="shared" si="15"/>
        <v>30.988556903796812</v>
      </c>
      <c r="M74" s="22">
        <f t="shared" si="16"/>
        <v>28.996043328273675</v>
      </c>
      <c r="N74" s="30">
        <f t="shared" si="17"/>
        <v>1.0687167401760729</v>
      </c>
      <c r="O74" s="22">
        <f t="shared" si="18"/>
        <v>15.552494740549376</v>
      </c>
      <c r="P74" s="14">
        <f t="shared" si="19"/>
        <v>5.1418034755131456</v>
      </c>
    </row>
    <row r="75" spans="1:16" x14ac:dyDescent="0.5">
      <c r="A75" s="23" t="str">
        <f>'raw data'!A723</f>
        <v>2006-08</v>
      </c>
      <c r="B75" s="32">
        <f>'raw data'!U723</f>
        <v>717998.1</v>
      </c>
      <c r="C75" s="20">
        <f>'raw data'!V723</f>
        <v>303684.8</v>
      </c>
      <c r="D75" s="20">
        <f t="shared" si="10"/>
        <v>9027679.2999999989</v>
      </c>
      <c r="E75" s="18">
        <f>'raw data'!AH723</f>
        <v>9331364.0999999996</v>
      </c>
      <c r="F75" s="20">
        <f>'raw data'!AO723</f>
        <v>8733797</v>
      </c>
      <c r="G75" s="20">
        <f>'raw data'!AS723</f>
        <v>7517249.6999999993</v>
      </c>
      <c r="H75" s="20">
        <f t="shared" si="11"/>
        <v>597567.09999999963</v>
      </c>
      <c r="I75" s="20">
        <f t="shared" si="12"/>
        <v>1814114.4000000004</v>
      </c>
      <c r="J75" s="22">
        <f t="shared" si="13"/>
        <v>3.2544523688664126</v>
      </c>
      <c r="K75" s="22">
        <f t="shared" si="14"/>
        <v>29.727135832942576</v>
      </c>
      <c r="L75" s="22">
        <f t="shared" si="15"/>
        <v>30.727135832942576</v>
      </c>
      <c r="M75" s="22">
        <f t="shared" si="16"/>
        <v>28.759414366474715</v>
      </c>
      <c r="N75" s="30">
        <f t="shared" si="17"/>
        <v>1.0684200812086655</v>
      </c>
      <c r="O75" s="22">
        <f t="shared" si="18"/>
        <v>15.61559212346196</v>
      </c>
      <c r="P75" s="14">
        <f t="shared" si="19"/>
        <v>5.1437572514721221</v>
      </c>
    </row>
    <row r="76" spans="1:16" x14ac:dyDescent="0.5">
      <c r="A76" s="23" t="str">
        <f>'raw data'!A724</f>
        <v>2006-09</v>
      </c>
      <c r="B76" s="32">
        <f>'raw data'!U724</f>
        <v>719058</v>
      </c>
      <c r="C76" s="20">
        <f>'raw data'!V724</f>
        <v>303867.40000000002</v>
      </c>
      <c r="D76" s="20">
        <f t="shared" si="10"/>
        <v>9076885.1999999993</v>
      </c>
      <c r="E76" s="18">
        <f>'raw data'!AH724</f>
        <v>9380752.5999999996</v>
      </c>
      <c r="F76" s="20">
        <f>'raw data'!AO724</f>
        <v>8742159.5</v>
      </c>
      <c r="G76" s="20">
        <f>'raw data'!AS724</f>
        <v>7594698.5</v>
      </c>
      <c r="H76" s="20">
        <f t="shared" si="11"/>
        <v>638593.09999999963</v>
      </c>
      <c r="I76" s="20">
        <f t="shared" si="12"/>
        <v>1786054.0999999996</v>
      </c>
      <c r="J76" s="22">
        <f t="shared" si="13"/>
        <v>3.2392646193440817</v>
      </c>
      <c r="K76" s="22">
        <f t="shared" si="14"/>
        <v>29.871204347685861</v>
      </c>
      <c r="L76" s="22">
        <f t="shared" si="15"/>
        <v>30.871204347685861</v>
      </c>
      <c r="M76" s="22">
        <f t="shared" si="16"/>
        <v>28.769652486578025</v>
      </c>
      <c r="N76" s="30">
        <f t="shared" si="17"/>
        <v>1.0730475233264731</v>
      </c>
      <c r="O76" s="22">
        <f t="shared" si="18"/>
        <v>14.689718069299536</v>
      </c>
      <c r="P76" s="14">
        <f t="shared" si="19"/>
        <v>5.2522219791662534</v>
      </c>
    </row>
    <row r="77" spans="1:16" x14ac:dyDescent="0.5">
      <c r="A77" s="23" t="str">
        <f>'raw data'!A725</f>
        <v>2006-10</v>
      </c>
      <c r="B77" s="32">
        <f>'raw data'!U725</f>
        <v>723677.9</v>
      </c>
      <c r="C77" s="20">
        <f>'raw data'!V725</f>
        <v>300691</v>
      </c>
      <c r="D77" s="20">
        <f t="shared" si="10"/>
        <v>9286929.3000000007</v>
      </c>
      <c r="E77" s="18">
        <f>'raw data'!AH725</f>
        <v>9587620.3000000007</v>
      </c>
      <c r="F77" s="20">
        <f>'raw data'!AO725</f>
        <v>8910431.1999999993</v>
      </c>
      <c r="G77" s="20">
        <f>'raw data'!AS725</f>
        <v>7717815.1999999993</v>
      </c>
      <c r="H77" s="20">
        <f t="shared" si="11"/>
        <v>677189.10000000149</v>
      </c>
      <c r="I77" s="20">
        <f t="shared" si="12"/>
        <v>1869805.1000000015</v>
      </c>
      <c r="J77" s="22">
        <f t="shared" si="13"/>
        <v>3.1362422644125774</v>
      </c>
      <c r="K77" s="22">
        <f t="shared" si="14"/>
        <v>30.885291877708347</v>
      </c>
      <c r="L77" s="22">
        <f t="shared" si="15"/>
        <v>31.885291877708347</v>
      </c>
      <c r="M77" s="22">
        <f t="shared" si="16"/>
        <v>29.633182236914305</v>
      </c>
      <c r="N77" s="30">
        <f t="shared" si="17"/>
        <v>1.075999587988514</v>
      </c>
      <c r="O77" s="22">
        <f t="shared" si="18"/>
        <v>14.157966068857251</v>
      </c>
      <c r="P77" s="14">
        <f t="shared" si="19"/>
        <v>5.127604101625348</v>
      </c>
    </row>
    <row r="78" spans="1:16" x14ac:dyDescent="0.5">
      <c r="A78" s="23" t="str">
        <f>'raw data'!A726</f>
        <v>2006-11</v>
      </c>
      <c r="B78" s="32">
        <f>'raw data'!U726</f>
        <v>728725.6</v>
      </c>
      <c r="C78" s="20">
        <f>'raw data'!V726</f>
        <v>303833.7</v>
      </c>
      <c r="D78" s="20">
        <f t="shared" si="10"/>
        <v>9332079</v>
      </c>
      <c r="E78" s="18">
        <f>'raw data'!AH726</f>
        <v>9635912.6999999993</v>
      </c>
      <c r="F78" s="20">
        <f>'raw data'!AO726</f>
        <v>8966739.4000000004</v>
      </c>
      <c r="G78" s="20">
        <f>'raw data'!AS726</f>
        <v>7776178.4000000004</v>
      </c>
      <c r="H78" s="20">
        <f t="shared" si="11"/>
        <v>669173.29999999888</v>
      </c>
      <c r="I78" s="20">
        <f t="shared" si="12"/>
        <v>1859734.2999999989</v>
      </c>
      <c r="J78" s="22">
        <f t="shared" si="13"/>
        <v>3.1531387784366296</v>
      </c>
      <c r="K78" s="22">
        <f t="shared" si="14"/>
        <v>30.714430295256911</v>
      </c>
      <c r="L78" s="22">
        <f t="shared" si="15"/>
        <v>31.714430295256907</v>
      </c>
      <c r="M78" s="22">
        <f t="shared" si="16"/>
        <v>29.511997517062788</v>
      </c>
      <c r="N78" s="30">
        <f t="shared" si="17"/>
        <v>1.0746283872150895</v>
      </c>
      <c r="O78" s="22">
        <f t="shared" si="18"/>
        <v>14.399726797228782</v>
      </c>
      <c r="P78" s="14">
        <f t="shared" si="19"/>
        <v>5.1813383772079726</v>
      </c>
    </row>
    <row r="79" spans="1:16" x14ac:dyDescent="0.5">
      <c r="A79" s="23" t="str">
        <f>'raw data'!A727</f>
        <v>2006-12</v>
      </c>
      <c r="B79" s="32">
        <f>'raw data'!U727</f>
        <v>737624</v>
      </c>
      <c r="C79" s="20">
        <f>'raw data'!V727</f>
        <v>313037.59999999998</v>
      </c>
      <c r="D79" s="20">
        <f t="shared" si="10"/>
        <v>9450678.7000000011</v>
      </c>
      <c r="E79" s="18">
        <f>'raw data'!AH727</f>
        <v>9763716.3000000007</v>
      </c>
      <c r="F79" s="20">
        <f>'raw data'!AO727</f>
        <v>9059248</v>
      </c>
      <c r="G79" s="20">
        <f>'raw data'!AS727</f>
        <v>7812989.1999999993</v>
      </c>
      <c r="H79" s="20">
        <f t="shared" si="11"/>
        <v>704468.30000000075</v>
      </c>
      <c r="I79" s="20">
        <f t="shared" si="12"/>
        <v>1950727.1000000015</v>
      </c>
      <c r="J79" s="22">
        <f t="shared" si="13"/>
        <v>3.20613166525537</v>
      </c>
      <c r="K79" s="22">
        <f t="shared" si="14"/>
        <v>30.190234974967868</v>
      </c>
      <c r="L79" s="22">
        <f t="shared" si="15"/>
        <v>31.190234974967868</v>
      </c>
      <c r="M79" s="22">
        <f t="shared" si="16"/>
        <v>28.939807869725556</v>
      </c>
      <c r="N79" s="30">
        <f t="shared" si="17"/>
        <v>1.0777623374478766</v>
      </c>
      <c r="O79" s="22">
        <f t="shared" si="18"/>
        <v>13.8596957450037</v>
      </c>
      <c r="P79" s="14">
        <f t="shared" si="19"/>
        <v>5.0051677141307946</v>
      </c>
    </row>
    <row r="80" spans="1:16" x14ac:dyDescent="0.5">
      <c r="A80" s="23" t="str">
        <f>'raw data'!A728</f>
        <v>2007-01</v>
      </c>
      <c r="B80" s="32">
        <f>'raw data'!U728</f>
        <v>739564.3</v>
      </c>
      <c r="C80" s="20">
        <f>'raw data'!V728</f>
        <v>315161.8</v>
      </c>
      <c r="D80" s="20">
        <f t="shared" si="10"/>
        <v>9517440</v>
      </c>
      <c r="E80" s="18">
        <f>'raw data'!AH728</f>
        <v>9832601.8000000007</v>
      </c>
      <c r="F80" s="20">
        <f>'raw data'!AO728</f>
        <v>9110020</v>
      </c>
      <c r="G80" s="20">
        <f>'raw data'!AS728</f>
        <v>7858399.4000000004</v>
      </c>
      <c r="H80" s="20">
        <f t="shared" si="11"/>
        <v>722581.80000000075</v>
      </c>
      <c r="I80" s="20">
        <f t="shared" si="12"/>
        <v>1974202.4000000004</v>
      </c>
      <c r="J80" s="22">
        <f t="shared" si="13"/>
        <v>3.2052737048702609</v>
      </c>
      <c r="K80" s="22">
        <f t="shared" si="14"/>
        <v>30.198583711604645</v>
      </c>
      <c r="L80" s="22">
        <f t="shared" si="15"/>
        <v>31.198583711604645</v>
      </c>
      <c r="M80" s="22">
        <f t="shared" si="16"/>
        <v>28.905850899442765</v>
      </c>
      <c r="N80" s="30">
        <f t="shared" si="17"/>
        <v>1.0793172572617844</v>
      </c>
      <c r="O80" s="22">
        <f t="shared" si="18"/>
        <v>13.607596814644364</v>
      </c>
      <c r="P80" s="14">
        <f t="shared" si="19"/>
        <v>4.9805439401755356</v>
      </c>
    </row>
    <row r="81" spans="1:16" x14ac:dyDescent="0.5">
      <c r="A81" s="23" t="str">
        <f>'raw data'!A729</f>
        <v>2007-02</v>
      </c>
      <c r="B81" s="32">
        <f>'raw data'!U729</f>
        <v>737524.3</v>
      </c>
      <c r="C81" s="20">
        <f>'raw data'!V729</f>
        <v>310191.90000000002</v>
      </c>
      <c r="D81" s="20">
        <f t="shared" si="10"/>
        <v>9576660.9000000004</v>
      </c>
      <c r="E81" s="18">
        <f>'raw data'!AH729</f>
        <v>9886852.8000000007</v>
      </c>
      <c r="F81" s="20">
        <f>'raw data'!AO729</f>
        <v>9176240.9000000004</v>
      </c>
      <c r="G81" s="20">
        <f>'raw data'!AS729</f>
        <v>7909205.9000000004</v>
      </c>
      <c r="H81" s="20">
        <f t="shared" si="11"/>
        <v>710611.90000000037</v>
      </c>
      <c r="I81" s="20">
        <f t="shared" si="12"/>
        <v>1977646.9000000004</v>
      </c>
      <c r="J81" s="22">
        <f t="shared" si="13"/>
        <v>3.1374180062638333</v>
      </c>
      <c r="K81" s="22">
        <f t="shared" si="14"/>
        <v>30.873342920946676</v>
      </c>
      <c r="L81" s="22">
        <f t="shared" si="15"/>
        <v>31.87334292094668</v>
      </c>
      <c r="M81" s="22">
        <f t="shared" si="16"/>
        <v>29.582464596915649</v>
      </c>
      <c r="N81" s="30">
        <f t="shared" si="17"/>
        <v>1.0774404146255576</v>
      </c>
      <c r="O81" s="22">
        <f t="shared" si="18"/>
        <v>13.913154001502079</v>
      </c>
      <c r="P81" s="14">
        <f t="shared" si="19"/>
        <v>4.9993013414073051</v>
      </c>
    </row>
    <row r="82" spans="1:16" x14ac:dyDescent="0.5">
      <c r="A82" s="23" t="str">
        <f>'raw data'!A730</f>
        <v>2007-03</v>
      </c>
      <c r="B82" s="32">
        <f>'raw data'!U730</f>
        <v>731407.3</v>
      </c>
      <c r="C82" s="20">
        <f>'raw data'!V730</f>
        <v>302917.40000000002</v>
      </c>
      <c r="D82" s="20">
        <f t="shared" si="10"/>
        <v>9554022.6999999993</v>
      </c>
      <c r="E82" s="18">
        <f>'raw data'!AH730</f>
        <v>9856940.0999999996</v>
      </c>
      <c r="F82" s="20">
        <f>'raw data'!AO730</f>
        <v>9157037.1999999993</v>
      </c>
      <c r="G82" s="20">
        <f>'raw data'!AS730</f>
        <v>7929432.7000000002</v>
      </c>
      <c r="H82" s="20">
        <f t="shared" si="11"/>
        <v>699902.90000000037</v>
      </c>
      <c r="I82" s="20">
        <f t="shared" si="12"/>
        <v>1927507.3999999994</v>
      </c>
      <c r="J82" s="22">
        <f t="shared" si="13"/>
        <v>3.0731382855821558</v>
      </c>
      <c r="K82" s="22">
        <f t="shared" si="14"/>
        <v>31.540026092921696</v>
      </c>
      <c r="L82" s="22">
        <f t="shared" si="15"/>
        <v>32.5400260929217</v>
      </c>
      <c r="M82" s="22">
        <f t="shared" si="16"/>
        <v>30.229485661767857</v>
      </c>
      <c r="N82" s="30">
        <f t="shared" si="17"/>
        <v>1.0764333358829208</v>
      </c>
      <c r="O82" s="22">
        <f t="shared" si="18"/>
        <v>14.083296554422041</v>
      </c>
      <c r="P82" s="14">
        <f t="shared" si="19"/>
        <v>5.1138273710388882</v>
      </c>
    </row>
    <row r="83" spans="1:16" x14ac:dyDescent="0.5">
      <c r="A83" s="23" t="str">
        <f>'raw data'!A731</f>
        <v>2007-04</v>
      </c>
      <c r="B83" s="32">
        <f>'raw data'!U731</f>
        <v>736608.9</v>
      </c>
      <c r="C83" s="20">
        <f>'raw data'!V731</f>
        <v>307739</v>
      </c>
      <c r="D83" s="20">
        <f t="shared" si="10"/>
        <v>9637646.6999999993</v>
      </c>
      <c r="E83" s="18">
        <f>'raw data'!AH731</f>
        <v>9945385.6999999993</v>
      </c>
      <c r="F83" s="20">
        <f>'raw data'!AO731</f>
        <v>9250471.9000000004</v>
      </c>
      <c r="G83" s="20">
        <f>'raw data'!AS731</f>
        <v>8016066.4000000004</v>
      </c>
      <c r="H83" s="20">
        <f t="shared" si="11"/>
        <v>694913.79999999888</v>
      </c>
      <c r="I83" s="20">
        <f t="shared" si="12"/>
        <v>1929319.2999999989</v>
      </c>
      <c r="J83" s="22">
        <f t="shared" si="13"/>
        <v>3.0942892441064402</v>
      </c>
      <c r="K83" s="22">
        <f t="shared" si="14"/>
        <v>31.317599329301775</v>
      </c>
      <c r="L83" s="22">
        <f t="shared" si="15"/>
        <v>32.317599329301778</v>
      </c>
      <c r="M83" s="22">
        <f t="shared" si="16"/>
        <v>30.059472150101222</v>
      </c>
      <c r="N83" s="30">
        <f t="shared" si="17"/>
        <v>1.0751219837768491</v>
      </c>
      <c r="O83" s="22">
        <f t="shared" si="18"/>
        <v>14.31168254249666</v>
      </c>
      <c r="P83" s="14">
        <f t="shared" si="19"/>
        <v>5.1548676779421658</v>
      </c>
    </row>
    <row r="84" spans="1:16" x14ac:dyDescent="0.5">
      <c r="A84" s="23" t="str">
        <f>'raw data'!A732</f>
        <v>2007-05</v>
      </c>
      <c r="B84" s="32">
        <f>'raw data'!U732</f>
        <v>741959.1</v>
      </c>
      <c r="C84" s="20">
        <f>'raw data'!V732</f>
        <v>310624.5</v>
      </c>
      <c r="D84" s="20">
        <f t="shared" si="10"/>
        <v>9685511.5</v>
      </c>
      <c r="E84" s="18">
        <f>'raw data'!AH732</f>
        <v>9996136</v>
      </c>
      <c r="F84" s="20">
        <f>'raw data'!AO732</f>
        <v>9286165.1999999993</v>
      </c>
      <c r="G84" s="20">
        <f>'raw data'!AS732</f>
        <v>8065368</v>
      </c>
      <c r="H84" s="20">
        <f t="shared" si="11"/>
        <v>709970.80000000075</v>
      </c>
      <c r="I84" s="20">
        <f t="shared" si="12"/>
        <v>1930768</v>
      </c>
      <c r="J84" s="22">
        <f t="shared" si="13"/>
        <v>3.1074457170250582</v>
      </c>
      <c r="K84" s="22">
        <f t="shared" si="14"/>
        <v>31.18077131713693</v>
      </c>
      <c r="L84" s="22">
        <f t="shared" si="15"/>
        <v>32.18077131713693</v>
      </c>
      <c r="M84" s="22">
        <f t="shared" si="16"/>
        <v>29.895147356374011</v>
      </c>
      <c r="N84" s="30">
        <f t="shared" si="17"/>
        <v>1.0764546812068345</v>
      </c>
      <c r="O84" s="22">
        <f t="shared" si="18"/>
        <v>14.079643838873359</v>
      </c>
      <c r="P84" s="14">
        <f t="shared" si="19"/>
        <v>5.1772848938867853</v>
      </c>
    </row>
    <row r="85" spans="1:16" x14ac:dyDescent="0.5">
      <c r="A85" s="23" t="str">
        <f>'raw data'!A733</f>
        <v>2007-06</v>
      </c>
      <c r="B85" s="32">
        <f>'raw data'!U733</f>
        <v>750650</v>
      </c>
      <c r="C85" s="20">
        <f>'raw data'!V733</f>
        <v>315310.59999999998</v>
      </c>
      <c r="D85" s="20">
        <f t="shared" si="10"/>
        <v>9747761.2000000011</v>
      </c>
      <c r="E85" s="18">
        <f>'raw data'!AH733</f>
        <v>10063071.800000001</v>
      </c>
      <c r="F85" s="20">
        <f>'raw data'!AO733</f>
        <v>9378141.5999999996</v>
      </c>
      <c r="G85" s="20">
        <f>'raw data'!AS733</f>
        <v>8050370.0999999996</v>
      </c>
      <c r="H85" s="20">
        <f t="shared" si="11"/>
        <v>684930.20000000112</v>
      </c>
      <c r="I85" s="20">
        <f t="shared" si="12"/>
        <v>2012701.7000000011</v>
      </c>
      <c r="J85" s="22">
        <f t="shared" si="13"/>
        <v>3.1333434389288559</v>
      </c>
      <c r="K85" s="22">
        <f t="shared" si="14"/>
        <v>30.914790685755577</v>
      </c>
      <c r="L85" s="22">
        <f t="shared" si="15"/>
        <v>31.914790685755573</v>
      </c>
      <c r="M85" s="22">
        <f t="shared" si="16"/>
        <v>29.742550995748321</v>
      </c>
      <c r="N85" s="30">
        <f t="shared" si="17"/>
        <v>1.0730347470974422</v>
      </c>
      <c r="O85" s="22">
        <f t="shared" si="18"/>
        <v>14.692112860551315</v>
      </c>
      <c r="P85" s="14">
        <f t="shared" si="19"/>
        <v>4.9997830279568971</v>
      </c>
    </row>
    <row r="86" spans="1:16" x14ac:dyDescent="0.5">
      <c r="A86" s="23" t="str">
        <f>'raw data'!A734</f>
        <v>2007-07</v>
      </c>
      <c r="B86" s="32">
        <f>'raw data'!U734</f>
        <v>761069.9</v>
      </c>
      <c r="C86" s="20">
        <f>'raw data'!V734</f>
        <v>316382.5</v>
      </c>
      <c r="D86" s="20">
        <f t="shared" si="10"/>
        <v>9843839.6999999993</v>
      </c>
      <c r="E86" s="18">
        <f>'raw data'!AH734</f>
        <v>10160222.199999999</v>
      </c>
      <c r="F86" s="20">
        <f>'raw data'!AO734</f>
        <v>9472269.3000000007</v>
      </c>
      <c r="G86" s="20">
        <f>'raw data'!AS734</f>
        <v>8099896.5</v>
      </c>
      <c r="H86" s="20">
        <f t="shared" si="11"/>
        <v>687952.89999999851</v>
      </c>
      <c r="I86" s="20">
        <f t="shared" si="12"/>
        <v>2060325.6999999993</v>
      </c>
      <c r="J86" s="22">
        <f t="shared" si="13"/>
        <v>3.1139328822946415</v>
      </c>
      <c r="K86" s="22">
        <f t="shared" si="14"/>
        <v>31.113730057762357</v>
      </c>
      <c r="L86" s="22">
        <f t="shared" si="15"/>
        <v>32.113730057762361</v>
      </c>
      <c r="M86" s="22">
        <f t="shared" si="16"/>
        <v>29.93929594715258</v>
      </c>
      <c r="N86" s="30">
        <f t="shared" si="17"/>
        <v>1.0726280976829912</v>
      </c>
      <c r="O86" s="22">
        <f t="shared" si="18"/>
        <v>14.768775885674762</v>
      </c>
      <c r="P86" s="14">
        <f t="shared" si="19"/>
        <v>4.9313670163896912</v>
      </c>
    </row>
    <row r="87" spans="1:16" x14ac:dyDescent="0.5">
      <c r="A87" s="23" t="str">
        <f>'raw data'!A735</f>
        <v>2007-08</v>
      </c>
      <c r="B87" s="32">
        <f>'raw data'!U735</f>
        <v>764820.4</v>
      </c>
      <c r="C87" s="20">
        <f>'raw data'!V735</f>
        <v>317510</v>
      </c>
      <c r="D87" s="20">
        <f t="shared" si="10"/>
        <v>9994307.1999999993</v>
      </c>
      <c r="E87" s="18">
        <f>'raw data'!AH735</f>
        <v>10311817.199999999</v>
      </c>
      <c r="F87" s="20">
        <f>'raw data'!AO735</f>
        <v>9619976.1999999993</v>
      </c>
      <c r="G87" s="20">
        <f>'raw data'!AS735</f>
        <v>8190913.3000000007</v>
      </c>
      <c r="H87" s="20">
        <f t="shared" si="11"/>
        <v>691841</v>
      </c>
      <c r="I87" s="20">
        <f t="shared" si="12"/>
        <v>2120903.8999999985</v>
      </c>
      <c r="J87" s="22">
        <f t="shared" si="13"/>
        <v>3.0790887177480224</v>
      </c>
      <c r="K87" s="22">
        <f t="shared" si="14"/>
        <v>31.477141507354098</v>
      </c>
      <c r="L87" s="22">
        <f t="shared" si="15"/>
        <v>32.477141507354098</v>
      </c>
      <c r="M87" s="22">
        <f t="shared" si="16"/>
        <v>30.298183364303483</v>
      </c>
      <c r="N87" s="30">
        <f t="shared" si="17"/>
        <v>1.0719171217908003</v>
      </c>
      <c r="O87" s="22">
        <f t="shared" si="18"/>
        <v>14.904894621741121</v>
      </c>
      <c r="P87" s="14">
        <f t="shared" si="19"/>
        <v>4.8619917196625488</v>
      </c>
    </row>
    <row r="88" spans="1:16" x14ac:dyDescent="0.5">
      <c r="A88" s="23" t="str">
        <f>'raw data'!A736</f>
        <v>2007-09</v>
      </c>
      <c r="B88" s="32">
        <f>'raw data'!U736</f>
        <v>773912.7</v>
      </c>
      <c r="C88" s="20">
        <f>'raw data'!V736</f>
        <v>322053.7</v>
      </c>
      <c r="D88" s="20">
        <f t="shared" si="10"/>
        <v>10150770.800000001</v>
      </c>
      <c r="E88" s="18">
        <f>'raw data'!AH736</f>
        <v>10472824.5</v>
      </c>
      <c r="F88" s="20">
        <f>'raw data'!AO736</f>
        <v>9731788.4000000004</v>
      </c>
      <c r="G88" s="20">
        <f>'raw data'!AS736</f>
        <v>8294215.9000000004</v>
      </c>
      <c r="H88" s="20">
        <f t="shared" si="11"/>
        <v>741036.09999999963</v>
      </c>
      <c r="I88" s="20">
        <f t="shared" si="12"/>
        <v>2178608.5999999996</v>
      </c>
      <c r="J88" s="22">
        <f t="shared" si="13"/>
        <v>3.0751369890710953</v>
      </c>
      <c r="K88" s="22">
        <f t="shared" si="14"/>
        <v>31.518876510345947</v>
      </c>
      <c r="L88" s="22">
        <f t="shared" si="15"/>
        <v>32.518876510345947</v>
      </c>
      <c r="M88" s="22">
        <f t="shared" si="16"/>
        <v>30.217905895817996</v>
      </c>
      <c r="N88" s="30">
        <f t="shared" si="17"/>
        <v>1.0761459322317366</v>
      </c>
      <c r="O88" s="22">
        <f t="shared" si="18"/>
        <v>14.132677881684854</v>
      </c>
      <c r="P88" s="14">
        <f t="shared" si="19"/>
        <v>4.8071161107139675</v>
      </c>
    </row>
    <row r="89" spans="1:16" x14ac:dyDescent="0.5">
      <c r="A89" s="23" t="str">
        <f>'raw data'!A737</f>
        <v>2007-10</v>
      </c>
      <c r="B89" s="32">
        <f>'raw data'!U737</f>
        <v>772998.2</v>
      </c>
      <c r="C89" s="20">
        <f>'raw data'!V737</f>
        <v>321043.90000000002</v>
      </c>
      <c r="D89" s="20">
        <f t="shared" si="10"/>
        <v>10281889.799999999</v>
      </c>
      <c r="E89" s="18">
        <f>'raw data'!AH737</f>
        <v>10602933.699999999</v>
      </c>
      <c r="F89" s="20">
        <f>'raw data'!AO737</f>
        <v>9846482.5999999996</v>
      </c>
      <c r="G89" s="20">
        <f>'raw data'!AS737</f>
        <v>8513340.8000000007</v>
      </c>
      <c r="H89" s="20">
        <f t="shared" si="11"/>
        <v>756451.09999999963</v>
      </c>
      <c r="I89" s="20">
        <f t="shared" si="12"/>
        <v>2089592.8999999985</v>
      </c>
      <c r="J89" s="22">
        <f t="shared" si="13"/>
        <v>3.0278780296438148</v>
      </c>
      <c r="K89" s="22">
        <f t="shared" si="14"/>
        <v>32.026429407317806</v>
      </c>
      <c r="L89" s="22">
        <f t="shared" si="15"/>
        <v>33.026429407317814</v>
      </c>
      <c r="M89" s="22">
        <f t="shared" si="16"/>
        <v>30.670206161836433</v>
      </c>
      <c r="N89" s="30">
        <f t="shared" si="17"/>
        <v>1.0768244997457264</v>
      </c>
      <c r="O89" s="22">
        <f t="shared" si="18"/>
        <v>14.016680919625875</v>
      </c>
      <c r="P89" s="14">
        <f t="shared" si="19"/>
        <v>5.0741623882814721</v>
      </c>
    </row>
    <row r="90" spans="1:16" x14ac:dyDescent="0.5">
      <c r="A90" s="23" t="str">
        <f>'raw data'!A738</f>
        <v>2007-11</v>
      </c>
      <c r="B90" s="32">
        <f>'raw data'!U738</f>
        <v>784795.3</v>
      </c>
      <c r="C90" s="20">
        <f>'raw data'!V738</f>
        <v>330278.59999999998</v>
      </c>
      <c r="D90" s="20">
        <f t="shared" si="10"/>
        <v>10436521.700000001</v>
      </c>
      <c r="E90" s="18">
        <f>'raw data'!AH738</f>
        <v>10766800.300000001</v>
      </c>
      <c r="F90" s="20">
        <f>'raw data'!AO738</f>
        <v>10009484.699999999</v>
      </c>
      <c r="G90" s="20">
        <f>'raw data'!AS738</f>
        <v>8686903.9000000004</v>
      </c>
      <c r="H90" s="20">
        <f t="shared" si="11"/>
        <v>757315.60000000149</v>
      </c>
      <c r="I90" s="20">
        <f t="shared" si="12"/>
        <v>2079896.4000000004</v>
      </c>
      <c r="J90" s="22">
        <f t="shared" si="13"/>
        <v>3.067565022079958</v>
      </c>
      <c r="K90" s="22">
        <f t="shared" si="14"/>
        <v>31.599145993715613</v>
      </c>
      <c r="L90" s="22">
        <f t="shared" si="15"/>
        <v>32.599145993715616</v>
      </c>
      <c r="M90" s="22">
        <f t="shared" si="16"/>
        <v>30.306186050201255</v>
      </c>
      <c r="N90" s="30">
        <f t="shared" si="17"/>
        <v>1.0756597989504897</v>
      </c>
      <c r="O90" s="22">
        <f t="shared" si="18"/>
        <v>14.217058647676055</v>
      </c>
      <c r="P90" s="14">
        <f t="shared" si="19"/>
        <v>5.1766041327827672</v>
      </c>
    </row>
    <row r="91" spans="1:16" x14ac:dyDescent="0.5">
      <c r="A91" s="23" t="str">
        <f>'raw data'!A739</f>
        <v>2007-12</v>
      </c>
      <c r="B91" s="32">
        <f>'raw data'!U739</f>
        <v>798352.3</v>
      </c>
      <c r="C91" s="20">
        <f>'raw data'!V739</f>
        <v>341428.8</v>
      </c>
      <c r="D91" s="20">
        <f t="shared" si="10"/>
        <v>10489433.899999999</v>
      </c>
      <c r="E91" s="18">
        <f>'raw data'!AH739</f>
        <v>10830862.699999999</v>
      </c>
      <c r="F91" s="20">
        <f>'raw data'!AO739</f>
        <v>10048651.4</v>
      </c>
      <c r="G91" s="20">
        <f>'raw data'!AS739</f>
        <v>8686075.6999999993</v>
      </c>
      <c r="H91" s="20">
        <f t="shared" si="11"/>
        <v>782211.29999999888</v>
      </c>
      <c r="I91" s="20">
        <f t="shared" si="12"/>
        <v>2144787</v>
      </c>
      <c r="J91" s="22">
        <f t="shared" si="13"/>
        <v>3.1523693860508453</v>
      </c>
      <c r="K91" s="22">
        <f t="shared" si="14"/>
        <v>30.722170771768518</v>
      </c>
      <c r="L91" s="22">
        <f t="shared" si="15"/>
        <v>31.722170771768521</v>
      </c>
      <c r="M91" s="22">
        <f t="shared" si="16"/>
        <v>29.431176866157749</v>
      </c>
      <c r="N91" s="30">
        <f t="shared" si="17"/>
        <v>1.0778424157494406</v>
      </c>
      <c r="O91" s="22">
        <f t="shared" si="18"/>
        <v>13.846466677226491</v>
      </c>
      <c r="P91" s="14">
        <f t="shared" si="19"/>
        <v>5.0498546941957407</v>
      </c>
    </row>
    <row r="92" spans="1:16" x14ac:dyDescent="0.5">
      <c r="A92" s="23" t="str">
        <f>'raw data'!A740</f>
        <v>2008-01</v>
      </c>
      <c r="B92" s="32">
        <f>'raw data'!U740</f>
        <v>799693.1</v>
      </c>
      <c r="C92" s="20">
        <f>'raw data'!V740</f>
        <v>338148.5</v>
      </c>
      <c r="D92" s="20">
        <f t="shared" si="10"/>
        <v>10610113.6</v>
      </c>
      <c r="E92" s="18">
        <f>'raw data'!AH740</f>
        <v>10948262.1</v>
      </c>
      <c r="F92" s="20">
        <f>'raw data'!AO740</f>
        <v>10117637.5</v>
      </c>
      <c r="G92" s="20">
        <f>'raw data'!AS740</f>
        <v>8752297.6999999993</v>
      </c>
      <c r="H92" s="20">
        <f t="shared" si="11"/>
        <v>830624.59999999963</v>
      </c>
      <c r="I92" s="20">
        <f t="shared" si="12"/>
        <v>2195964.4000000004</v>
      </c>
      <c r="J92" s="22">
        <f t="shared" si="13"/>
        <v>3.0886043548409385</v>
      </c>
      <c r="K92" s="22">
        <f t="shared" si="14"/>
        <v>31.377083145422795</v>
      </c>
      <c r="L92" s="22">
        <f t="shared" si="15"/>
        <v>32.377083145422795</v>
      </c>
      <c r="M92" s="22">
        <f t="shared" si="16"/>
        <v>29.920693127427743</v>
      </c>
      <c r="N92" s="30">
        <f t="shared" si="17"/>
        <v>1.0820966950041448</v>
      </c>
      <c r="O92" s="22">
        <f t="shared" si="18"/>
        <v>13.180758311275641</v>
      </c>
      <c r="P92" s="14">
        <f t="shared" si="19"/>
        <v>4.9856282278528727</v>
      </c>
    </row>
    <row r="93" spans="1:16" x14ac:dyDescent="0.5">
      <c r="A93" s="23" t="str">
        <f>'raw data'!A741</f>
        <v>2008-02</v>
      </c>
      <c r="B93" s="32">
        <f>'raw data'!U741</f>
        <v>796780.4</v>
      </c>
      <c r="C93" s="20">
        <f>'raw data'!V741</f>
        <v>331411.8</v>
      </c>
      <c r="D93" s="20">
        <f t="shared" si="10"/>
        <v>10657879.299999999</v>
      </c>
      <c r="E93" s="18">
        <f>'raw data'!AH741</f>
        <v>10989291.1</v>
      </c>
      <c r="F93" s="20">
        <f>'raw data'!AO741</f>
        <v>10180902.9</v>
      </c>
      <c r="G93" s="20">
        <f>'raw data'!AS741</f>
        <v>8850263.0999999996</v>
      </c>
      <c r="H93" s="20">
        <f t="shared" si="11"/>
        <v>808388.19999999925</v>
      </c>
      <c r="I93" s="20">
        <f t="shared" si="12"/>
        <v>2139028</v>
      </c>
      <c r="J93" s="22">
        <f t="shared" si="13"/>
        <v>3.0157705077081811</v>
      </c>
      <c r="K93" s="22">
        <f t="shared" si="14"/>
        <v>32.159021797051281</v>
      </c>
      <c r="L93" s="22">
        <f t="shared" si="15"/>
        <v>33.159021797051281</v>
      </c>
      <c r="M93" s="22">
        <f t="shared" si="16"/>
        <v>30.719796036230456</v>
      </c>
      <c r="N93" s="30">
        <f t="shared" si="17"/>
        <v>1.0794024074230193</v>
      </c>
      <c r="O93" s="22">
        <f t="shared" si="18"/>
        <v>13.594076583502838</v>
      </c>
      <c r="P93" s="14">
        <f t="shared" si="19"/>
        <v>5.1375162456966432</v>
      </c>
    </row>
    <row r="94" spans="1:16" x14ac:dyDescent="0.5">
      <c r="A94" s="23" t="str">
        <f>'raw data'!A742</f>
        <v>2008-03</v>
      </c>
      <c r="B94" s="32">
        <f>'raw data'!U742</f>
        <v>798355.3</v>
      </c>
      <c r="C94" s="20">
        <f>'raw data'!V742</f>
        <v>328294.40000000002</v>
      </c>
      <c r="D94" s="20">
        <f t="shared" si="10"/>
        <v>10787591.5</v>
      </c>
      <c r="E94" s="18">
        <f>'raw data'!AH742</f>
        <v>11115885.9</v>
      </c>
      <c r="F94" s="20">
        <f>'raw data'!AO742</f>
        <v>10320359.5</v>
      </c>
      <c r="G94" s="20">
        <f>'raw data'!AS742</f>
        <v>8924230.0999999996</v>
      </c>
      <c r="H94" s="20">
        <f t="shared" si="11"/>
        <v>795526.40000000037</v>
      </c>
      <c r="I94" s="20">
        <f t="shared" si="12"/>
        <v>2191655.8000000007</v>
      </c>
      <c r="J94" s="22">
        <f t="shared" si="13"/>
        <v>2.9533804408697644</v>
      </c>
      <c r="K94" s="22">
        <f t="shared" si="14"/>
        <v>32.859505066184497</v>
      </c>
      <c r="L94" s="22">
        <f t="shared" si="15"/>
        <v>33.859505066184497</v>
      </c>
      <c r="M94" s="22">
        <f t="shared" si="16"/>
        <v>31.436294679409698</v>
      </c>
      <c r="N94" s="30">
        <f t="shared" si="17"/>
        <v>1.0770832062584641</v>
      </c>
      <c r="O94" s="22">
        <f t="shared" si="18"/>
        <v>13.972994359458083</v>
      </c>
      <c r="P94" s="14">
        <f t="shared" si="19"/>
        <v>5.0719122500896336</v>
      </c>
    </row>
    <row r="95" spans="1:16" x14ac:dyDescent="0.5">
      <c r="A95" s="23" t="str">
        <f>'raw data'!A743</f>
        <v>2008-04</v>
      </c>
      <c r="B95" s="32">
        <f>'raw data'!U743</f>
        <v>803640.4</v>
      </c>
      <c r="C95" s="20">
        <f>'raw data'!V743</f>
        <v>329319.59999999998</v>
      </c>
      <c r="D95" s="20">
        <f t="shared" si="10"/>
        <v>10729237.300000001</v>
      </c>
      <c r="E95" s="18">
        <f>'raw data'!AH743</f>
        <v>11058556.9</v>
      </c>
      <c r="F95" s="20">
        <f>'raw data'!AO743</f>
        <v>10269726.800000001</v>
      </c>
      <c r="G95" s="20">
        <f>'raw data'!AS743</f>
        <v>8945061.9000000004</v>
      </c>
      <c r="H95" s="20">
        <f t="shared" si="11"/>
        <v>788830.09999999963</v>
      </c>
      <c r="I95" s="20">
        <f t="shared" si="12"/>
        <v>2113495</v>
      </c>
      <c r="J95" s="22">
        <f t="shared" si="13"/>
        <v>2.9779617989757772</v>
      </c>
      <c r="K95" s="22">
        <f t="shared" si="14"/>
        <v>32.580014369020255</v>
      </c>
      <c r="L95" s="22">
        <f t="shared" si="15"/>
        <v>33.580014369020247</v>
      </c>
      <c r="M95" s="22">
        <f t="shared" si="16"/>
        <v>31.184681385499076</v>
      </c>
      <c r="N95" s="30">
        <f t="shared" si="17"/>
        <v>1.0768112059222452</v>
      </c>
      <c r="O95" s="22">
        <f t="shared" si="18"/>
        <v>14.018933734906929</v>
      </c>
      <c r="P95" s="14">
        <f t="shared" si="19"/>
        <v>5.2323553639824087</v>
      </c>
    </row>
    <row r="96" spans="1:16" x14ac:dyDescent="0.5">
      <c r="A96" s="23" t="str">
        <f>'raw data'!A744</f>
        <v>2008-05</v>
      </c>
      <c r="B96" s="32">
        <f>'raw data'!U744</f>
        <v>808640.2</v>
      </c>
      <c r="C96" s="20">
        <f>'raw data'!V744</f>
        <v>330340.09999999998</v>
      </c>
      <c r="D96" s="20">
        <f t="shared" si="10"/>
        <v>10685944.700000001</v>
      </c>
      <c r="E96" s="18">
        <f>'raw data'!AH744</f>
        <v>11016284.800000001</v>
      </c>
      <c r="F96" s="20">
        <f>'raw data'!AO744</f>
        <v>10216543.199999999</v>
      </c>
      <c r="G96" s="20">
        <f>'raw data'!AS744</f>
        <v>8927221.5999999996</v>
      </c>
      <c r="H96" s="20">
        <f t="shared" si="11"/>
        <v>799741.60000000149</v>
      </c>
      <c r="I96" s="20">
        <f t="shared" si="12"/>
        <v>2089063.2000000011</v>
      </c>
      <c r="J96" s="22">
        <f t="shared" si="13"/>
        <v>2.9986525039730267</v>
      </c>
      <c r="K96" s="22">
        <f t="shared" si="14"/>
        <v>32.348312239416295</v>
      </c>
      <c r="L96" s="22">
        <f t="shared" si="15"/>
        <v>33.348312239416288</v>
      </c>
      <c r="M96" s="22">
        <f t="shared" si="16"/>
        <v>30.927347905991432</v>
      </c>
      <c r="N96" s="30">
        <f t="shared" si="17"/>
        <v>1.0782790797576232</v>
      </c>
      <c r="O96" s="22">
        <f t="shared" si="18"/>
        <v>13.774805262099633</v>
      </c>
      <c r="P96" s="14">
        <f t="shared" si="19"/>
        <v>5.2733133205352498</v>
      </c>
    </row>
    <row r="97" spans="1:16" x14ac:dyDescent="0.5">
      <c r="A97" s="23" t="str">
        <f>'raw data'!A745</f>
        <v>2008-06</v>
      </c>
      <c r="B97" s="32">
        <f>'raw data'!U745</f>
        <v>812173.5</v>
      </c>
      <c r="C97" s="20">
        <f>'raw data'!V745</f>
        <v>330406.7</v>
      </c>
      <c r="D97" s="20">
        <f t="shared" si="10"/>
        <v>10662549.300000001</v>
      </c>
      <c r="E97" s="18">
        <f>'raw data'!AH745</f>
        <v>10992956</v>
      </c>
      <c r="F97" s="20">
        <f>'raw data'!AO745</f>
        <v>10232403.4</v>
      </c>
      <c r="G97" s="20">
        <f>'raw data'!AS745</f>
        <v>8951875</v>
      </c>
      <c r="H97" s="20">
        <f t="shared" si="11"/>
        <v>760552.59999999963</v>
      </c>
      <c r="I97" s="20">
        <f t="shared" si="12"/>
        <v>2041081</v>
      </c>
      <c r="J97" s="22">
        <f t="shared" si="13"/>
        <v>3.0056219637375059</v>
      </c>
      <c r="K97" s="22">
        <f t="shared" si="14"/>
        <v>32.270983911645864</v>
      </c>
      <c r="L97" s="22">
        <f t="shared" si="15"/>
        <v>33.270983911645857</v>
      </c>
      <c r="M97" s="22">
        <f t="shared" si="16"/>
        <v>30.969115941050831</v>
      </c>
      <c r="N97" s="30">
        <f t="shared" si="17"/>
        <v>1.0743278553697364</v>
      </c>
      <c r="O97" s="22">
        <f t="shared" si="18"/>
        <v>14.453906278145661</v>
      </c>
      <c r="P97" s="14">
        <f t="shared" si="19"/>
        <v>5.3858499491200984</v>
      </c>
    </row>
    <row r="98" spans="1:16" x14ac:dyDescent="0.5">
      <c r="A98" s="23" t="str">
        <f>'raw data'!A746</f>
        <v>2008-07</v>
      </c>
      <c r="B98" s="32">
        <f>'raw data'!U746</f>
        <v>822412.1</v>
      </c>
      <c r="C98" s="20">
        <f>'raw data'!V746</f>
        <v>334840.2</v>
      </c>
      <c r="D98" s="20">
        <f t="shared" si="10"/>
        <v>10666073.600000001</v>
      </c>
      <c r="E98" s="18">
        <f>'raw data'!AH746</f>
        <v>11000913.800000001</v>
      </c>
      <c r="F98" s="20">
        <f>'raw data'!AO746</f>
        <v>10234525.9</v>
      </c>
      <c r="G98" s="20">
        <f>'raw data'!AS746</f>
        <v>8952146.0999999996</v>
      </c>
      <c r="H98" s="20">
        <f t="shared" si="11"/>
        <v>766387.90000000037</v>
      </c>
      <c r="I98" s="20">
        <f t="shared" si="12"/>
        <v>2048767.7000000011</v>
      </c>
      <c r="J98" s="22">
        <f t="shared" si="13"/>
        <v>3.0437489656541077</v>
      </c>
      <c r="K98" s="22">
        <f t="shared" si="14"/>
        <v>31.854220610309039</v>
      </c>
      <c r="L98" s="22">
        <f t="shared" si="15"/>
        <v>32.854220610309035</v>
      </c>
      <c r="M98" s="22">
        <f t="shared" si="16"/>
        <v>30.56540373587162</v>
      </c>
      <c r="N98" s="30">
        <f t="shared" si="17"/>
        <v>1.0748825991050548</v>
      </c>
      <c r="O98" s="22">
        <f t="shared" si="18"/>
        <v>14.354237325511004</v>
      </c>
      <c r="P98" s="14">
        <f t="shared" si="19"/>
        <v>5.3695271552748487</v>
      </c>
    </row>
    <row r="99" spans="1:16" x14ac:dyDescent="0.5">
      <c r="A99" s="23" t="str">
        <f>'raw data'!A747</f>
        <v>2008-08</v>
      </c>
      <c r="B99" s="32">
        <f>'raw data'!U747</f>
        <v>829370.7</v>
      </c>
      <c r="C99" s="20">
        <f>'raw data'!V747</f>
        <v>340931.5</v>
      </c>
      <c r="D99" s="20">
        <f t="shared" si="10"/>
        <v>10646897</v>
      </c>
      <c r="E99" s="18">
        <f>'raw data'!AH747</f>
        <v>10987828.5</v>
      </c>
      <c r="F99" s="20">
        <f>'raw data'!AO747</f>
        <v>10241621.6</v>
      </c>
      <c r="G99" s="20">
        <f>'raw data'!AS747</f>
        <v>8956933.5999999996</v>
      </c>
      <c r="H99" s="20">
        <f t="shared" si="11"/>
        <v>746206.90000000037</v>
      </c>
      <c r="I99" s="20">
        <f t="shared" si="12"/>
        <v>2030894.9000000004</v>
      </c>
      <c r="J99" s="22">
        <f t="shared" si="13"/>
        <v>3.1028105325815742</v>
      </c>
      <c r="K99" s="22">
        <f t="shared" si="14"/>
        <v>31.228845090582713</v>
      </c>
      <c r="L99" s="22">
        <f t="shared" si="15"/>
        <v>32.228845090582709</v>
      </c>
      <c r="M99" s="22">
        <f t="shared" si="16"/>
        <v>30.040115389748379</v>
      </c>
      <c r="N99" s="30">
        <f t="shared" si="17"/>
        <v>1.0728602294777225</v>
      </c>
      <c r="O99" s="22">
        <f t="shared" si="18"/>
        <v>14.724908735097458</v>
      </c>
      <c r="P99" s="14">
        <f t="shared" si="19"/>
        <v>5.410338319329079</v>
      </c>
    </row>
    <row r="100" spans="1:16" x14ac:dyDescent="0.5">
      <c r="A100" s="23" t="str">
        <f>'raw data'!A748</f>
        <v>2008-09</v>
      </c>
      <c r="B100" s="32">
        <f>'raw data'!U748</f>
        <v>837008.5</v>
      </c>
      <c r="C100" s="20">
        <f>'raw data'!V748</f>
        <v>349567.1</v>
      </c>
      <c r="D100" s="20">
        <f t="shared" si="10"/>
        <v>10933753.5</v>
      </c>
      <c r="E100" s="18">
        <f>'raw data'!AH748</f>
        <v>11283320.6</v>
      </c>
      <c r="F100" s="20">
        <f>'raw data'!AO748</f>
        <v>10509770.9</v>
      </c>
      <c r="G100" s="20">
        <f>'raw data'!AS748</f>
        <v>9194514.3999999985</v>
      </c>
      <c r="H100" s="20">
        <f t="shared" si="11"/>
        <v>773549.69999999925</v>
      </c>
      <c r="I100" s="20">
        <f t="shared" si="12"/>
        <v>2088806.2000000011</v>
      </c>
      <c r="J100" s="22">
        <f t="shared" si="13"/>
        <v>3.0980871003523553</v>
      </c>
      <c r="K100" s="22">
        <f t="shared" si="14"/>
        <v>31.277982109872472</v>
      </c>
      <c r="L100" s="22">
        <f t="shared" si="15"/>
        <v>32.277982109872468</v>
      </c>
      <c r="M100" s="22">
        <f t="shared" si="16"/>
        <v>30.065103094656223</v>
      </c>
      <c r="N100" s="30">
        <f t="shared" si="17"/>
        <v>1.0736029079377933</v>
      </c>
      <c r="O100" s="22">
        <f t="shared" si="18"/>
        <v>14.586419721964873</v>
      </c>
      <c r="P100" s="14">
        <f t="shared" si="19"/>
        <v>5.4018034799015791</v>
      </c>
    </row>
    <row r="101" spans="1:16" x14ac:dyDescent="0.5">
      <c r="A101" s="23" t="str">
        <f>'raw data'!A749</f>
        <v>2008-10</v>
      </c>
      <c r="B101" s="32">
        <f>'raw data'!U749</f>
        <v>860867.4</v>
      </c>
      <c r="C101" s="20">
        <f>'raw data'!V749</f>
        <v>373901.4</v>
      </c>
      <c r="D101" s="20">
        <f t="shared" si="10"/>
        <v>11572324.799999999</v>
      </c>
      <c r="E101" s="18">
        <f>'raw data'!AH749</f>
        <v>11946226.199999999</v>
      </c>
      <c r="F101" s="20">
        <f>'raw data'!AO749</f>
        <v>11144766.699999999</v>
      </c>
      <c r="G101" s="20">
        <f>'raw data'!AS749</f>
        <v>9178562.1999999993</v>
      </c>
      <c r="H101" s="20">
        <f t="shared" si="11"/>
        <v>801459.5</v>
      </c>
      <c r="I101" s="20">
        <f t="shared" si="12"/>
        <v>2767664</v>
      </c>
      <c r="J101" s="22">
        <f t="shared" si="13"/>
        <v>3.1298704188273283</v>
      </c>
      <c r="K101" s="22">
        <f t="shared" si="14"/>
        <v>30.950204519159325</v>
      </c>
      <c r="L101" s="22">
        <f t="shared" si="15"/>
        <v>31.950204519159325</v>
      </c>
      <c r="M101" s="22">
        <f t="shared" si="16"/>
        <v>29.806699573737884</v>
      </c>
      <c r="N101" s="30">
        <f t="shared" si="17"/>
        <v>1.0719135287058095</v>
      </c>
      <c r="O101" s="22">
        <f t="shared" si="18"/>
        <v>14.905589365401495</v>
      </c>
      <c r="P101" s="14">
        <f t="shared" si="19"/>
        <v>4.316357115603628</v>
      </c>
    </row>
    <row r="102" spans="1:16" x14ac:dyDescent="0.5">
      <c r="A102" s="23" t="str">
        <f>'raw data'!A750</f>
        <v>2008-11</v>
      </c>
      <c r="B102" s="32">
        <f>'raw data'!U750</f>
        <v>869787</v>
      </c>
      <c r="C102" s="20">
        <f>'raw data'!V750</f>
        <v>382397.2</v>
      </c>
      <c r="D102" s="20">
        <f t="shared" si="10"/>
        <v>11752300.600000001</v>
      </c>
      <c r="E102" s="18">
        <f>'raw data'!AH750</f>
        <v>12134697.800000001</v>
      </c>
      <c r="F102" s="20">
        <f>'raw data'!AO750</f>
        <v>11351565.300000001</v>
      </c>
      <c r="G102" s="20">
        <f>'raw data'!AS750</f>
        <v>9005317.4000000004</v>
      </c>
      <c r="H102" s="20">
        <f t="shared" si="11"/>
        <v>783132.5</v>
      </c>
      <c r="I102" s="20">
        <f t="shared" si="12"/>
        <v>3129380.4000000004</v>
      </c>
      <c r="J102" s="22">
        <f t="shared" si="13"/>
        <v>3.151270895266959</v>
      </c>
      <c r="K102" s="22">
        <f t="shared" si="14"/>
        <v>30.733228695189194</v>
      </c>
      <c r="L102" s="22">
        <f t="shared" si="15"/>
        <v>31.73322869518919</v>
      </c>
      <c r="M102" s="22">
        <f t="shared" si="16"/>
        <v>29.685273061622837</v>
      </c>
      <c r="N102" s="30">
        <f t="shared" si="17"/>
        <v>1.0689889437538627</v>
      </c>
      <c r="O102" s="22">
        <f t="shared" si="18"/>
        <v>15.495076248272165</v>
      </c>
      <c r="P102" s="14">
        <f t="shared" si="19"/>
        <v>3.8776678603853973</v>
      </c>
    </row>
    <row r="103" spans="1:16" x14ac:dyDescent="0.5">
      <c r="A103" s="23" t="str">
        <f>'raw data'!A751</f>
        <v>2008-12</v>
      </c>
      <c r="B103" s="32">
        <f>'raw data'!U751</f>
        <v>875427.5</v>
      </c>
      <c r="C103" s="20">
        <f>'raw data'!V751</f>
        <v>384293</v>
      </c>
      <c r="D103" s="20">
        <f t="shared" si="10"/>
        <v>11966185.800000001</v>
      </c>
      <c r="E103" s="18">
        <f>'raw data'!AH751</f>
        <v>12350478.800000001</v>
      </c>
      <c r="F103" s="20">
        <f>'raw data'!AO751</f>
        <v>11523536.199999999</v>
      </c>
      <c r="G103" s="20">
        <f>'raw data'!AS751</f>
        <v>9123224</v>
      </c>
      <c r="H103" s="20">
        <f t="shared" si="11"/>
        <v>826942.60000000149</v>
      </c>
      <c r="I103" s="20">
        <f t="shared" si="12"/>
        <v>3227254.8000000007</v>
      </c>
      <c r="J103" s="22">
        <f t="shared" si="13"/>
        <v>3.1115635775999224</v>
      </c>
      <c r="K103" s="22">
        <f t="shared" si="14"/>
        <v>31.138183105078678</v>
      </c>
      <c r="L103" s="22">
        <f t="shared" si="15"/>
        <v>32.138183105078681</v>
      </c>
      <c r="M103" s="22">
        <f t="shared" si="16"/>
        <v>29.986328660683384</v>
      </c>
      <c r="N103" s="30">
        <f t="shared" si="17"/>
        <v>1.0717611838629884</v>
      </c>
      <c r="O103" s="22">
        <f t="shared" si="18"/>
        <v>14.935110127353433</v>
      </c>
      <c r="P103" s="14">
        <f t="shared" si="19"/>
        <v>3.8269301822713215</v>
      </c>
    </row>
    <row r="104" spans="1:16" x14ac:dyDescent="0.5">
      <c r="A104" s="23" t="str">
        <f>'raw data'!A752</f>
        <v>2009-01</v>
      </c>
      <c r="B104" s="32">
        <f>'raw data'!U752</f>
        <v>887360.6</v>
      </c>
      <c r="C104" s="20">
        <f>'raw data'!V752</f>
        <v>393422.3</v>
      </c>
      <c r="D104" s="20">
        <f t="shared" si="10"/>
        <v>11855879.6</v>
      </c>
      <c r="E104" s="18">
        <f>'raw data'!AH752</f>
        <v>12249301.9</v>
      </c>
      <c r="F104" s="20">
        <f>'raw data'!AO752</f>
        <v>11398901.199999999</v>
      </c>
      <c r="G104" s="20">
        <f>'raw data'!AS752</f>
        <v>9167208.5</v>
      </c>
      <c r="H104" s="20">
        <f t="shared" si="11"/>
        <v>850400.70000000112</v>
      </c>
      <c r="I104" s="20">
        <f t="shared" si="12"/>
        <v>3082093.4000000004</v>
      </c>
      <c r="J104" s="22">
        <f t="shared" si="13"/>
        <v>3.2117936451545863</v>
      </c>
      <c r="K104" s="22">
        <f t="shared" si="14"/>
        <v>30.135250594590087</v>
      </c>
      <c r="L104" s="22">
        <f t="shared" si="15"/>
        <v>31.13525059459009</v>
      </c>
      <c r="M104" s="22">
        <f t="shared" si="16"/>
        <v>28.973703829193209</v>
      </c>
      <c r="N104" s="30">
        <f t="shared" si="17"/>
        <v>1.0746037433853712</v>
      </c>
      <c r="O104" s="22">
        <f t="shared" si="18"/>
        <v>14.404153124521162</v>
      </c>
      <c r="P104" s="14">
        <f t="shared" si="19"/>
        <v>3.9743448073312764</v>
      </c>
    </row>
    <row r="105" spans="1:16" x14ac:dyDescent="0.5">
      <c r="A105" s="23" t="str">
        <f>'raw data'!A753</f>
        <v>2009-02</v>
      </c>
      <c r="B105" s="32">
        <f>'raw data'!U753</f>
        <v>891757</v>
      </c>
      <c r="C105" s="20">
        <f>'raw data'!V753</f>
        <v>395234.3</v>
      </c>
      <c r="D105" s="20">
        <f t="shared" si="10"/>
        <v>11625632.899999999</v>
      </c>
      <c r="E105" s="18">
        <f>'raw data'!AH753</f>
        <v>12020867.199999999</v>
      </c>
      <c r="F105" s="20">
        <f>'raw data'!AO753</f>
        <v>11159486.800000001</v>
      </c>
      <c r="G105" s="20">
        <f>'raw data'!AS753</f>
        <v>9110668.1999999993</v>
      </c>
      <c r="H105" s="20">
        <f t="shared" si="11"/>
        <v>861380.39999999851</v>
      </c>
      <c r="I105" s="20">
        <f t="shared" si="12"/>
        <v>2910199</v>
      </c>
      <c r="J105" s="22">
        <f t="shared" si="13"/>
        <v>3.2879017247607565</v>
      </c>
      <c r="K105" s="22">
        <f t="shared" si="14"/>
        <v>29.414534366070956</v>
      </c>
      <c r="L105" s="22">
        <f t="shared" si="15"/>
        <v>30.41453436607096</v>
      </c>
      <c r="M105" s="22">
        <f t="shared" si="16"/>
        <v>28.235117245643917</v>
      </c>
      <c r="N105" s="30">
        <f t="shared" si="17"/>
        <v>1.0771881732052409</v>
      </c>
      <c r="O105" s="22">
        <f t="shared" si="18"/>
        <v>13.955352594509952</v>
      </c>
      <c r="P105" s="14">
        <f t="shared" si="19"/>
        <v>4.1305997287470717</v>
      </c>
    </row>
    <row r="106" spans="1:16" x14ac:dyDescent="0.5">
      <c r="A106" s="23" t="str">
        <f>'raw data'!A754</f>
        <v>2009-03</v>
      </c>
      <c r="B106" s="32">
        <f>'raw data'!U754</f>
        <v>878040.5</v>
      </c>
      <c r="C106" s="20">
        <f>'raw data'!V754</f>
        <v>382918.1</v>
      </c>
      <c r="D106" s="20">
        <f t="shared" si="10"/>
        <v>11670084.200000001</v>
      </c>
      <c r="E106" s="18">
        <f>'raw data'!AH754</f>
        <v>12053002.300000001</v>
      </c>
      <c r="F106" s="20">
        <f>'raw data'!AO754</f>
        <v>11188250.5</v>
      </c>
      <c r="G106" s="20">
        <f>'raw data'!AS754</f>
        <v>9126341.9000000004</v>
      </c>
      <c r="H106" s="20">
        <f t="shared" si="11"/>
        <v>864751.80000000075</v>
      </c>
      <c r="I106" s="20">
        <f t="shared" si="12"/>
        <v>2926660.4000000004</v>
      </c>
      <c r="J106" s="22">
        <f t="shared" si="13"/>
        <v>3.1769520196640131</v>
      </c>
      <c r="K106" s="22">
        <f t="shared" si="14"/>
        <v>30.476710816229375</v>
      </c>
      <c r="L106" s="22">
        <f t="shared" si="15"/>
        <v>31.476710816229375</v>
      </c>
      <c r="M106" s="22">
        <f t="shared" si="16"/>
        <v>29.218390303305068</v>
      </c>
      <c r="N106" s="30">
        <f t="shared" si="17"/>
        <v>1.0772910653010497</v>
      </c>
      <c r="O106" s="22">
        <f t="shared" si="18"/>
        <v>13.938106055402244</v>
      </c>
      <c r="P106" s="14">
        <f t="shared" si="19"/>
        <v>4.1183467340453985</v>
      </c>
    </row>
    <row r="107" spans="1:16" x14ac:dyDescent="0.5">
      <c r="A107" s="23" t="str">
        <f>'raw data'!A755</f>
        <v>2009-04</v>
      </c>
      <c r="B107" s="32">
        <f>'raw data'!U755</f>
        <v>866056.4</v>
      </c>
      <c r="C107" s="20">
        <f>'raw data'!V755</f>
        <v>372958.7</v>
      </c>
      <c r="D107" s="20">
        <f t="shared" si="10"/>
        <v>11670259.200000001</v>
      </c>
      <c r="E107" s="18">
        <f>'raw data'!AH755</f>
        <v>12043217.9</v>
      </c>
      <c r="F107" s="20">
        <f>'raw data'!AO755</f>
        <v>11183807.5</v>
      </c>
      <c r="G107" s="20">
        <f>'raw data'!AS755</f>
        <v>9187371</v>
      </c>
      <c r="H107" s="20">
        <f t="shared" si="11"/>
        <v>859410.40000000037</v>
      </c>
      <c r="I107" s="20">
        <f t="shared" si="12"/>
        <v>2855846.9000000004</v>
      </c>
      <c r="J107" s="22">
        <f t="shared" si="13"/>
        <v>3.0968359378434895</v>
      </c>
      <c r="K107" s="22">
        <f t="shared" si="14"/>
        <v>31.291022839794326</v>
      </c>
      <c r="L107" s="22">
        <f t="shared" si="15"/>
        <v>32.291022839794323</v>
      </c>
      <c r="M107" s="22">
        <f t="shared" si="16"/>
        <v>29.98671836854858</v>
      </c>
      <c r="N107" s="30">
        <f t="shared" si="17"/>
        <v>1.0768441695728401</v>
      </c>
      <c r="O107" s="22">
        <f t="shared" si="18"/>
        <v>14.013349035571359</v>
      </c>
      <c r="P107" s="14">
        <f t="shared" si="19"/>
        <v>4.2170390506577924</v>
      </c>
    </row>
    <row r="108" spans="1:16" x14ac:dyDescent="0.5">
      <c r="A108" s="23" t="str">
        <f>'raw data'!A756</f>
        <v>2009-05</v>
      </c>
      <c r="B108" s="32">
        <f>'raw data'!U756</f>
        <v>861804.8</v>
      </c>
      <c r="C108" s="20">
        <f>'raw data'!V756</f>
        <v>364702.2</v>
      </c>
      <c r="D108" s="20">
        <f t="shared" si="10"/>
        <v>11714975.100000001</v>
      </c>
      <c r="E108" s="18">
        <f>'raw data'!AH756</f>
        <v>12079677.300000001</v>
      </c>
      <c r="F108" s="20">
        <f>'raw data'!AO756</f>
        <v>11214966.9</v>
      </c>
      <c r="G108" s="20">
        <f>'raw data'!AS756</f>
        <v>9335424.1999999993</v>
      </c>
      <c r="H108" s="20">
        <f t="shared" si="11"/>
        <v>864710.40000000037</v>
      </c>
      <c r="I108" s="20">
        <f t="shared" si="12"/>
        <v>2744253.1000000015</v>
      </c>
      <c r="J108" s="22">
        <f t="shared" si="13"/>
        <v>3.0191385990087665</v>
      </c>
      <c r="K108" s="22">
        <f t="shared" si="14"/>
        <v>32.122030248240897</v>
      </c>
      <c r="L108" s="22">
        <f t="shared" si="15"/>
        <v>33.122030248240897</v>
      </c>
      <c r="M108" s="22">
        <f t="shared" si="16"/>
        <v>30.751026179715943</v>
      </c>
      <c r="N108" s="30">
        <f t="shared" si="17"/>
        <v>1.0771032503002751</v>
      </c>
      <c r="O108" s="22">
        <f t="shared" si="18"/>
        <v>13.969621852587867</v>
      </c>
      <c r="P108" s="14">
        <f t="shared" si="19"/>
        <v>4.4018087471596532</v>
      </c>
    </row>
    <row r="109" spans="1:16" x14ac:dyDescent="0.5">
      <c r="A109" s="23" t="str">
        <f>'raw data'!A757</f>
        <v>2009-06</v>
      </c>
      <c r="B109" s="32">
        <f>'raw data'!U757</f>
        <v>854687.7</v>
      </c>
      <c r="C109" s="20">
        <f>'raw data'!V757</f>
        <v>358029.4</v>
      </c>
      <c r="D109" s="20">
        <f t="shared" si="10"/>
        <v>11589492.4</v>
      </c>
      <c r="E109" s="18">
        <f>'raw data'!AH757</f>
        <v>11947521.800000001</v>
      </c>
      <c r="F109" s="20">
        <f>'raw data'!AO757</f>
        <v>11112567.4</v>
      </c>
      <c r="G109" s="20">
        <f>'raw data'!AS757</f>
        <v>9401228.1999999993</v>
      </c>
      <c r="H109" s="20">
        <f t="shared" si="11"/>
        <v>834954.40000000037</v>
      </c>
      <c r="I109" s="20">
        <f t="shared" si="12"/>
        <v>2546293.6000000015</v>
      </c>
      <c r="J109" s="22">
        <f t="shared" si="13"/>
        <v>2.9966833791422753</v>
      </c>
      <c r="K109" s="22">
        <f t="shared" si="14"/>
        <v>32.370225461931341</v>
      </c>
      <c r="L109" s="22">
        <f t="shared" si="15"/>
        <v>33.370225461931341</v>
      </c>
      <c r="M109" s="22">
        <f t="shared" si="16"/>
        <v>31.038142119055028</v>
      </c>
      <c r="N109" s="30">
        <f t="shared" si="17"/>
        <v>1.0751360482187042</v>
      </c>
      <c r="O109" s="22">
        <f t="shared" si="18"/>
        <v>14.309190777364602</v>
      </c>
      <c r="P109" s="14">
        <f t="shared" si="19"/>
        <v>4.6921226208949331</v>
      </c>
    </row>
    <row r="110" spans="1:16" x14ac:dyDescent="0.5">
      <c r="A110" s="23" t="str">
        <f>'raw data'!A758</f>
        <v>2009-07</v>
      </c>
      <c r="B110" s="32">
        <f>'raw data'!U758</f>
        <v>850285.6</v>
      </c>
      <c r="C110" s="20">
        <f>'raw data'!V758</f>
        <v>356702.6</v>
      </c>
      <c r="D110" s="20">
        <f t="shared" si="10"/>
        <v>11415577.5</v>
      </c>
      <c r="E110" s="18">
        <f>'raw data'!AH758</f>
        <v>11772280.1</v>
      </c>
      <c r="F110" s="20">
        <f>'raw data'!AO758</f>
        <v>10910370.800000001</v>
      </c>
      <c r="G110" s="20">
        <f>'raw data'!AS758</f>
        <v>14997365.1</v>
      </c>
      <c r="H110" s="20">
        <f t="shared" si="11"/>
        <v>861909.29999999888</v>
      </c>
      <c r="I110" s="20">
        <f t="shared" si="12"/>
        <v>-3225085</v>
      </c>
      <c r="J110" s="22">
        <f t="shared" si="13"/>
        <v>3.0300213465019405</v>
      </c>
      <c r="K110" s="22">
        <f t="shared" si="14"/>
        <v>32.003067821765249</v>
      </c>
      <c r="L110" s="22">
        <f t="shared" si="15"/>
        <v>33.003067821765249</v>
      </c>
      <c r="M110" s="22">
        <f t="shared" si="16"/>
        <v>30.586743129991206</v>
      </c>
      <c r="N110" s="30">
        <f t="shared" si="17"/>
        <v>1.0789990840641273</v>
      </c>
      <c r="O110" s="22">
        <f t="shared" si="18"/>
        <v>13.658374610878447</v>
      </c>
      <c r="P110" s="14">
        <f t="shared" si="19"/>
        <v>-3.6502232034194448</v>
      </c>
    </row>
    <row r="111" spans="1:16" x14ac:dyDescent="0.5">
      <c r="A111" s="23" t="str">
        <f>'raw data'!A759</f>
        <v>2009-08</v>
      </c>
      <c r="B111" s="32">
        <f>'raw data'!U759</f>
        <v>849844.4</v>
      </c>
      <c r="C111" s="20">
        <f>'raw data'!V759</f>
        <v>355028.3</v>
      </c>
      <c r="D111" s="20">
        <f t="shared" si="10"/>
        <v>11353222</v>
      </c>
      <c r="E111" s="18">
        <f>'raw data'!AH759</f>
        <v>11708250.300000001</v>
      </c>
      <c r="F111" s="20">
        <f>'raw data'!AO759</f>
        <v>10856471.699999999</v>
      </c>
      <c r="G111" s="20">
        <f>'raw data'!AS759</f>
        <v>15073669.800000001</v>
      </c>
      <c r="H111" s="20">
        <f t="shared" si="11"/>
        <v>851778.60000000149</v>
      </c>
      <c r="I111" s="20">
        <f t="shared" si="12"/>
        <v>-3365419.5</v>
      </c>
      <c r="J111" s="22">
        <f t="shared" si="13"/>
        <v>3.0322916823874184</v>
      </c>
      <c r="K111" s="22">
        <f t="shared" si="14"/>
        <v>31.978357781619099</v>
      </c>
      <c r="L111" s="22">
        <f t="shared" si="15"/>
        <v>32.978357781619103</v>
      </c>
      <c r="M111" s="22">
        <f t="shared" si="16"/>
        <v>30.579172702570471</v>
      </c>
      <c r="N111" s="30">
        <f t="shared" si="17"/>
        <v>1.078458142160496</v>
      </c>
      <c r="O111" s="22">
        <f t="shared" si="18"/>
        <v>13.745649749829333</v>
      </c>
      <c r="P111" s="14">
        <f t="shared" si="19"/>
        <v>-3.47898688410167</v>
      </c>
    </row>
    <row r="112" spans="1:16" x14ac:dyDescent="0.5">
      <c r="A112" s="23" t="str">
        <f>'raw data'!A760</f>
        <v>2009-09</v>
      </c>
      <c r="B112" s="32">
        <f>'raw data'!U760</f>
        <v>847671.9</v>
      </c>
      <c r="C112" s="20">
        <f>'raw data'!V760</f>
        <v>351190.3</v>
      </c>
      <c r="D112" s="20">
        <f t="shared" si="10"/>
        <v>11342990.1</v>
      </c>
      <c r="E112" s="18">
        <f>'raw data'!AH760</f>
        <v>11694180.4</v>
      </c>
      <c r="F112" s="20">
        <f>'raw data'!AO760</f>
        <v>10816265</v>
      </c>
      <c r="G112" s="20">
        <f>'raw data'!AS760</f>
        <v>15122450.5</v>
      </c>
      <c r="H112" s="20">
        <f t="shared" si="11"/>
        <v>877915.40000000037</v>
      </c>
      <c r="I112" s="20">
        <f t="shared" si="12"/>
        <v>-3428270.0999999996</v>
      </c>
      <c r="J112" s="22">
        <f t="shared" si="13"/>
        <v>3.0031202528738139</v>
      </c>
      <c r="K112" s="22">
        <f t="shared" si="14"/>
        <v>32.298699878669773</v>
      </c>
      <c r="L112" s="22">
        <f t="shared" si="15"/>
        <v>33.298699878669773</v>
      </c>
      <c r="M112" s="22">
        <f t="shared" si="16"/>
        <v>30.79887172282378</v>
      </c>
      <c r="N112" s="30">
        <f t="shared" si="17"/>
        <v>1.0811662251248468</v>
      </c>
      <c r="O112" s="22">
        <f t="shared" si="18"/>
        <v>13.320395564310633</v>
      </c>
      <c r="P112" s="14">
        <f t="shared" si="19"/>
        <v>-3.41110240992972</v>
      </c>
    </row>
    <row r="113" spans="1:16" x14ac:dyDescent="0.5">
      <c r="A113" s="23" t="str">
        <f>'raw data'!A761</f>
        <v>2009-10</v>
      </c>
      <c r="B113" s="32">
        <f>'raw data'!U761</f>
        <v>842646</v>
      </c>
      <c r="C113" s="20">
        <f>'raw data'!V761</f>
        <v>345983.5</v>
      </c>
      <c r="D113" s="20">
        <f t="shared" si="10"/>
        <v>11406164.800000001</v>
      </c>
      <c r="E113" s="18">
        <f>'raw data'!AH761</f>
        <v>11752148.300000001</v>
      </c>
      <c r="F113" s="20">
        <f>'raw data'!AO761</f>
        <v>10814097.699999999</v>
      </c>
      <c r="G113" s="20">
        <f>'raw data'!AS761</f>
        <v>15206757.399999999</v>
      </c>
      <c r="H113" s="20">
        <f t="shared" si="11"/>
        <v>938050.60000000149</v>
      </c>
      <c r="I113" s="20">
        <f t="shared" si="12"/>
        <v>-3454609.0999999978</v>
      </c>
      <c r="J113" s="22">
        <f t="shared" si="13"/>
        <v>2.9440021617154031</v>
      </c>
      <c r="K113" s="22">
        <f t="shared" si="14"/>
        <v>32.967366362846782</v>
      </c>
      <c r="L113" s="22">
        <f t="shared" si="15"/>
        <v>33.967366362846782</v>
      </c>
      <c r="M113" s="22">
        <f t="shared" si="16"/>
        <v>31.256108167007962</v>
      </c>
      <c r="N113" s="30">
        <f t="shared" si="17"/>
        <v>1.0867433073033916</v>
      </c>
      <c r="O113" s="22">
        <f t="shared" si="18"/>
        <v>12.528266918650212</v>
      </c>
      <c r="P113" s="14">
        <f t="shared" si="19"/>
        <v>-3.4018749907189232</v>
      </c>
    </row>
    <row r="114" spans="1:16" x14ac:dyDescent="0.5">
      <c r="A114" s="23" t="str">
        <f>'raw data'!A762</f>
        <v>2009-11</v>
      </c>
      <c r="B114" s="32">
        <f>'raw data'!U762</f>
        <v>841815</v>
      </c>
      <c r="C114" s="20">
        <f>'raw data'!V762</f>
        <v>344021.8</v>
      </c>
      <c r="D114" s="20">
        <f t="shared" si="10"/>
        <v>11429972.199999999</v>
      </c>
      <c r="E114" s="18">
        <f>'raw data'!AH762</f>
        <v>11773994</v>
      </c>
      <c r="F114" s="20">
        <f>'raw data'!AO762</f>
        <v>10831545.6</v>
      </c>
      <c r="G114" s="20">
        <f>'raw data'!AS762</f>
        <v>15331996.1</v>
      </c>
      <c r="H114" s="20">
        <f t="shared" si="11"/>
        <v>942448.40000000037</v>
      </c>
      <c r="I114" s="20">
        <f t="shared" si="12"/>
        <v>-3558002.0999999996</v>
      </c>
      <c r="J114" s="22">
        <f t="shared" si="13"/>
        <v>2.9218785061381891</v>
      </c>
      <c r="K114" s="22">
        <f t="shared" si="14"/>
        <v>33.224557862321518</v>
      </c>
      <c r="L114" s="22">
        <f t="shared" si="15"/>
        <v>34.224557862321518</v>
      </c>
      <c r="M114" s="22">
        <f t="shared" si="16"/>
        <v>31.485055888900064</v>
      </c>
      <c r="N114" s="30">
        <f t="shared" si="17"/>
        <v>1.0870095953803676</v>
      </c>
      <c r="O114" s="22">
        <f t="shared" si="18"/>
        <v>12.49298529235128</v>
      </c>
      <c r="P114" s="14">
        <f t="shared" si="19"/>
        <v>-3.3091588113452777</v>
      </c>
    </row>
    <row r="115" spans="1:16" x14ac:dyDescent="0.5">
      <c r="A115" s="23" t="str">
        <f>'raw data'!A763</f>
        <v>2009-12</v>
      </c>
      <c r="B115" s="32">
        <f>'raw data'!U763</f>
        <v>835515.2</v>
      </c>
      <c r="C115" s="20">
        <f>'raw data'!V763</f>
        <v>335878.6</v>
      </c>
      <c r="D115" s="20">
        <f t="shared" si="10"/>
        <v>11405883.5</v>
      </c>
      <c r="E115" s="18">
        <f>'raw data'!AH763</f>
        <v>11741762.1</v>
      </c>
      <c r="F115" s="20">
        <f>'raw data'!AO763</f>
        <v>10752803.9</v>
      </c>
      <c r="G115" s="20">
        <f>'raw data'!AS763</f>
        <v>15372929.5</v>
      </c>
      <c r="H115" s="20">
        <f t="shared" si="11"/>
        <v>988958.19999999925</v>
      </c>
      <c r="I115" s="20">
        <f t="shared" si="12"/>
        <v>-3631167.4000000004</v>
      </c>
      <c r="J115" s="22">
        <f t="shared" si="13"/>
        <v>2.8605467998708645</v>
      </c>
      <c r="K115" s="22">
        <f t="shared" si="14"/>
        <v>33.95835132098324</v>
      </c>
      <c r="L115" s="22">
        <f t="shared" si="15"/>
        <v>34.95835132098324</v>
      </c>
      <c r="M115" s="22">
        <f t="shared" si="16"/>
        <v>32.013959507988901</v>
      </c>
      <c r="N115" s="30">
        <f t="shared" si="17"/>
        <v>1.0919721227316346</v>
      </c>
      <c r="O115" s="22">
        <f t="shared" si="18"/>
        <v>11.872859843823539</v>
      </c>
      <c r="P115" s="14">
        <f t="shared" si="19"/>
        <v>-3.2336052862779057</v>
      </c>
    </row>
    <row r="116" spans="1:16" x14ac:dyDescent="0.5">
      <c r="A116" s="23" t="str">
        <f>'raw data'!A764</f>
        <v>2010-01</v>
      </c>
      <c r="B116" s="32">
        <f>'raw data'!U764</f>
        <v>819554.8</v>
      </c>
      <c r="C116" s="20">
        <f>'raw data'!V764</f>
        <v>323440.40000000002</v>
      </c>
      <c r="D116" s="20">
        <f t="shared" si="10"/>
        <v>11363586.5</v>
      </c>
      <c r="E116" s="18">
        <f>'raw data'!AH764</f>
        <v>11687026.9</v>
      </c>
      <c r="F116" s="20">
        <f>'raw data'!AO764</f>
        <v>10312259.4</v>
      </c>
      <c r="G116" s="20">
        <f>'raw data'!AS764</f>
        <v>15349320.300000001</v>
      </c>
      <c r="H116" s="20">
        <f t="shared" si="11"/>
        <v>1374767.5</v>
      </c>
      <c r="I116" s="20">
        <f t="shared" si="12"/>
        <v>-3662293.4000000004</v>
      </c>
      <c r="J116" s="22">
        <f t="shared" si="13"/>
        <v>2.7675165186793573</v>
      </c>
      <c r="K116" s="22">
        <f t="shared" si="14"/>
        <v>35.133478996439528</v>
      </c>
      <c r="L116" s="22">
        <f t="shared" si="15"/>
        <v>36.133478996439528</v>
      </c>
      <c r="M116" s="22">
        <f t="shared" si="16"/>
        <v>31.883028217872596</v>
      </c>
      <c r="N116" s="30">
        <f t="shared" si="17"/>
        <v>1.1333138982132276</v>
      </c>
      <c r="O116" s="22">
        <f t="shared" si="18"/>
        <v>8.5010933848814432</v>
      </c>
      <c r="P116" s="14">
        <f t="shared" si="19"/>
        <v>-3.191177118687432</v>
      </c>
    </row>
    <row r="117" spans="1:16" x14ac:dyDescent="0.5">
      <c r="A117" s="23" t="str">
        <f>'raw data'!A765</f>
        <v>2010-02</v>
      </c>
      <c r="B117" s="32">
        <f>'raw data'!U765</f>
        <v>812093.6</v>
      </c>
      <c r="C117" s="20">
        <f>'raw data'!V765</f>
        <v>317773</v>
      </c>
      <c r="D117" s="20">
        <f t="shared" si="10"/>
        <v>11384044.5</v>
      </c>
      <c r="E117" s="18">
        <f>'raw data'!AH765</f>
        <v>11701817.5</v>
      </c>
      <c r="F117" s="20">
        <f>'raw data'!AO765</f>
        <v>10332910.9</v>
      </c>
      <c r="G117" s="20">
        <f>'raw data'!AS765</f>
        <v>15397728.399999999</v>
      </c>
      <c r="H117" s="20">
        <f t="shared" si="11"/>
        <v>1368906.5999999996</v>
      </c>
      <c r="I117" s="20">
        <f t="shared" si="12"/>
        <v>-3695910.8999999985</v>
      </c>
      <c r="J117" s="22">
        <f t="shared" si="13"/>
        <v>2.7155867026639235</v>
      </c>
      <c r="K117" s="22">
        <f t="shared" si="14"/>
        <v>35.824454878167749</v>
      </c>
      <c r="L117" s="22">
        <f t="shared" si="15"/>
        <v>36.824454878167749</v>
      </c>
      <c r="M117" s="22">
        <f t="shared" si="16"/>
        <v>32.516642068394738</v>
      </c>
      <c r="N117" s="30">
        <f t="shared" si="17"/>
        <v>1.1324802481360794</v>
      </c>
      <c r="O117" s="22">
        <f t="shared" si="18"/>
        <v>8.548295040728128</v>
      </c>
      <c r="P117" s="14">
        <f t="shared" si="19"/>
        <v>-3.166152490310306</v>
      </c>
    </row>
    <row r="118" spans="1:16" x14ac:dyDescent="0.5">
      <c r="A118" s="23" t="str">
        <f>'raw data'!A766</f>
        <v>2010-03</v>
      </c>
      <c r="B118" s="32">
        <f>'raw data'!U766</f>
        <v>886492.8</v>
      </c>
      <c r="C118" s="20">
        <f>'raw data'!V766</f>
        <v>391112.3</v>
      </c>
      <c r="D118" s="20">
        <f t="shared" si="10"/>
        <v>11264248.399999999</v>
      </c>
      <c r="E118" s="18">
        <f>'raw data'!AH766</f>
        <v>11655360.699999999</v>
      </c>
      <c r="F118" s="20">
        <f>'raw data'!AO766</f>
        <v>10328988.699999999</v>
      </c>
      <c r="G118" s="20">
        <f>'raw data'!AS766</f>
        <v>15381705.300000001</v>
      </c>
      <c r="H118" s="20">
        <f t="shared" si="11"/>
        <v>1326372</v>
      </c>
      <c r="I118" s="20">
        <f t="shared" si="12"/>
        <v>-3726344.6000000015</v>
      </c>
      <c r="J118" s="22">
        <f t="shared" si="13"/>
        <v>3.3556430390009293</v>
      </c>
      <c r="K118" s="22">
        <f t="shared" si="14"/>
        <v>28.800547566517338</v>
      </c>
      <c r="L118" s="22">
        <f t="shared" si="15"/>
        <v>29.800547566517338</v>
      </c>
      <c r="M118" s="22">
        <f t="shared" si="16"/>
        <v>26.409265829788527</v>
      </c>
      <c r="N118" s="30">
        <f t="shared" si="17"/>
        <v>1.128412571503733</v>
      </c>
      <c r="O118" s="22">
        <f t="shared" si="18"/>
        <v>8.7873995379878345</v>
      </c>
      <c r="P118" s="14">
        <f t="shared" si="19"/>
        <v>-3.1278268520844783</v>
      </c>
    </row>
    <row r="119" spans="1:16" x14ac:dyDescent="0.5">
      <c r="A119" s="23" t="str">
        <f>'raw data'!A767</f>
        <v>2010-04</v>
      </c>
      <c r="B119" s="32">
        <f>'raw data'!U767</f>
        <v>1157957.2</v>
      </c>
      <c r="C119" s="20">
        <f>'raw data'!V767</f>
        <v>648239.19999999995</v>
      </c>
      <c r="D119" s="20">
        <f t="shared" si="10"/>
        <v>11196684.800000001</v>
      </c>
      <c r="E119" s="18">
        <f>'raw data'!AH767</f>
        <v>11844924</v>
      </c>
      <c r="F119" s="20">
        <f>'raw data'!AO767</f>
        <v>10523319</v>
      </c>
      <c r="G119" s="20">
        <f>'raw data'!AS767</f>
        <v>15393610.9</v>
      </c>
      <c r="H119" s="20">
        <f t="shared" si="11"/>
        <v>1321605</v>
      </c>
      <c r="I119" s="20">
        <f t="shared" si="12"/>
        <v>-3548686.9000000004</v>
      </c>
      <c r="J119" s="22">
        <f t="shared" si="13"/>
        <v>5.4727172584644688</v>
      </c>
      <c r="K119" s="22">
        <f t="shared" si="14"/>
        <v>17.272458685003933</v>
      </c>
      <c r="L119" s="22">
        <f t="shared" si="15"/>
        <v>18.272458685003933</v>
      </c>
      <c r="M119" s="22">
        <f t="shared" si="16"/>
        <v>16.233697375906921</v>
      </c>
      <c r="N119" s="30">
        <f t="shared" si="17"/>
        <v>1.1255882293409523</v>
      </c>
      <c r="O119" s="22">
        <f t="shared" si="18"/>
        <v>8.9625296514465358</v>
      </c>
      <c r="P119" s="14">
        <f t="shared" si="19"/>
        <v>-3.3378329319501248</v>
      </c>
    </row>
    <row r="120" spans="1:16" x14ac:dyDescent="0.5">
      <c r="A120" s="23" t="str">
        <f>'raw data'!A768</f>
        <v>2010-05</v>
      </c>
      <c r="B120" s="32">
        <f>'raw data'!U768</f>
        <v>1149277.6000000001</v>
      </c>
      <c r="C120" s="20">
        <f>'raw data'!V768</f>
        <v>640720.30000000005</v>
      </c>
      <c r="D120" s="20">
        <f t="shared" si="10"/>
        <v>11156191.299999999</v>
      </c>
      <c r="E120" s="18">
        <f>'raw data'!AH768</f>
        <v>11796911.6</v>
      </c>
      <c r="F120" s="20">
        <f>'raw data'!AO768</f>
        <v>10470573.699999999</v>
      </c>
      <c r="G120" s="20">
        <f>'raw data'!AS768</f>
        <v>15355132.199999999</v>
      </c>
      <c r="H120" s="20">
        <f t="shared" si="11"/>
        <v>1326337.9000000004</v>
      </c>
      <c r="I120" s="20">
        <f t="shared" si="12"/>
        <v>-3558220.5999999996</v>
      </c>
      <c r="J120" s="22">
        <f t="shared" si="13"/>
        <v>5.4312545666613286</v>
      </c>
      <c r="K120" s="22">
        <f t="shared" si="14"/>
        <v>17.411952298062037</v>
      </c>
      <c r="L120" s="22">
        <f t="shared" si="15"/>
        <v>18.41195229806204</v>
      </c>
      <c r="M120" s="22">
        <f t="shared" si="16"/>
        <v>16.341879131970689</v>
      </c>
      <c r="N120" s="30">
        <f t="shared" si="17"/>
        <v>1.1266728966341166</v>
      </c>
      <c r="O120" s="22">
        <f t="shared" si="18"/>
        <v>8.8943485668320239</v>
      </c>
      <c r="P120" s="14">
        <f t="shared" si="19"/>
        <v>-3.3153963528849224</v>
      </c>
    </row>
    <row r="121" spans="1:16" x14ac:dyDescent="0.5">
      <c r="A121" s="23" t="str">
        <f>'raw data'!A769</f>
        <v>2010-06</v>
      </c>
      <c r="B121" s="32">
        <f>'raw data'!U769</f>
        <v>1140086.3</v>
      </c>
      <c r="C121" s="20">
        <f>'raw data'!V769</f>
        <v>632257.69999999995</v>
      </c>
      <c r="D121" s="20">
        <f t="shared" si="10"/>
        <v>11093855.700000001</v>
      </c>
      <c r="E121" s="18">
        <f>'raw data'!AH769</f>
        <v>11726113.4</v>
      </c>
      <c r="F121" s="20">
        <f>'raw data'!AO769</f>
        <v>10409521.1</v>
      </c>
      <c r="G121" s="20">
        <f>'raw data'!AS769</f>
        <v>15375152.6</v>
      </c>
      <c r="H121" s="20">
        <f t="shared" si="11"/>
        <v>1316592.3000000007</v>
      </c>
      <c r="I121" s="20">
        <f t="shared" si="12"/>
        <v>-3649039.1999999993</v>
      </c>
      <c r="J121" s="22">
        <f t="shared" si="13"/>
        <v>5.3918777555059281</v>
      </c>
      <c r="K121" s="22">
        <f t="shared" si="14"/>
        <v>17.546414539514508</v>
      </c>
      <c r="L121" s="22">
        <f t="shared" si="15"/>
        <v>18.546414539514508</v>
      </c>
      <c r="M121" s="22">
        <f t="shared" si="16"/>
        <v>16.464047966517452</v>
      </c>
      <c r="N121" s="30">
        <f t="shared" si="17"/>
        <v>1.1264796225832139</v>
      </c>
      <c r="O121" s="22">
        <f t="shared" si="18"/>
        <v>8.9064119545587452</v>
      </c>
      <c r="P121" s="14">
        <f t="shared" si="19"/>
        <v>-3.2134797017253205</v>
      </c>
    </row>
    <row r="122" spans="1:16" x14ac:dyDescent="0.5">
      <c r="A122" s="23" t="str">
        <f>'raw data'!A770</f>
        <v>2010-07</v>
      </c>
      <c r="B122" s="32">
        <f>'raw data'!U770</f>
        <v>1136491</v>
      </c>
      <c r="C122" s="20">
        <f>'raw data'!V770</f>
        <v>626949.5</v>
      </c>
      <c r="D122" s="20">
        <f t="shared" si="10"/>
        <v>11161614.6</v>
      </c>
      <c r="E122" s="18">
        <f>'raw data'!AH770</f>
        <v>11788564.1</v>
      </c>
      <c r="F122" s="20">
        <f>'raw data'!AO770</f>
        <v>10475157.9</v>
      </c>
      <c r="G122" s="20">
        <f>'raw data'!AS770</f>
        <v>15456344.800000001</v>
      </c>
      <c r="H122" s="20">
        <f t="shared" si="11"/>
        <v>1313406.1999999993</v>
      </c>
      <c r="I122" s="20">
        <f t="shared" si="12"/>
        <v>-3667780.7000000011</v>
      </c>
      <c r="J122" s="22">
        <f t="shared" si="13"/>
        <v>5.3182855408149328</v>
      </c>
      <c r="K122" s="22">
        <f t="shared" si="14"/>
        <v>17.803052079952213</v>
      </c>
      <c r="L122" s="22">
        <f t="shared" si="15"/>
        <v>18.803052079952213</v>
      </c>
      <c r="M122" s="22">
        <f t="shared" si="16"/>
        <v>16.708136620254106</v>
      </c>
      <c r="N122" s="30">
        <f t="shared" si="17"/>
        <v>1.1253829500746713</v>
      </c>
      <c r="O122" s="22">
        <f t="shared" si="18"/>
        <v>8.975566051081536</v>
      </c>
      <c r="P122" s="14">
        <f t="shared" si="19"/>
        <v>-3.2140864092556014</v>
      </c>
    </row>
    <row r="123" spans="1:16" x14ac:dyDescent="0.5">
      <c r="A123" s="23" t="str">
        <f>'raw data'!A771</f>
        <v>2010-08</v>
      </c>
      <c r="B123" s="32">
        <f>'raw data'!U771</f>
        <v>1133580.2</v>
      </c>
      <c r="C123" s="20">
        <f>'raw data'!V771</f>
        <v>621672.30000000005</v>
      </c>
      <c r="D123" s="20">
        <f t="shared" si="10"/>
        <v>11216389.1</v>
      </c>
      <c r="E123" s="18">
        <f>'raw data'!AH771</f>
        <v>11838061.4</v>
      </c>
      <c r="F123" s="20">
        <f>'raw data'!AO771</f>
        <v>10534160.199999999</v>
      </c>
      <c r="G123" s="20">
        <f>'raw data'!AS771</f>
        <v>15550829.399999999</v>
      </c>
      <c r="H123" s="20">
        <f t="shared" si="11"/>
        <v>1303901.2000000011</v>
      </c>
      <c r="I123" s="20">
        <f t="shared" si="12"/>
        <v>-3712767.9999999981</v>
      </c>
      <c r="J123" s="22">
        <f t="shared" si="13"/>
        <v>5.2514704814759625</v>
      </c>
      <c r="K123" s="22">
        <f t="shared" si="14"/>
        <v>18.042285461327452</v>
      </c>
      <c r="L123" s="22">
        <f t="shared" si="15"/>
        <v>19.042285461327456</v>
      </c>
      <c r="M123" s="22">
        <f t="shared" si="16"/>
        <v>16.944876263587744</v>
      </c>
      <c r="N123" s="30">
        <f t="shared" si="17"/>
        <v>1.1237783720053927</v>
      </c>
      <c r="O123" s="22">
        <f t="shared" si="18"/>
        <v>9.0789558288618721</v>
      </c>
      <c r="P123" s="14">
        <f t="shared" si="19"/>
        <v>-3.1884732361408004</v>
      </c>
    </row>
    <row r="124" spans="1:16" x14ac:dyDescent="0.5">
      <c r="A124" s="23" t="str">
        <f>'raw data'!A772</f>
        <v>2010-09</v>
      </c>
      <c r="B124" s="32">
        <f>'raw data'!U772</f>
        <v>1121181.8999999999</v>
      </c>
      <c r="C124" s="20">
        <f>'raw data'!V772</f>
        <v>616654.80000000005</v>
      </c>
      <c r="D124" s="20">
        <f t="shared" si="10"/>
        <v>11172779.299999999</v>
      </c>
      <c r="E124" s="18">
        <f>'raw data'!AH772</f>
        <v>11789434.1</v>
      </c>
      <c r="F124" s="20">
        <f>'raw data'!AO772</f>
        <v>10478595.199999999</v>
      </c>
      <c r="G124" s="20">
        <f>'raw data'!AS772</f>
        <v>15595751</v>
      </c>
      <c r="H124" s="20">
        <f t="shared" si="11"/>
        <v>1310838.9000000004</v>
      </c>
      <c r="I124" s="20">
        <f t="shared" si="12"/>
        <v>-3806316.9000000004</v>
      </c>
      <c r="J124" s="22">
        <f t="shared" si="13"/>
        <v>5.2305716692542523</v>
      </c>
      <c r="K124" s="22">
        <f t="shared" si="14"/>
        <v>18.118369142671067</v>
      </c>
      <c r="L124" s="22">
        <f t="shared" si="15"/>
        <v>19.118369142671067</v>
      </c>
      <c r="M124" s="22">
        <f t="shared" si="16"/>
        <v>16.992643534113412</v>
      </c>
      <c r="N124" s="30">
        <f t="shared" si="17"/>
        <v>1.1250968164129482</v>
      </c>
      <c r="O124" s="22">
        <f t="shared" si="18"/>
        <v>8.9938085450469902</v>
      </c>
      <c r="P124" s="14">
        <f t="shared" si="19"/>
        <v>-3.0973338294559758</v>
      </c>
    </row>
    <row r="125" spans="1:16" x14ac:dyDescent="0.5">
      <c r="A125" s="23" t="str">
        <f>'raw data'!A773</f>
        <v>2010-10</v>
      </c>
      <c r="B125" s="32">
        <f>'raw data'!U773</f>
        <v>1114659.1000000001</v>
      </c>
      <c r="C125" s="20">
        <f>'raw data'!V773</f>
        <v>611965.4</v>
      </c>
      <c r="D125" s="20">
        <f t="shared" si="10"/>
        <v>11273997.1</v>
      </c>
      <c r="E125" s="18">
        <f>'raw data'!AH773</f>
        <v>11885962.5</v>
      </c>
      <c r="F125" s="20">
        <f>'raw data'!AO773</f>
        <v>10545463.5</v>
      </c>
      <c r="G125" s="20">
        <f>'raw data'!AS773</f>
        <v>15683295.800000001</v>
      </c>
      <c r="H125" s="20">
        <f t="shared" si="11"/>
        <v>1340499</v>
      </c>
      <c r="I125" s="20">
        <f t="shared" si="12"/>
        <v>-3797333.3000000007</v>
      </c>
      <c r="J125" s="22">
        <f t="shared" si="13"/>
        <v>5.1486398345948006</v>
      </c>
      <c r="K125" s="22">
        <f t="shared" si="14"/>
        <v>18.42260542834611</v>
      </c>
      <c r="L125" s="22">
        <f t="shared" si="15"/>
        <v>19.422605428346113</v>
      </c>
      <c r="M125" s="22">
        <f t="shared" si="16"/>
        <v>17.232123744250899</v>
      </c>
      <c r="N125" s="30">
        <f t="shared" si="17"/>
        <v>1.1271161765435915</v>
      </c>
      <c r="O125" s="22">
        <f t="shared" si="18"/>
        <v>8.8668193709954277</v>
      </c>
      <c r="P125" s="14">
        <f t="shared" si="19"/>
        <v>-3.1300814442598437</v>
      </c>
    </row>
    <row r="126" spans="1:16" x14ac:dyDescent="0.5">
      <c r="A126" s="23" t="str">
        <f>'raw data'!A774</f>
        <v>2010-11</v>
      </c>
      <c r="B126" s="32">
        <f>'raw data'!U774</f>
        <v>1109970.2</v>
      </c>
      <c r="C126" s="20">
        <f>'raw data'!V774</f>
        <v>608154.4</v>
      </c>
      <c r="D126" s="20">
        <f t="shared" si="10"/>
        <v>11221647.699999999</v>
      </c>
      <c r="E126" s="18">
        <f>'raw data'!AH774</f>
        <v>11829802.1</v>
      </c>
      <c r="F126" s="20">
        <f>'raw data'!AO774</f>
        <v>10472732.6</v>
      </c>
      <c r="G126" s="20">
        <f>'raw data'!AS774</f>
        <v>15767527.199999999</v>
      </c>
      <c r="H126" s="20">
        <f t="shared" si="11"/>
        <v>1357069.5</v>
      </c>
      <c r="I126" s="20">
        <f t="shared" si="12"/>
        <v>-3937725.0999999996</v>
      </c>
      <c r="J126" s="22">
        <f t="shared" si="13"/>
        <v>5.1408670648852191</v>
      </c>
      <c r="K126" s="22">
        <f t="shared" si="14"/>
        <v>18.451971571692976</v>
      </c>
      <c r="L126" s="22">
        <f t="shared" si="15"/>
        <v>19.451971571692976</v>
      </c>
      <c r="M126" s="22">
        <f t="shared" si="16"/>
        <v>17.220516040005627</v>
      </c>
      <c r="N126" s="30">
        <f t="shared" si="17"/>
        <v>1.1295812231470514</v>
      </c>
      <c r="O126" s="22">
        <f t="shared" si="18"/>
        <v>8.7171674700521962</v>
      </c>
      <c r="P126" s="14">
        <f t="shared" si="19"/>
        <v>-3.004222437975673</v>
      </c>
    </row>
    <row r="127" spans="1:16" x14ac:dyDescent="0.5">
      <c r="A127" s="23" t="str">
        <f>'raw data'!A775</f>
        <v>2010-12</v>
      </c>
      <c r="B127" s="32">
        <f>'raw data'!U775</f>
        <v>1107190.3</v>
      </c>
      <c r="C127" s="20">
        <f>'raw data'!V775</f>
        <v>607386.9</v>
      </c>
      <c r="D127" s="20">
        <f t="shared" si="10"/>
        <v>11208694.6</v>
      </c>
      <c r="E127" s="18">
        <f>'raw data'!AH775</f>
        <v>11816081.5</v>
      </c>
      <c r="F127" s="20">
        <f>'raw data'!AO775</f>
        <v>10458396.9</v>
      </c>
      <c r="G127" s="20">
        <f>'raw data'!AS775</f>
        <v>15731623.800000001</v>
      </c>
      <c r="H127" s="20">
        <f t="shared" si="11"/>
        <v>1357684.5999999996</v>
      </c>
      <c r="I127" s="20">
        <f t="shared" si="12"/>
        <v>-3915542.3000000007</v>
      </c>
      <c r="J127" s="22">
        <f t="shared" si="13"/>
        <v>5.1403411528601932</v>
      </c>
      <c r="K127" s="22">
        <f t="shared" si="14"/>
        <v>18.453961716987969</v>
      </c>
      <c r="L127" s="22">
        <f t="shared" si="15"/>
        <v>19.453961716987969</v>
      </c>
      <c r="M127" s="22">
        <f t="shared" si="16"/>
        <v>17.218673797541566</v>
      </c>
      <c r="N127" s="30">
        <f t="shared" si="17"/>
        <v>1.1298176587656565</v>
      </c>
      <c r="O127" s="22">
        <f t="shared" si="18"/>
        <v>8.7031122692265956</v>
      </c>
      <c r="P127" s="14">
        <f t="shared" si="19"/>
        <v>-3.0177381815029807</v>
      </c>
    </row>
    <row r="128" spans="1:16" x14ac:dyDescent="0.5">
      <c r="A128" s="23" t="str">
        <f>'raw data'!A776</f>
        <v>2011-01</v>
      </c>
      <c r="B128" s="32">
        <f>'raw data'!U776</f>
        <v>1075494.1000000001</v>
      </c>
      <c r="C128" s="20">
        <f>'raw data'!V776</f>
        <v>603696.19999999995</v>
      </c>
      <c r="D128" s="20">
        <f t="shared" si="10"/>
        <v>11233448.200000001</v>
      </c>
      <c r="E128" s="18">
        <f>'raw data'!AH776</f>
        <v>11837144.4</v>
      </c>
      <c r="F128" s="20">
        <f>'raw data'!AO776</f>
        <v>10436926.800000001</v>
      </c>
      <c r="G128" s="20">
        <f>'raw data'!AS776</f>
        <v>15788837.800000001</v>
      </c>
      <c r="H128" s="20">
        <f t="shared" si="11"/>
        <v>1400217.5999999996</v>
      </c>
      <c r="I128" s="20">
        <f t="shared" si="12"/>
        <v>-3951693.4000000004</v>
      </c>
      <c r="J128" s="22">
        <f t="shared" si="13"/>
        <v>5.1000155071184228</v>
      </c>
      <c r="K128" s="22">
        <f t="shared" si="14"/>
        <v>18.607783517603725</v>
      </c>
      <c r="L128" s="22">
        <f t="shared" si="15"/>
        <v>19.607783517603725</v>
      </c>
      <c r="M128" s="22">
        <f t="shared" si="16"/>
        <v>17.288375842021203</v>
      </c>
      <c r="N128" s="30">
        <f t="shared" si="17"/>
        <v>1.1341599521422341</v>
      </c>
      <c r="O128" s="22">
        <f t="shared" si="18"/>
        <v>8.4537891824813531</v>
      </c>
      <c r="P128" s="14">
        <f t="shared" si="19"/>
        <v>-2.995461236947178</v>
      </c>
    </row>
    <row r="129" spans="1:16" x14ac:dyDescent="0.5">
      <c r="A129" s="23" t="str">
        <f>'raw data'!A777</f>
        <v>2011-02</v>
      </c>
      <c r="B129" s="32">
        <f>'raw data'!U777</f>
        <v>1071765.2</v>
      </c>
      <c r="C129" s="20">
        <f>'raw data'!V777</f>
        <v>600811.1</v>
      </c>
      <c r="D129" s="20">
        <f t="shared" si="10"/>
        <v>11291139.300000001</v>
      </c>
      <c r="E129" s="18">
        <f>'raw data'!AH777</f>
        <v>11891950.4</v>
      </c>
      <c r="F129" s="20">
        <f>'raw data'!AO777</f>
        <v>10499554</v>
      </c>
      <c r="G129" s="20">
        <f>'raw data'!AS777</f>
        <v>15873596.800000001</v>
      </c>
      <c r="H129" s="20">
        <f t="shared" si="11"/>
        <v>1392396.4000000004</v>
      </c>
      <c r="I129" s="20">
        <f t="shared" si="12"/>
        <v>-3981646.4000000004</v>
      </c>
      <c r="J129" s="22">
        <f t="shared" si="13"/>
        <v>5.0522503020194227</v>
      </c>
      <c r="K129" s="22">
        <f t="shared" si="14"/>
        <v>18.793160279495503</v>
      </c>
      <c r="L129" s="22">
        <f t="shared" si="15"/>
        <v>19.793160279495503</v>
      </c>
      <c r="M129" s="22">
        <f t="shared" si="16"/>
        <v>17.475632524099506</v>
      </c>
      <c r="N129" s="30">
        <f t="shared" si="17"/>
        <v>1.1326148139244772</v>
      </c>
      <c r="O129" s="22">
        <f t="shared" si="18"/>
        <v>8.54063569828247</v>
      </c>
      <c r="P129" s="14">
        <f t="shared" si="19"/>
        <v>-2.9866917363631282</v>
      </c>
    </row>
    <row r="130" spans="1:16" x14ac:dyDescent="0.5">
      <c r="A130" s="23" t="str">
        <f>'raw data'!A778</f>
        <v>2011-03</v>
      </c>
      <c r="B130" s="32">
        <f>'raw data'!U778</f>
        <v>1071298.3</v>
      </c>
      <c r="C130" s="20">
        <f>'raw data'!V778</f>
        <v>600012.9</v>
      </c>
      <c r="D130" s="20">
        <f t="shared" si="10"/>
        <v>11443575.4</v>
      </c>
      <c r="E130" s="18">
        <f>'raw data'!AH778</f>
        <v>12043588.300000001</v>
      </c>
      <c r="F130" s="20">
        <f>'raw data'!AO778</f>
        <v>10680910.300000001</v>
      </c>
      <c r="G130" s="20">
        <f>'raw data'!AS778</f>
        <v>15981980.199999999</v>
      </c>
      <c r="H130" s="20">
        <f t="shared" si="11"/>
        <v>1362678</v>
      </c>
      <c r="I130" s="20">
        <f t="shared" si="12"/>
        <v>-3938391.8999999985</v>
      </c>
      <c r="J130" s="22">
        <f t="shared" si="13"/>
        <v>4.982011050643437</v>
      </c>
      <c r="K130" s="22">
        <f t="shared" si="14"/>
        <v>19.072215614030966</v>
      </c>
      <c r="L130" s="22">
        <f t="shared" si="15"/>
        <v>20.072215614030966</v>
      </c>
      <c r="M130" s="22">
        <f t="shared" si="16"/>
        <v>17.801134442276158</v>
      </c>
      <c r="N130" s="30">
        <f t="shared" si="17"/>
        <v>1.1275806988099133</v>
      </c>
      <c r="O130" s="22">
        <f t="shared" si="18"/>
        <v>8.8381762235832682</v>
      </c>
      <c r="P130" s="14">
        <f t="shared" si="19"/>
        <v>-3.057996412190469</v>
      </c>
    </row>
    <row r="131" spans="1:16" x14ac:dyDescent="0.5">
      <c r="A131" s="23" t="str">
        <f>'raw data'!A779</f>
        <v>2011-04</v>
      </c>
      <c r="B131" s="32">
        <f>'raw data'!U779</f>
        <v>1076680.2</v>
      </c>
      <c r="C131" s="20">
        <f>'raw data'!V779</f>
        <v>597900.4</v>
      </c>
      <c r="D131" s="20">
        <f t="shared" ref="D131:D194" si="20">E131-C131</f>
        <v>11602845.299999999</v>
      </c>
      <c r="E131" s="18">
        <f>'raw data'!AH779</f>
        <v>12200745.699999999</v>
      </c>
      <c r="F131" s="20">
        <f>'raw data'!AO779</f>
        <v>10825767.300000001</v>
      </c>
      <c r="G131" s="20">
        <f>'raw data'!AS779</f>
        <v>16156614.700000001</v>
      </c>
      <c r="H131" s="20">
        <f t="shared" ref="H131:H194" si="21">E131-F131</f>
        <v>1374978.3999999985</v>
      </c>
      <c r="I131" s="20">
        <f t="shared" ref="I131:I194" si="22">E131-G131</f>
        <v>-3955869.0000000019</v>
      </c>
      <c r="J131" s="22">
        <f t="shared" ref="J131:J194" si="23">C131/E131*100</f>
        <v>4.9005234163679035</v>
      </c>
      <c r="K131" s="22">
        <f t="shared" ref="K131:K194" si="24">D131/C131</f>
        <v>19.405983504944967</v>
      </c>
      <c r="L131" s="22">
        <f t="shared" ref="L131:L194" si="25">E131/C131</f>
        <v>20.40598350494497</v>
      </c>
      <c r="M131" s="22">
        <f t="shared" ref="M131:M194" si="26">F131/C131</f>
        <v>18.106305498373978</v>
      </c>
      <c r="N131" s="30">
        <f t="shared" ref="N131:N194" si="27">E131/F131</f>
        <v>1.1270097871030351</v>
      </c>
      <c r="O131" s="22">
        <f t="shared" ref="O131:O194" si="28">E131/H131</f>
        <v>8.8734089931885567</v>
      </c>
      <c r="P131" s="14">
        <f t="shared" ref="P131:P194" si="29">E131/I131</f>
        <v>-3.0842137846324014</v>
      </c>
    </row>
    <row r="132" spans="1:16" x14ac:dyDescent="0.5">
      <c r="A132" s="23" t="str">
        <f>'raw data'!A780</f>
        <v>2011-05</v>
      </c>
      <c r="B132" s="32">
        <f>'raw data'!U780</f>
        <v>1076204.3999999999</v>
      </c>
      <c r="C132" s="20">
        <f>'raw data'!V780</f>
        <v>597075.69999999995</v>
      </c>
      <c r="D132" s="20">
        <f t="shared" si="20"/>
        <v>11634298.600000001</v>
      </c>
      <c r="E132" s="18">
        <f>'raw data'!AH780</f>
        <v>12231374.300000001</v>
      </c>
      <c r="F132" s="20">
        <f>'raw data'!AO780</f>
        <v>10848000.800000001</v>
      </c>
      <c r="G132" s="20">
        <f>'raw data'!AS780</f>
        <v>16334437.4</v>
      </c>
      <c r="H132" s="20">
        <f t="shared" si="21"/>
        <v>1383373.5</v>
      </c>
      <c r="I132" s="20">
        <f t="shared" si="22"/>
        <v>-4103063.0999999996</v>
      </c>
      <c r="J132" s="22">
        <f t="shared" si="23"/>
        <v>4.8815095127944863</v>
      </c>
      <c r="K132" s="22">
        <f t="shared" si="24"/>
        <v>19.485466583215498</v>
      </c>
      <c r="L132" s="22">
        <f t="shared" si="25"/>
        <v>20.485466583215498</v>
      </c>
      <c r="M132" s="22">
        <f t="shared" si="26"/>
        <v>18.168551826845409</v>
      </c>
      <c r="N132" s="30">
        <f t="shared" si="27"/>
        <v>1.1275233589584543</v>
      </c>
      <c r="O132" s="22">
        <f t="shared" si="28"/>
        <v>8.8417005964043707</v>
      </c>
      <c r="P132" s="14">
        <f t="shared" si="29"/>
        <v>-2.9810349004869074</v>
      </c>
    </row>
    <row r="133" spans="1:16" x14ac:dyDescent="0.5">
      <c r="A133" s="23" t="str">
        <f>'raw data'!A781</f>
        <v>2011-06</v>
      </c>
      <c r="B133" s="32">
        <f>'raw data'!U781</f>
        <v>1079871.8999999999</v>
      </c>
      <c r="C133" s="20">
        <f>'raw data'!V781</f>
        <v>600120.9</v>
      </c>
      <c r="D133" s="20">
        <f t="shared" si="20"/>
        <v>11709476.299999999</v>
      </c>
      <c r="E133" s="18">
        <f>'raw data'!AH781</f>
        <v>12309597.199999999</v>
      </c>
      <c r="F133" s="20">
        <f>'raw data'!AO781</f>
        <v>10907149.1</v>
      </c>
      <c r="G133" s="20">
        <f>'raw data'!AS781</f>
        <v>16388909.699999999</v>
      </c>
      <c r="H133" s="20">
        <f t="shared" si="21"/>
        <v>1402448.0999999996</v>
      </c>
      <c r="I133" s="20">
        <f t="shared" si="22"/>
        <v>-4079312.5</v>
      </c>
      <c r="J133" s="22">
        <f t="shared" si="23"/>
        <v>4.8752277613113124</v>
      </c>
      <c r="K133" s="22">
        <f t="shared" si="24"/>
        <v>19.511862193101422</v>
      </c>
      <c r="L133" s="22">
        <f t="shared" si="25"/>
        <v>20.511862193101422</v>
      </c>
      <c r="M133" s="22">
        <f t="shared" si="26"/>
        <v>18.174919587036545</v>
      </c>
      <c r="N133" s="30">
        <f t="shared" si="27"/>
        <v>1.1285806297449441</v>
      </c>
      <c r="O133" s="22">
        <f t="shared" si="28"/>
        <v>8.7772212034085264</v>
      </c>
      <c r="P133" s="14">
        <f t="shared" si="29"/>
        <v>-3.0175666120210205</v>
      </c>
    </row>
    <row r="134" spans="1:16" x14ac:dyDescent="0.5">
      <c r="A134" s="23" t="str">
        <f>'raw data'!A782</f>
        <v>2011-07</v>
      </c>
      <c r="B134" s="32">
        <f>'raw data'!U782</f>
        <v>1081731.8999999999</v>
      </c>
      <c r="C134" s="20">
        <f>'raw data'!V782</f>
        <v>600883.4</v>
      </c>
      <c r="D134" s="20">
        <f t="shared" si="20"/>
        <v>11723871.199999999</v>
      </c>
      <c r="E134" s="18">
        <f>'raw data'!AH782</f>
        <v>12324754.6</v>
      </c>
      <c r="F134" s="20">
        <f>'raw data'!AO782</f>
        <v>10955960</v>
      </c>
      <c r="G134" s="20">
        <f>'raw data'!AS782</f>
        <v>16564760.6</v>
      </c>
      <c r="H134" s="20">
        <f t="shared" si="21"/>
        <v>1368794.5999999996</v>
      </c>
      <c r="I134" s="20">
        <f t="shared" si="22"/>
        <v>-4240006</v>
      </c>
      <c r="J134" s="22">
        <f t="shared" si="23"/>
        <v>4.8754187771008439</v>
      </c>
      <c r="K134" s="22">
        <f t="shared" si="24"/>
        <v>19.511058551459399</v>
      </c>
      <c r="L134" s="22">
        <f t="shared" si="25"/>
        <v>20.511058551459399</v>
      </c>
      <c r="M134" s="22">
        <f t="shared" si="26"/>
        <v>18.233088149880658</v>
      </c>
      <c r="N134" s="30">
        <f t="shared" si="27"/>
        <v>1.1249360713255616</v>
      </c>
      <c r="O134" s="22">
        <f t="shared" si="28"/>
        <v>9.004093528714975</v>
      </c>
      <c r="P134" s="14">
        <f t="shared" si="29"/>
        <v>-2.9067776319184455</v>
      </c>
    </row>
    <row r="135" spans="1:16" x14ac:dyDescent="0.5">
      <c r="A135" s="23" t="str">
        <f>'raw data'!A783</f>
        <v>2011-08</v>
      </c>
      <c r="B135" s="32">
        <f>'raw data'!U783</f>
        <v>1080758.3</v>
      </c>
      <c r="C135" s="20">
        <f>'raw data'!V783</f>
        <v>600046.6</v>
      </c>
      <c r="D135" s="20">
        <f t="shared" si="20"/>
        <v>11817217.6</v>
      </c>
      <c r="E135" s="18">
        <f>'raw data'!AH783</f>
        <v>12417264.199999999</v>
      </c>
      <c r="F135" s="20">
        <f>'raw data'!AO783</f>
        <v>11034767.6</v>
      </c>
      <c r="G135" s="20">
        <f>'raw data'!AS783</f>
        <v>16708041.800000001</v>
      </c>
      <c r="H135" s="20">
        <f t="shared" si="21"/>
        <v>1382496.5999999996</v>
      </c>
      <c r="I135" s="20">
        <f t="shared" si="22"/>
        <v>-4290777.6000000015</v>
      </c>
      <c r="J135" s="22">
        <f t="shared" si="23"/>
        <v>4.8323575172057627</v>
      </c>
      <c r="K135" s="22">
        <f t="shared" si="24"/>
        <v>19.693833112294946</v>
      </c>
      <c r="L135" s="22">
        <f t="shared" si="25"/>
        <v>20.693833112294946</v>
      </c>
      <c r="M135" s="22">
        <f t="shared" si="26"/>
        <v>18.389851054901403</v>
      </c>
      <c r="N135" s="30">
        <f t="shared" si="27"/>
        <v>1.1252855202859007</v>
      </c>
      <c r="O135" s="22">
        <f t="shared" si="28"/>
        <v>8.9817683457594057</v>
      </c>
      <c r="P135" s="14">
        <f t="shared" si="29"/>
        <v>-2.8939426270893169</v>
      </c>
    </row>
    <row r="136" spans="1:16" x14ac:dyDescent="0.5">
      <c r="A136" s="23" t="str">
        <f>'raw data'!A784</f>
        <v>2011-09</v>
      </c>
      <c r="B136" s="32">
        <f>'raw data'!U784</f>
        <v>1079306.8</v>
      </c>
      <c r="C136" s="20">
        <f>'raw data'!V784</f>
        <v>600107.80000000005</v>
      </c>
      <c r="D136" s="20">
        <f t="shared" si="20"/>
        <v>11850472.399999999</v>
      </c>
      <c r="E136" s="18">
        <f>'raw data'!AH784</f>
        <v>12450580.199999999</v>
      </c>
      <c r="F136" s="20">
        <f>'raw data'!AO784</f>
        <v>11054513.300000001</v>
      </c>
      <c r="G136" s="20">
        <f>'raw data'!AS784</f>
        <v>16760448.399999999</v>
      </c>
      <c r="H136" s="20">
        <f t="shared" si="21"/>
        <v>1396066.8999999985</v>
      </c>
      <c r="I136" s="20">
        <f t="shared" si="22"/>
        <v>-4309868.1999999993</v>
      </c>
      <c r="J136" s="22">
        <f t="shared" si="23"/>
        <v>4.8199183520780826</v>
      </c>
      <c r="K136" s="22">
        <f t="shared" si="24"/>
        <v>19.747239412652188</v>
      </c>
      <c r="L136" s="22">
        <f t="shared" si="25"/>
        <v>20.747239412652192</v>
      </c>
      <c r="M136" s="22">
        <f t="shared" si="26"/>
        <v>18.420879215367638</v>
      </c>
      <c r="N136" s="30">
        <f t="shared" si="27"/>
        <v>1.12628931388594</v>
      </c>
      <c r="O136" s="22">
        <f t="shared" si="28"/>
        <v>8.9183263352207636</v>
      </c>
      <c r="P136" s="14">
        <f t="shared" si="29"/>
        <v>-2.8888540489474832</v>
      </c>
    </row>
    <row r="137" spans="1:16" x14ac:dyDescent="0.5">
      <c r="A137" s="23" t="str">
        <f>'raw data'!A785</f>
        <v>2011-10</v>
      </c>
      <c r="B137" s="32">
        <f>'raw data'!U785</f>
        <v>1082739.6000000001</v>
      </c>
      <c r="C137" s="20">
        <f>'raw data'!V785</f>
        <v>601678.19999999995</v>
      </c>
      <c r="D137" s="20">
        <f t="shared" si="20"/>
        <v>11879882.300000001</v>
      </c>
      <c r="E137" s="18">
        <f>'raw data'!AH785</f>
        <v>12481560.5</v>
      </c>
      <c r="F137" s="20">
        <f>'raw data'!AO785</f>
        <v>11069729.9</v>
      </c>
      <c r="G137" s="20">
        <f>'raw data'!AS785</f>
        <v>16758754.199999999</v>
      </c>
      <c r="H137" s="20">
        <f t="shared" si="21"/>
        <v>1411830.5999999996</v>
      </c>
      <c r="I137" s="20">
        <f t="shared" si="22"/>
        <v>-4277193.6999999993</v>
      </c>
      <c r="J137" s="22">
        <f t="shared" si="23"/>
        <v>4.8205366628635895</v>
      </c>
      <c r="K137" s="22">
        <f t="shared" si="24"/>
        <v>19.744578247973752</v>
      </c>
      <c r="L137" s="22">
        <f t="shared" si="25"/>
        <v>20.744578247973752</v>
      </c>
      <c r="M137" s="22">
        <f t="shared" si="26"/>
        <v>18.398090374555704</v>
      </c>
      <c r="N137" s="30">
        <f t="shared" si="27"/>
        <v>1.1275397514441612</v>
      </c>
      <c r="O137" s="22">
        <f t="shared" si="28"/>
        <v>8.8406927148342049</v>
      </c>
      <c r="P137" s="14">
        <f t="shared" si="29"/>
        <v>-2.918165829151016</v>
      </c>
    </row>
    <row r="138" spans="1:16" x14ac:dyDescent="0.5">
      <c r="A138" s="23" t="str">
        <f>'raw data'!A786</f>
        <v>2011-11</v>
      </c>
      <c r="B138" s="32">
        <f>'raw data'!U786</f>
        <v>1084488.5</v>
      </c>
      <c r="C138" s="20">
        <f>'raw data'!V786</f>
        <v>601845.80000000005</v>
      </c>
      <c r="D138" s="20">
        <f t="shared" si="20"/>
        <v>11865922.6</v>
      </c>
      <c r="E138" s="18">
        <f>'raw data'!AH786</f>
        <v>12467768.4</v>
      </c>
      <c r="F138" s="20">
        <f>'raw data'!AO786</f>
        <v>11049432.199999999</v>
      </c>
      <c r="G138" s="20">
        <f>'raw data'!AS786</f>
        <v>16794239.399999999</v>
      </c>
      <c r="H138" s="20">
        <f t="shared" si="21"/>
        <v>1418336.2000000011</v>
      </c>
      <c r="I138" s="20">
        <f t="shared" si="22"/>
        <v>-4326470.9999999981</v>
      </c>
      <c r="J138" s="22">
        <f t="shared" si="23"/>
        <v>4.8272135051850986</v>
      </c>
      <c r="K138" s="22">
        <f t="shared" si="24"/>
        <v>19.715885032345493</v>
      </c>
      <c r="L138" s="22">
        <f t="shared" si="25"/>
        <v>20.715885032345493</v>
      </c>
      <c r="M138" s="22">
        <f t="shared" si="26"/>
        <v>18.359241187692923</v>
      </c>
      <c r="N138" s="30">
        <f t="shared" si="27"/>
        <v>1.1283628130683494</v>
      </c>
      <c r="O138" s="22">
        <f t="shared" si="28"/>
        <v>8.7904182379325793</v>
      </c>
      <c r="P138" s="14">
        <f t="shared" si="29"/>
        <v>-2.8817408922884278</v>
      </c>
    </row>
    <row r="139" spans="1:16" x14ac:dyDescent="0.5">
      <c r="A139" s="23" t="str">
        <f>'raw data'!A787</f>
        <v>2011-12</v>
      </c>
      <c r="B139" s="32">
        <f>'raw data'!U787</f>
        <v>1086249.5</v>
      </c>
      <c r="C139" s="20">
        <f>'raw data'!V787</f>
        <v>601973.4</v>
      </c>
      <c r="D139" s="20">
        <f t="shared" si="20"/>
        <v>11943915.799999999</v>
      </c>
      <c r="E139" s="18">
        <f>'raw data'!AH787</f>
        <v>12545889.199999999</v>
      </c>
      <c r="F139" s="20">
        <f>'raw data'!AO787</f>
        <v>11117020</v>
      </c>
      <c r="G139" s="20">
        <f>'raw data'!AS787</f>
        <v>16851567.899999999</v>
      </c>
      <c r="H139" s="20">
        <f t="shared" si="21"/>
        <v>1428869.1999999993</v>
      </c>
      <c r="I139" s="20">
        <f t="shared" si="22"/>
        <v>-4305678.6999999993</v>
      </c>
      <c r="J139" s="22">
        <f t="shared" si="23"/>
        <v>4.7981724563612449</v>
      </c>
      <c r="K139" s="22">
        <f t="shared" si="24"/>
        <v>19.841268401560598</v>
      </c>
      <c r="L139" s="22">
        <f t="shared" si="25"/>
        <v>20.841268401560598</v>
      </c>
      <c r="M139" s="22">
        <f t="shared" si="26"/>
        <v>18.467626642639026</v>
      </c>
      <c r="N139" s="30">
        <f t="shared" si="27"/>
        <v>1.128529875812043</v>
      </c>
      <c r="O139" s="22">
        <f t="shared" si="28"/>
        <v>8.7802922758780202</v>
      </c>
      <c r="P139" s="14">
        <f t="shared" si="29"/>
        <v>-2.9138006047687677</v>
      </c>
    </row>
    <row r="140" spans="1:16" x14ac:dyDescent="0.5">
      <c r="A140" s="23" t="str">
        <f>'raw data'!A788</f>
        <v>2012-01</v>
      </c>
      <c r="B140" s="32">
        <f>'raw data'!U788</f>
        <v>1085787.1000000001</v>
      </c>
      <c r="C140" s="20">
        <f>'raw data'!V788</f>
        <v>600667</v>
      </c>
      <c r="D140" s="20">
        <f t="shared" si="20"/>
        <v>11995602.199999999</v>
      </c>
      <c r="E140" s="18">
        <f>'raw data'!AH788</f>
        <v>12596269.199999999</v>
      </c>
      <c r="F140" s="20">
        <f>'raw data'!AO788</f>
        <v>11139081.199999999</v>
      </c>
      <c r="G140" s="20">
        <f>'raw data'!AS788</f>
        <v>16980172.600000001</v>
      </c>
      <c r="H140" s="20">
        <f t="shared" si="21"/>
        <v>1457188</v>
      </c>
      <c r="I140" s="20">
        <f t="shared" si="22"/>
        <v>-4383903.4000000022</v>
      </c>
      <c r="J140" s="22">
        <f t="shared" si="23"/>
        <v>4.768610375522937</v>
      </c>
      <c r="K140" s="22">
        <f t="shared" si="24"/>
        <v>19.970469827708197</v>
      </c>
      <c r="L140" s="22">
        <f t="shared" si="25"/>
        <v>20.970469827708197</v>
      </c>
      <c r="M140" s="22">
        <f t="shared" si="26"/>
        <v>18.54452000859045</v>
      </c>
      <c r="N140" s="30">
        <f t="shared" si="27"/>
        <v>1.1308176117793269</v>
      </c>
      <c r="O140" s="22">
        <f t="shared" si="28"/>
        <v>8.6442306689322166</v>
      </c>
      <c r="P140" s="14">
        <f t="shared" si="29"/>
        <v>-2.8732998998107471</v>
      </c>
    </row>
    <row r="141" spans="1:16" x14ac:dyDescent="0.5">
      <c r="A141" s="23" t="str">
        <f>'raw data'!A789</f>
        <v>2012-02</v>
      </c>
      <c r="B141" s="32">
        <f>'raw data'!U789</f>
        <v>1087621.5</v>
      </c>
      <c r="C141" s="20">
        <f>'raw data'!V789</f>
        <v>598918.80000000005</v>
      </c>
      <c r="D141" s="20">
        <f t="shared" si="20"/>
        <v>12093515.899999999</v>
      </c>
      <c r="E141" s="18">
        <f>'raw data'!AH789</f>
        <v>12692434.699999999</v>
      </c>
      <c r="F141" s="20">
        <f>'raw data'!AO789</f>
        <v>11206708</v>
      </c>
      <c r="G141" s="20">
        <f>'raw data'!AS789</f>
        <v>17114195.100000001</v>
      </c>
      <c r="H141" s="20">
        <f t="shared" si="21"/>
        <v>1485726.6999999993</v>
      </c>
      <c r="I141" s="20">
        <f t="shared" si="22"/>
        <v>-4421760.4000000022</v>
      </c>
      <c r="J141" s="22">
        <f t="shared" si="23"/>
        <v>4.7187069632905034</v>
      </c>
      <c r="K141" s="22">
        <f t="shared" si="24"/>
        <v>20.192246261095825</v>
      </c>
      <c r="L141" s="22">
        <f t="shared" si="25"/>
        <v>21.192246261095825</v>
      </c>
      <c r="M141" s="22">
        <f t="shared" si="26"/>
        <v>18.711564906628411</v>
      </c>
      <c r="N141" s="30">
        <f t="shared" si="27"/>
        <v>1.1325747668271537</v>
      </c>
      <c r="O141" s="22">
        <f t="shared" si="28"/>
        <v>8.542913511616911</v>
      </c>
      <c r="P141" s="14">
        <f t="shared" si="29"/>
        <v>-2.8704483173715141</v>
      </c>
    </row>
    <row r="142" spans="1:16" x14ac:dyDescent="0.5">
      <c r="A142" s="23" t="str">
        <f>'raw data'!A790</f>
        <v>2012-03</v>
      </c>
      <c r="B142" s="32">
        <f>'raw data'!U790</f>
        <v>1090802.3999999999</v>
      </c>
      <c r="C142" s="20">
        <f>'raw data'!V790</f>
        <v>600016.19999999995</v>
      </c>
      <c r="D142" s="20">
        <f t="shared" si="20"/>
        <v>12031703.100000001</v>
      </c>
      <c r="E142" s="18">
        <f>'raw data'!AH790</f>
        <v>12631719.300000001</v>
      </c>
      <c r="F142" s="20">
        <f>'raw data'!AO790</f>
        <v>11173474.4</v>
      </c>
      <c r="G142" s="20">
        <f>'raw data'!AS790</f>
        <v>17213704</v>
      </c>
      <c r="H142" s="20">
        <f t="shared" si="21"/>
        <v>1458244.9000000004</v>
      </c>
      <c r="I142" s="20">
        <f t="shared" si="22"/>
        <v>-4581984.6999999993</v>
      </c>
      <c r="J142" s="22">
        <f t="shared" si="23"/>
        <v>4.7500754707239254</v>
      </c>
      <c r="K142" s="22">
        <f t="shared" si="24"/>
        <v>20.05229708797863</v>
      </c>
      <c r="L142" s="22">
        <f t="shared" si="25"/>
        <v>21.052297087978626</v>
      </c>
      <c r="M142" s="22">
        <f t="shared" si="26"/>
        <v>18.62195454056074</v>
      </c>
      <c r="N142" s="30">
        <f t="shared" si="27"/>
        <v>1.130509530679195</v>
      </c>
      <c r="O142" s="22">
        <f t="shared" si="28"/>
        <v>8.6622756575387285</v>
      </c>
      <c r="P142" s="14">
        <f t="shared" si="29"/>
        <v>-2.7568226711887545</v>
      </c>
    </row>
    <row r="143" spans="1:16" x14ac:dyDescent="0.5">
      <c r="A143" s="23" t="str">
        <f>'raw data'!A791</f>
        <v>2012-04</v>
      </c>
      <c r="B143" s="32">
        <f>'raw data'!U791</f>
        <v>1092599.8</v>
      </c>
      <c r="C143" s="20">
        <f>'raw data'!V791</f>
        <v>600972.19999999995</v>
      </c>
      <c r="D143" s="20">
        <f t="shared" si="20"/>
        <v>12084973.4</v>
      </c>
      <c r="E143" s="18">
        <f>'raw data'!AH791</f>
        <v>12685945.6</v>
      </c>
      <c r="F143" s="20">
        <f>'raw data'!AO791</f>
        <v>11245844.9</v>
      </c>
      <c r="G143" s="20">
        <f>'raw data'!AS791</f>
        <v>17296375.199999999</v>
      </c>
      <c r="H143" s="20">
        <f t="shared" si="21"/>
        <v>1440100.6999999993</v>
      </c>
      <c r="I143" s="20">
        <f t="shared" si="22"/>
        <v>-4610429.5999999996</v>
      </c>
      <c r="J143" s="22">
        <f t="shared" si="23"/>
        <v>4.7373070873013994</v>
      </c>
      <c r="K143" s="22">
        <f t="shared" si="24"/>
        <v>20.109038987161139</v>
      </c>
      <c r="L143" s="22">
        <f t="shared" si="25"/>
        <v>21.109038987161139</v>
      </c>
      <c r="M143" s="22">
        <f t="shared" si="26"/>
        <v>18.712753934375002</v>
      </c>
      <c r="N143" s="30">
        <f t="shared" si="27"/>
        <v>1.1280562476902023</v>
      </c>
      <c r="O143" s="22">
        <f t="shared" si="28"/>
        <v>8.8090684213958141</v>
      </c>
      <c r="P143" s="14">
        <f t="shared" si="29"/>
        <v>-2.7515756015448107</v>
      </c>
    </row>
    <row r="144" spans="1:16" x14ac:dyDescent="0.5">
      <c r="A144" s="23" t="str">
        <f>'raw data'!A792</f>
        <v>2012-05</v>
      </c>
      <c r="B144" s="32">
        <f>'raw data'!U792</f>
        <v>1101463.3999999999</v>
      </c>
      <c r="C144" s="20">
        <f>'raw data'!V792</f>
        <v>609046.4</v>
      </c>
      <c r="D144" s="20">
        <f t="shared" si="20"/>
        <v>12105666.9</v>
      </c>
      <c r="E144" s="18">
        <f>'raw data'!AH792</f>
        <v>12714713.300000001</v>
      </c>
      <c r="F144" s="20">
        <f>'raw data'!AO792</f>
        <v>11278098.800000001</v>
      </c>
      <c r="G144" s="20">
        <f>'raw data'!AS792</f>
        <v>17340165.399999999</v>
      </c>
      <c r="H144" s="20">
        <f t="shared" si="21"/>
        <v>1436614.5</v>
      </c>
      <c r="I144" s="20">
        <f t="shared" si="22"/>
        <v>-4625452.0999999978</v>
      </c>
      <c r="J144" s="22">
        <f t="shared" si="23"/>
        <v>4.7900914918781536</v>
      </c>
      <c r="K144" s="22">
        <f t="shared" si="24"/>
        <v>19.876427970020018</v>
      </c>
      <c r="L144" s="22">
        <f t="shared" si="25"/>
        <v>20.876427970020018</v>
      </c>
      <c r="M144" s="22">
        <f t="shared" si="26"/>
        <v>18.51763478119237</v>
      </c>
      <c r="N144" s="30">
        <f t="shared" si="27"/>
        <v>1.1273809110450423</v>
      </c>
      <c r="O144" s="22">
        <f t="shared" si="28"/>
        <v>8.8504698372458304</v>
      </c>
      <c r="P144" s="14">
        <f t="shared" si="29"/>
        <v>-2.7488584953674056</v>
      </c>
    </row>
    <row r="145" spans="1:16" x14ac:dyDescent="0.5">
      <c r="A145" s="23" t="str">
        <f>'raw data'!A793</f>
        <v>2012-06</v>
      </c>
      <c r="B145" s="32">
        <f>'raw data'!U793</f>
        <v>1100967</v>
      </c>
      <c r="C145" s="20">
        <f>'raw data'!V793</f>
        <v>608947.19999999995</v>
      </c>
      <c r="D145" s="20">
        <f t="shared" si="20"/>
        <v>12136121.4</v>
      </c>
      <c r="E145" s="18">
        <f>'raw data'!AH793</f>
        <v>12745068.6</v>
      </c>
      <c r="F145" s="20">
        <f>'raw data'!AO793</f>
        <v>11297528.6</v>
      </c>
      <c r="G145" s="20">
        <f>'raw data'!AS793</f>
        <v>17475412</v>
      </c>
      <c r="H145" s="20">
        <f t="shared" si="21"/>
        <v>1447540</v>
      </c>
      <c r="I145" s="20">
        <f t="shared" si="22"/>
        <v>-4730343.4000000004</v>
      </c>
      <c r="J145" s="22">
        <f t="shared" si="23"/>
        <v>4.777904451608836</v>
      </c>
      <c r="K145" s="22">
        <f t="shared" si="24"/>
        <v>19.929677646928997</v>
      </c>
      <c r="L145" s="22">
        <f t="shared" si="25"/>
        <v>20.929677646928997</v>
      </c>
      <c r="M145" s="22">
        <f t="shared" si="26"/>
        <v>18.552558579791484</v>
      </c>
      <c r="N145" s="30">
        <f t="shared" si="27"/>
        <v>1.1281289077683769</v>
      </c>
      <c r="O145" s="22">
        <f t="shared" si="28"/>
        <v>8.8046400099479118</v>
      </c>
      <c r="P145" s="14">
        <f t="shared" si="29"/>
        <v>-2.6943220654974009</v>
      </c>
    </row>
    <row r="146" spans="1:16" x14ac:dyDescent="0.5">
      <c r="A146" s="23" t="str">
        <f>'raw data'!A794</f>
        <v>2012-07</v>
      </c>
      <c r="B146" s="32">
        <f>'raw data'!U794</f>
        <v>1098690.7</v>
      </c>
      <c r="C146" s="20">
        <f>'raw data'!V794</f>
        <v>607070.69999999995</v>
      </c>
      <c r="D146" s="20">
        <f t="shared" si="20"/>
        <v>12195659.800000001</v>
      </c>
      <c r="E146" s="18">
        <f>'raw data'!AH794</f>
        <v>12802730.5</v>
      </c>
      <c r="F146" s="20">
        <f>'raw data'!AO794</f>
        <v>11344347.5</v>
      </c>
      <c r="G146" s="20">
        <f>'raw data'!AS794</f>
        <v>17612104.399999999</v>
      </c>
      <c r="H146" s="20">
        <f t="shared" si="21"/>
        <v>1458383</v>
      </c>
      <c r="I146" s="20">
        <f t="shared" si="22"/>
        <v>-4809373.8999999985</v>
      </c>
      <c r="J146" s="22">
        <f t="shared" si="23"/>
        <v>4.7417283367794081</v>
      </c>
      <c r="K146" s="22">
        <f t="shared" si="24"/>
        <v>20.089356643303656</v>
      </c>
      <c r="L146" s="22">
        <f t="shared" si="25"/>
        <v>21.089356643303656</v>
      </c>
      <c r="M146" s="22">
        <f t="shared" si="26"/>
        <v>18.687028545439603</v>
      </c>
      <c r="N146" s="30">
        <f t="shared" si="27"/>
        <v>1.1285559173852882</v>
      </c>
      <c r="O146" s="22">
        <f t="shared" si="28"/>
        <v>8.7787162220075246</v>
      </c>
      <c r="P146" s="14">
        <f t="shared" si="29"/>
        <v>-2.662036840179967</v>
      </c>
    </row>
    <row r="147" spans="1:16" x14ac:dyDescent="0.5">
      <c r="A147" s="23" t="str">
        <f>'raw data'!A795</f>
        <v>2012-08</v>
      </c>
      <c r="B147" s="32">
        <f>'raw data'!U795</f>
        <v>1100906.1000000001</v>
      </c>
      <c r="C147" s="20">
        <f>'raw data'!V795</f>
        <v>607728.80000000005</v>
      </c>
      <c r="D147" s="20">
        <f t="shared" si="20"/>
        <v>12223924.199999999</v>
      </c>
      <c r="E147" s="18">
        <f>'raw data'!AH795</f>
        <v>12831653</v>
      </c>
      <c r="F147" s="20">
        <f>'raw data'!AO795</f>
        <v>11379999.5</v>
      </c>
      <c r="G147" s="20">
        <f>'raw data'!AS795</f>
        <v>17752044.100000001</v>
      </c>
      <c r="H147" s="20">
        <f t="shared" si="21"/>
        <v>1451653.5</v>
      </c>
      <c r="I147" s="20">
        <f t="shared" si="22"/>
        <v>-4920391.1000000015</v>
      </c>
      <c r="J147" s="22">
        <f t="shared" si="23"/>
        <v>4.7361692215336566</v>
      </c>
      <c r="K147" s="22">
        <f t="shared" si="24"/>
        <v>20.114110438735171</v>
      </c>
      <c r="L147" s="22">
        <f t="shared" si="25"/>
        <v>21.114110438735171</v>
      </c>
      <c r="M147" s="22">
        <f t="shared" si="26"/>
        <v>18.725456980152988</v>
      </c>
      <c r="N147" s="30">
        <f t="shared" si="27"/>
        <v>1.1275618245853174</v>
      </c>
      <c r="O147" s="22">
        <f t="shared" si="28"/>
        <v>8.8393359710151209</v>
      </c>
      <c r="P147" s="14">
        <f t="shared" si="29"/>
        <v>-2.6078522497937198</v>
      </c>
    </row>
    <row r="148" spans="1:16" x14ac:dyDescent="0.5">
      <c r="A148" s="23" t="str">
        <f>'raw data'!A796</f>
        <v>2012-09</v>
      </c>
      <c r="B148" s="32">
        <f>'raw data'!U796</f>
        <v>1103066.8999999999</v>
      </c>
      <c r="C148" s="20">
        <f>'raw data'!V796</f>
        <v>607150.5</v>
      </c>
      <c r="D148" s="20">
        <f t="shared" si="20"/>
        <v>12233491.5</v>
      </c>
      <c r="E148" s="18">
        <f>'raw data'!AH796</f>
        <v>12840642</v>
      </c>
      <c r="F148" s="20">
        <f>'raw data'!AO796</f>
        <v>11370800.199999999</v>
      </c>
      <c r="G148" s="20">
        <f>'raw data'!AS796</f>
        <v>17852992.600000001</v>
      </c>
      <c r="H148" s="20">
        <f t="shared" si="21"/>
        <v>1469841.8000000007</v>
      </c>
      <c r="I148" s="20">
        <f t="shared" si="22"/>
        <v>-5012350.6000000015</v>
      </c>
      <c r="J148" s="22">
        <f t="shared" si="23"/>
        <v>4.7283500310965758</v>
      </c>
      <c r="K148" s="22">
        <f t="shared" si="24"/>
        <v>20.14902647696082</v>
      </c>
      <c r="L148" s="22">
        <f t="shared" si="25"/>
        <v>21.14902647696082</v>
      </c>
      <c r="M148" s="22">
        <f t="shared" si="26"/>
        <v>18.728141045753894</v>
      </c>
      <c r="N148" s="30">
        <f t="shared" si="27"/>
        <v>1.129264587728839</v>
      </c>
      <c r="O148" s="22">
        <f t="shared" si="28"/>
        <v>8.7360707798621551</v>
      </c>
      <c r="P148" s="14">
        <f t="shared" si="29"/>
        <v>-2.5618004454836014</v>
      </c>
    </row>
    <row r="149" spans="1:16" x14ac:dyDescent="0.5">
      <c r="A149" s="23" t="str">
        <f>'raw data'!A797</f>
        <v>2012-10</v>
      </c>
      <c r="B149" s="32">
        <f>'raw data'!U797</f>
        <v>1104743.6000000001</v>
      </c>
      <c r="C149" s="20">
        <f>'raw data'!V797</f>
        <v>608283.9</v>
      </c>
      <c r="D149" s="20">
        <f t="shared" si="20"/>
        <v>12252922.799999999</v>
      </c>
      <c r="E149" s="18">
        <f>'raw data'!AH797</f>
        <v>12861206.699999999</v>
      </c>
      <c r="F149" s="20">
        <f>'raw data'!AO797</f>
        <v>11367439.6</v>
      </c>
      <c r="G149" s="20">
        <f>'raw data'!AS797</f>
        <v>17991205.399999999</v>
      </c>
      <c r="H149" s="20">
        <f t="shared" si="21"/>
        <v>1493767.0999999996</v>
      </c>
      <c r="I149" s="20">
        <f t="shared" si="22"/>
        <v>-5129998.6999999993</v>
      </c>
      <c r="J149" s="22">
        <f t="shared" si="23"/>
        <v>4.7296020831389018</v>
      </c>
      <c r="K149" s="22">
        <f t="shared" si="24"/>
        <v>20.143427764568482</v>
      </c>
      <c r="L149" s="22">
        <f t="shared" si="25"/>
        <v>21.143427764568482</v>
      </c>
      <c r="M149" s="22">
        <f t="shared" si="26"/>
        <v>18.687720651491844</v>
      </c>
      <c r="N149" s="30">
        <f t="shared" si="27"/>
        <v>1.1314075246988777</v>
      </c>
      <c r="O149" s="22">
        <f t="shared" si="28"/>
        <v>8.6099142898514778</v>
      </c>
      <c r="P149" s="14">
        <f t="shared" si="29"/>
        <v>-2.5070584715742719</v>
      </c>
    </row>
    <row r="150" spans="1:16" x14ac:dyDescent="0.5">
      <c r="A150" s="23" t="str">
        <f>'raw data'!A798</f>
        <v>2012-11</v>
      </c>
      <c r="B150" s="32">
        <f>'raw data'!U798</f>
        <v>1104589.7</v>
      </c>
      <c r="C150" s="20">
        <f>'raw data'!V798</f>
        <v>608936.69999999995</v>
      </c>
      <c r="D150" s="20">
        <f t="shared" si="20"/>
        <v>12376483.700000001</v>
      </c>
      <c r="E150" s="18">
        <f>'raw data'!AH798</f>
        <v>12985420.4</v>
      </c>
      <c r="F150" s="20">
        <f>'raw data'!AO798</f>
        <v>11473186.9</v>
      </c>
      <c r="G150" s="20">
        <f>'raw data'!AS798</f>
        <v>18224945.600000001</v>
      </c>
      <c r="H150" s="20">
        <f t="shared" si="21"/>
        <v>1512233.5</v>
      </c>
      <c r="I150" s="20">
        <f t="shared" si="22"/>
        <v>-5239525.2000000011</v>
      </c>
      <c r="J150" s="22">
        <f t="shared" si="23"/>
        <v>4.6893876458555006</v>
      </c>
      <c r="K150" s="22">
        <f t="shared" si="24"/>
        <v>20.32474590544469</v>
      </c>
      <c r="L150" s="22">
        <f t="shared" si="25"/>
        <v>21.32474590544469</v>
      </c>
      <c r="M150" s="22">
        <f t="shared" si="26"/>
        <v>18.841345742504927</v>
      </c>
      <c r="N150" s="30">
        <f t="shared" si="27"/>
        <v>1.1318058803696469</v>
      </c>
      <c r="O150" s="22">
        <f t="shared" si="28"/>
        <v>8.586914917570601</v>
      </c>
      <c r="P150" s="14">
        <f t="shared" si="29"/>
        <v>-2.4783582298640336</v>
      </c>
    </row>
    <row r="151" spans="1:16" x14ac:dyDescent="0.5">
      <c r="A151" s="23" t="str">
        <f>'raw data'!A799</f>
        <v>2012-12</v>
      </c>
      <c r="B151" s="32">
        <f>'raw data'!U799</f>
        <v>1102707.3</v>
      </c>
      <c r="C151" s="20">
        <f>'raw data'!V799</f>
        <v>607156.69999999995</v>
      </c>
      <c r="D151" s="20">
        <f t="shared" si="20"/>
        <v>12516410</v>
      </c>
      <c r="E151" s="18">
        <f>'raw data'!AH799</f>
        <v>13123566.699999999</v>
      </c>
      <c r="F151" s="20">
        <f>'raw data'!AO799</f>
        <v>11607218.4</v>
      </c>
      <c r="G151" s="20">
        <f>'raw data'!AS799</f>
        <v>18502428</v>
      </c>
      <c r="H151" s="20">
        <f t="shared" si="21"/>
        <v>1516348.2999999989</v>
      </c>
      <c r="I151" s="20">
        <f t="shared" si="22"/>
        <v>-5378861.3000000007</v>
      </c>
      <c r="J151" s="22">
        <f t="shared" si="23"/>
        <v>4.6264610366936303</v>
      </c>
      <c r="K151" s="22">
        <f t="shared" si="24"/>
        <v>20.614793512119689</v>
      </c>
      <c r="L151" s="22">
        <f t="shared" si="25"/>
        <v>21.614793512119689</v>
      </c>
      <c r="M151" s="22">
        <f t="shared" si="26"/>
        <v>19.117335607101101</v>
      </c>
      <c r="N151" s="30">
        <f t="shared" si="27"/>
        <v>1.1306383879190212</v>
      </c>
      <c r="O151" s="22">
        <f t="shared" si="28"/>
        <v>8.6547178507734728</v>
      </c>
      <c r="P151" s="14">
        <f t="shared" si="29"/>
        <v>-2.439841068220145</v>
      </c>
    </row>
    <row r="152" spans="1:16" x14ac:dyDescent="0.5">
      <c r="A152" s="23" t="str">
        <f>'raw data'!A800</f>
        <v>2013-01</v>
      </c>
      <c r="B152" s="32">
        <f>'raw data'!U800</f>
        <v>1103889.1000000001</v>
      </c>
      <c r="C152" s="20">
        <f>'raw data'!V800</f>
        <v>607406</v>
      </c>
      <c r="D152" s="20">
        <f t="shared" si="20"/>
        <v>12599817.300000001</v>
      </c>
      <c r="E152" s="18">
        <f>'raw data'!AH800</f>
        <v>13207223.300000001</v>
      </c>
      <c r="F152" s="20">
        <f>'raw data'!AO800</f>
        <v>11699385.800000001</v>
      </c>
      <c r="G152" s="20">
        <f>'raw data'!AS800</f>
        <v>18510019.199999999</v>
      </c>
      <c r="H152" s="20">
        <f t="shared" si="21"/>
        <v>1507837.5</v>
      </c>
      <c r="I152" s="20">
        <f t="shared" si="22"/>
        <v>-5302795.8999999985</v>
      </c>
      <c r="J152" s="22">
        <f t="shared" si="23"/>
        <v>4.5990439186410965</v>
      </c>
      <c r="K152" s="22">
        <f t="shared" si="24"/>
        <v>20.743649716993247</v>
      </c>
      <c r="L152" s="22">
        <f t="shared" si="25"/>
        <v>21.743649716993247</v>
      </c>
      <c r="M152" s="22">
        <f t="shared" si="26"/>
        <v>19.261228568700343</v>
      </c>
      <c r="N152" s="30">
        <f t="shared" si="27"/>
        <v>1.1288817657419246</v>
      </c>
      <c r="O152" s="22">
        <f t="shared" si="28"/>
        <v>8.7590494996974151</v>
      </c>
      <c r="P152" s="14">
        <f t="shared" si="29"/>
        <v>-2.4906150545978969</v>
      </c>
    </row>
    <row r="153" spans="1:16" x14ac:dyDescent="0.5">
      <c r="A153" s="23" t="str">
        <f>'raw data'!A801</f>
        <v>2013-02</v>
      </c>
      <c r="B153" s="32">
        <f>'raw data'!U801</f>
        <v>1108683.3999999999</v>
      </c>
      <c r="C153" s="20">
        <f>'raw data'!V801</f>
        <v>608895.69999999995</v>
      </c>
      <c r="D153" s="20">
        <f t="shared" si="20"/>
        <v>12643468.200000001</v>
      </c>
      <c r="E153" s="18">
        <f>'raw data'!AH801</f>
        <v>13252363.9</v>
      </c>
      <c r="F153" s="20">
        <f>'raw data'!AO801</f>
        <v>11726266.6</v>
      </c>
      <c r="G153" s="20">
        <f>'raw data'!AS801</f>
        <v>18527011.800000001</v>
      </c>
      <c r="H153" s="20">
        <f t="shared" si="21"/>
        <v>1526097.3000000007</v>
      </c>
      <c r="I153" s="20">
        <f t="shared" si="22"/>
        <v>-5274647.9000000004</v>
      </c>
      <c r="J153" s="22">
        <f t="shared" si="23"/>
        <v>4.5946195304824062</v>
      </c>
      <c r="K153" s="22">
        <f t="shared" si="24"/>
        <v>20.764587761089466</v>
      </c>
      <c r="L153" s="22">
        <f t="shared" si="25"/>
        <v>21.764587761089462</v>
      </c>
      <c r="M153" s="22">
        <f t="shared" si="26"/>
        <v>19.258251618462737</v>
      </c>
      <c r="N153" s="30">
        <f t="shared" si="27"/>
        <v>1.1301434934116201</v>
      </c>
      <c r="O153" s="22">
        <f t="shared" si="28"/>
        <v>8.683826319593118</v>
      </c>
      <c r="P153" s="14">
        <f t="shared" si="29"/>
        <v>-2.5124641779406733</v>
      </c>
    </row>
    <row r="154" spans="1:16" x14ac:dyDescent="0.5">
      <c r="A154" s="23" t="str">
        <f>'raw data'!A802</f>
        <v>2013-03</v>
      </c>
      <c r="B154" s="32">
        <f>'raw data'!U802</f>
        <v>1112744.2</v>
      </c>
      <c r="C154" s="20">
        <f>'raw data'!V802</f>
        <v>611177.6</v>
      </c>
      <c r="D154" s="20">
        <f t="shared" si="20"/>
        <v>12709411.700000001</v>
      </c>
      <c r="E154" s="18">
        <f>'raw data'!AH802</f>
        <v>13320589.300000001</v>
      </c>
      <c r="F154" s="20">
        <f>'raw data'!AO802</f>
        <v>11821452</v>
      </c>
      <c r="G154" s="20">
        <f>'raw data'!AS802</f>
        <v>18658969.199999999</v>
      </c>
      <c r="H154" s="20">
        <f t="shared" si="21"/>
        <v>1499137.3000000007</v>
      </c>
      <c r="I154" s="20">
        <f t="shared" si="22"/>
        <v>-5338379.8999999985</v>
      </c>
      <c r="J154" s="22">
        <f t="shared" si="23"/>
        <v>4.5882174296898404</v>
      </c>
      <c r="K154" s="22">
        <f t="shared" si="24"/>
        <v>20.794956654170573</v>
      </c>
      <c r="L154" s="22">
        <f t="shared" si="25"/>
        <v>21.794956654170573</v>
      </c>
      <c r="M154" s="22">
        <f t="shared" si="26"/>
        <v>19.342089762452026</v>
      </c>
      <c r="N154" s="30">
        <f t="shared" si="27"/>
        <v>1.1268149885479382</v>
      </c>
      <c r="O154" s="22">
        <f t="shared" si="28"/>
        <v>8.8855032157494804</v>
      </c>
      <c r="P154" s="14">
        <f t="shared" si="29"/>
        <v>-2.4952494107809757</v>
      </c>
    </row>
    <row r="155" spans="1:16" x14ac:dyDescent="0.5">
      <c r="A155" s="23" t="str">
        <f>'raw data'!A803</f>
        <v>2013-04</v>
      </c>
      <c r="B155" s="32">
        <f>'raw data'!U803</f>
        <v>1116299.6000000001</v>
      </c>
      <c r="C155" s="20">
        <f>'raw data'!V803</f>
        <v>611867.1</v>
      </c>
      <c r="D155" s="20">
        <f t="shared" si="20"/>
        <v>12772589.700000001</v>
      </c>
      <c r="E155" s="18">
        <f>'raw data'!AH803</f>
        <v>13384456.800000001</v>
      </c>
      <c r="F155" s="20">
        <f>'raw data'!AO803</f>
        <v>11874234.6</v>
      </c>
      <c r="G155" s="20">
        <f>'raw data'!AS803</f>
        <v>18730759.199999999</v>
      </c>
      <c r="H155" s="20">
        <f t="shared" si="21"/>
        <v>1510222.2000000011</v>
      </c>
      <c r="I155" s="20">
        <f t="shared" si="22"/>
        <v>-5346302.3999999985</v>
      </c>
      <c r="J155" s="22">
        <f t="shared" si="23"/>
        <v>4.5714750261661719</v>
      </c>
      <c r="K155" s="22">
        <f t="shared" si="24"/>
        <v>20.874777709080945</v>
      </c>
      <c r="L155" s="22">
        <f t="shared" si="25"/>
        <v>21.874777709080945</v>
      </c>
      <c r="M155" s="22">
        <f t="shared" si="26"/>
        <v>19.40655838498262</v>
      </c>
      <c r="N155" s="30">
        <f t="shared" si="27"/>
        <v>1.1271848039788603</v>
      </c>
      <c r="O155" s="22">
        <f t="shared" si="28"/>
        <v>8.8625745271126259</v>
      </c>
      <c r="P155" s="14">
        <f t="shared" si="29"/>
        <v>-2.5034978941707458</v>
      </c>
    </row>
    <row r="156" spans="1:16" x14ac:dyDescent="0.5">
      <c r="A156" s="23" t="str">
        <f>'raw data'!A804</f>
        <v>2013-05</v>
      </c>
      <c r="B156" s="32">
        <f>'raw data'!U804</f>
        <v>1120915.5</v>
      </c>
      <c r="C156" s="20">
        <f>'raw data'!V804</f>
        <v>613426.4</v>
      </c>
      <c r="D156" s="20">
        <f t="shared" si="20"/>
        <v>12856596.799999999</v>
      </c>
      <c r="E156" s="18">
        <f>'raw data'!AH804</f>
        <v>13470023.199999999</v>
      </c>
      <c r="F156" s="20">
        <f>'raw data'!AO804</f>
        <v>11969333.699999999</v>
      </c>
      <c r="G156" s="20">
        <f>'raw data'!AS804</f>
        <v>18778473.399999999</v>
      </c>
      <c r="H156" s="20">
        <f t="shared" si="21"/>
        <v>1500689.5</v>
      </c>
      <c r="I156" s="20">
        <f t="shared" si="22"/>
        <v>-5308450.1999999993</v>
      </c>
      <c r="J156" s="22">
        <f t="shared" si="23"/>
        <v>4.5540114585697227</v>
      </c>
      <c r="K156" s="22">
        <f t="shared" si="24"/>
        <v>20.958662359494145</v>
      </c>
      <c r="L156" s="22">
        <f t="shared" si="25"/>
        <v>21.958662359494145</v>
      </c>
      <c r="M156" s="22">
        <f t="shared" si="26"/>
        <v>19.512257216187628</v>
      </c>
      <c r="N156" s="30">
        <f t="shared" si="27"/>
        <v>1.1253778646007673</v>
      </c>
      <c r="O156" s="22">
        <f t="shared" si="28"/>
        <v>8.9758895494371078</v>
      </c>
      <c r="P156" s="14">
        <f t="shared" si="29"/>
        <v>-2.53746812958705</v>
      </c>
    </row>
    <row r="157" spans="1:16" x14ac:dyDescent="0.5">
      <c r="A157" s="23" t="str">
        <f>'raw data'!A805</f>
        <v>2013-06</v>
      </c>
      <c r="B157" s="32">
        <f>'raw data'!U805</f>
        <v>1125393.8</v>
      </c>
      <c r="C157" s="20">
        <f>'raw data'!V805</f>
        <v>614791.19999999995</v>
      </c>
      <c r="D157" s="20">
        <f t="shared" si="20"/>
        <v>12921233.100000001</v>
      </c>
      <c r="E157" s="18">
        <f>'raw data'!AH805</f>
        <v>13536024.300000001</v>
      </c>
      <c r="F157" s="20">
        <f>'raw data'!AO805</f>
        <v>12038415.300000001</v>
      </c>
      <c r="G157" s="20">
        <f>'raw data'!AS805</f>
        <v>18858050.600000001</v>
      </c>
      <c r="H157" s="20">
        <f t="shared" si="21"/>
        <v>1497609</v>
      </c>
      <c r="I157" s="20">
        <f t="shared" si="22"/>
        <v>-5322026.3000000007</v>
      </c>
      <c r="J157" s="22">
        <f t="shared" si="23"/>
        <v>4.5418890094634357</v>
      </c>
      <c r="K157" s="22">
        <f t="shared" si="24"/>
        <v>21.017270741676203</v>
      </c>
      <c r="L157" s="22">
        <f t="shared" si="25"/>
        <v>22.017270741676199</v>
      </c>
      <c r="M157" s="22">
        <f t="shared" si="26"/>
        <v>19.581307116952882</v>
      </c>
      <c r="N157" s="30">
        <f t="shared" si="27"/>
        <v>1.124402503376005</v>
      </c>
      <c r="O157" s="22">
        <f t="shared" si="28"/>
        <v>9.0384234469744786</v>
      </c>
      <c r="P157" s="14">
        <f t="shared" si="29"/>
        <v>-2.5433967321807485</v>
      </c>
    </row>
    <row r="158" spans="1:16" x14ac:dyDescent="0.5">
      <c r="A158" s="23" t="str">
        <f>'raw data'!A806</f>
        <v>2013-07</v>
      </c>
      <c r="B158" s="32">
        <f>'raw data'!U806</f>
        <v>1124464.3999999999</v>
      </c>
      <c r="C158" s="20">
        <f>'raw data'!V806</f>
        <v>611852.19999999995</v>
      </c>
      <c r="D158" s="20">
        <f t="shared" si="20"/>
        <v>12965135.5</v>
      </c>
      <c r="E158" s="18">
        <f>'raw data'!AH806</f>
        <v>13576987.699999999</v>
      </c>
      <c r="F158" s="20">
        <f>'raw data'!AO806</f>
        <v>12090779.800000001</v>
      </c>
      <c r="G158" s="20">
        <f>'raw data'!AS806</f>
        <v>18979667.199999999</v>
      </c>
      <c r="H158" s="20">
        <f t="shared" si="21"/>
        <v>1486207.8999999985</v>
      </c>
      <c r="I158" s="20">
        <f t="shared" si="22"/>
        <v>-5402679.5</v>
      </c>
      <c r="J158" s="22">
        <f t="shared" si="23"/>
        <v>4.5065386632117228</v>
      </c>
      <c r="K158" s="22">
        <f t="shared" si="24"/>
        <v>21.189979377372509</v>
      </c>
      <c r="L158" s="22">
        <f t="shared" si="25"/>
        <v>22.189979377372509</v>
      </c>
      <c r="M158" s="22">
        <f t="shared" si="26"/>
        <v>19.760948477426414</v>
      </c>
      <c r="N158" s="30">
        <f t="shared" si="27"/>
        <v>1.1229207647963284</v>
      </c>
      <c r="O158" s="22">
        <f t="shared" si="28"/>
        <v>9.1353219828800611</v>
      </c>
      <c r="P158" s="14">
        <f t="shared" si="29"/>
        <v>-2.5130100166037979</v>
      </c>
    </row>
    <row r="159" spans="1:16" x14ac:dyDescent="0.5">
      <c r="A159" s="23" t="str">
        <f>'raw data'!A807</f>
        <v>2013-08</v>
      </c>
      <c r="B159" s="32">
        <f>'raw data'!U807</f>
        <v>1127304.1000000001</v>
      </c>
      <c r="C159" s="20">
        <f>'raw data'!V807</f>
        <v>611452.69999999995</v>
      </c>
      <c r="D159" s="20">
        <f t="shared" si="20"/>
        <v>13039042.9</v>
      </c>
      <c r="E159" s="18">
        <f>'raw data'!AH807</f>
        <v>13650495.6</v>
      </c>
      <c r="F159" s="20">
        <f>'raw data'!AO807</f>
        <v>12167425.300000001</v>
      </c>
      <c r="G159" s="20">
        <f>'raw data'!AS807</f>
        <v>19067751.699999999</v>
      </c>
      <c r="H159" s="20">
        <f t="shared" si="21"/>
        <v>1483070.2999999989</v>
      </c>
      <c r="I159" s="20">
        <f t="shared" si="22"/>
        <v>-5417256.0999999996</v>
      </c>
      <c r="J159" s="22">
        <f t="shared" si="23"/>
        <v>4.4793443250514651</v>
      </c>
      <c r="K159" s="22">
        <f t="shared" si="24"/>
        <v>21.324695924966889</v>
      </c>
      <c r="L159" s="22">
        <f t="shared" si="25"/>
        <v>22.324695924966889</v>
      </c>
      <c r="M159" s="22">
        <f t="shared" si="26"/>
        <v>19.899209374658092</v>
      </c>
      <c r="N159" s="30">
        <f t="shared" si="27"/>
        <v>1.1218885888701531</v>
      </c>
      <c r="O159" s="22">
        <f t="shared" si="28"/>
        <v>9.2042134482768692</v>
      </c>
      <c r="P159" s="14">
        <f t="shared" si="29"/>
        <v>-2.5198172927434612</v>
      </c>
    </row>
    <row r="160" spans="1:16" x14ac:dyDescent="0.5">
      <c r="A160" s="23" t="str">
        <f>'raw data'!A808</f>
        <v>2013-09</v>
      </c>
      <c r="B160" s="32">
        <f>'raw data'!U808</f>
        <v>1129958.8999999999</v>
      </c>
      <c r="C160" s="20">
        <f>'raw data'!V808</f>
        <v>611774.6</v>
      </c>
      <c r="D160" s="20">
        <f t="shared" si="20"/>
        <v>13169554.200000001</v>
      </c>
      <c r="E160" s="18">
        <f>'raw data'!AH808</f>
        <v>13781328.800000001</v>
      </c>
      <c r="F160" s="20">
        <f>'raw data'!AO808</f>
        <v>12283970.4</v>
      </c>
      <c r="G160" s="20">
        <f>'raw data'!AS808</f>
        <v>19197515.600000001</v>
      </c>
      <c r="H160" s="20">
        <f t="shared" si="21"/>
        <v>1497358.4000000004</v>
      </c>
      <c r="I160" s="20">
        <f t="shared" si="22"/>
        <v>-5416186.8000000007</v>
      </c>
      <c r="J160" s="22">
        <f t="shared" si="23"/>
        <v>4.439155388267058</v>
      </c>
      <c r="K160" s="22">
        <f t="shared" si="24"/>
        <v>21.526807749128523</v>
      </c>
      <c r="L160" s="22">
        <f t="shared" si="25"/>
        <v>22.526807749128523</v>
      </c>
      <c r="M160" s="22">
        <f t="shared" si="26"/>
        <v>20.079242256870423</v>
      </c>
      <c r="N160" s="30">
        <f t="shared" si="27"/>
        <v>1.1218953116331183</v>
      </c>
      <c r="O160" s="22">
        <f t="shared" si="28"/>
        <v>9.2037609699855416</v>
      </c>
      <c r="P160" s="14">
        <f t="shared" si="29"/>
        <v>-2.5444707335426466</v>
      </c>
    </row>
    <row r="161" spans="1:16" x14ac:dyDescent="0.5">
      <c r="A161" s="23" t="str">
        <f>'raw data'!A809</f>
        <v>2013-10</v>
      </c>
      <c r="B161" s="32">
        <f>'raw data'!U809</f>
        <v>1135163.5</v>
      </c>
      <c r="C161" s="20">
        <f>'raw data'!V809</f>
        <v>614029</v>
      </c>
      <c r="D161" s="20">
        <f t="shared" si="20"/>
        <v>13275220.699999999</v>
      </c>
      <c r="E161" s="18">
        <f>'raw data'!AH809</f>
        <v>13889249.699999999</v>
      </c>
      <c r="F161" s="20">
        <f>'raw data'!AO809</f>
        <v>12370148.300000001</v>
      </c>
      <c r="G161" s="20">
        <f>'raw data'!AS809</f>
        <v>19374984.600000001</v>
      </c>
      <c r="H161" s="20">
        <f t="shared" si="21"/>
        <v>1519101.3999999985</v>
      </c>
      <c r="I161" s="20">
        <f t="shared" si="22"/>
        <v>-5485734.9000000022</v>
      </c>
      <c r="J161" s="22">
        <f t="shared" si="23"/>
        <v>4.4208939522485506</v>
      </c>
      <c r="K161" s="22">
        <f t="shared" si="24"/>
        <v>21.61985948546404</v>
      </c>
      <c r="L161" s="22">
        <f t="shared" si="25"/>
        <v>22.61985948546404</v>
      </c>
      <c r="M161" s="22">
        <f t="shared" si="26"/>
        <v>20.145869820480794</v>
      </c>
      <c r="N161" s="30">
        <f t="shared" si="27"/>
        <v>1.1228038147287207</v>
      </c>
      <c r="O161" s="22">
        <f t="shared" si="28"/>
        <v>9.1430695146486034</v>
      </c>
      <c r="P161" s="14">
        <f t="shared" si="29"/>
        <v>-2.5318849622135393</v>
      </c>
    </row>
    <row r="162" spans="1:16" x14ac:dyDescent="0.5">
      <c r="A162" s="23" t="str">
        <f>'raw data'!A810</f>
        <v>2013-11</v>
      </c>
      <c r="B162" s="32">
        <f>'raw data'!U810</f>
        <v>1130894.8999999999</v>
      </c>
      <c r="C162" s="20">
        <f>'raw data'!V810</f>
        <v>606042.6</v>
      </c>
      <c r="D162" s="20">
        <f t="shared" si="20"/>
        <v>13353928.6</v>
      </c>
      <c r="E162" s="18">
        <f>'raw data'!AH810</f>
        <v>13959971.199999999</v>
      </c>
      <c r="F162" s="20">
        <f>'raw data'!AO810</f>
        <v>12448111.4</v>
      </c>
      <c r="G162" s="20">
        <f>'raw data'!AS810</f>
        <v>19446387.899999999</v>
      </c>
      <c r="H162" s="20">
        <f t="shared" si="21"/>
        <v>1511859.7999999989</v>
      </c>
      <c r="I162" s="20">
        <f t="shared" si="22"/>
        <v>-5486416.6999999993</v>
      </c>
      <c r="J162" s="22">
        <f t="shared" si="23"/>
        <v>4.3412883258670334</v>
      </c>
      <c r="K162" s="22">
        <f t="shared" si="24"/>
        <v>22.034636839060489</v>
      </c>
      <c r="L162" s="22">
        <f t="shared" si="25"/>
        <v>23.034636839060489</v>
      </c>
      <c r="M162" s="22">
        <f t="shared" si="26"/>
        <v>20.539994053223321</v>
      </c>
      <c r="N162" s="30">
        <f t="shared" si="27"/>
        <v>1.1214529458661495</v>
      </c>
      <c r="O162" s="22">
        <f t="shared" si="28"/>
        <v>9.2336413733601557</v>
      </c>
      <c r="P162" s="14">
        <f t="shared" si="29"/>
        <v>-2.5444606130628031</v>
      </c>
    </row>
    <row r="163" spans="1:16" x14ac:dyDescent="0.5">
      <c r="A163" s="23" t="str">
        <f>'raw data'!A811</f>
        <v>2013-12</v>
      </c>
      <c r="B163" s="32">
        <f>'raw data'!U811</f>
        <v>1128151.3999999999</v>
      </c>
      <c r="C163" s="20">
        <f>'raw data'!V811</f>
        <v>600226.69999999995</v>
      </c>
      <c r="D163" s="20">
        <f t="shared" si="20"/>
        <v>13464249.100000001</v>
      </c>
      <c r="E163" s="18">
        <f>'raw data'!AH811</f>
        <v>14064475.800000001</v>
      </c>
      <c r="F163" s="20">
        <f>'raw data'!AO811</f>
        <v>12509551.5</v>
      </c>
      <c r="G163" s="20">
        <f>'raw data'!AS811</f>
        <v>19606393.399999999</v>
      </c>
      <c r="H163" s="20">
        <f t="shared" si="21"/>
        <v>1554924.3000000007</v>
      </c>
      <c r="I163" s="20">
        <f t="shared" si="22"/>
        <v>-5541917.5999999978</v>
      </c>
      <c r="J163" s="22">
        <f t="shared" si="23"/>
        <v>4.2676791409460133</v>
      </c>
      <c r="K163" s="22">
        <f t="shared" si="24"/>
        <v>22.431939632142328</v>
      </c>
      <c r="L163" s="22">
        <f t="shared" si="25"/>
        <v>23.431939632142324</v>
      </c>
      <c r="M163" s="22">
        <f t="shared" si="26"/>
        <v>20.841377932704429</v>
      </c>
      <c r="N163" s="30">
        <f t="shared" si="27"/>
        <v>1.1242989646751125</v>
      </c>
      <c r="O163" s="22">
        <f t="shared" si="28"/>
        <v>9.0451193025924113</v>
      </c>
      <c r="P163" s="14">
        <f t="shared" si="29"/>
        <v>-2.5378356040515664</v>
      </c>
    </row>
    <row r="164" spans="1:16" x14ac:dyDescent="0.5">
      <c r="A164" s="23" t="str">
        <f>'raw data'!A812</f>
        <v>2014-01</v>
      </c>
      <c r="B164" s="32">
        <f>'raw data'!U812</f>
        <v>1130296.7</v>
      </c>
      <c r="C164" s="20">
        <f>'raw data'!V812</f>
        <v>600510.6</v>
      </c>
      <c r="D164" s="20">
        <f t="shared" si="20"/>
        <v>13528907.5</v>
      </c>
      <c r="E164" s="18">
        <f>'raw data'!AH812</f>
        <v>14129418.1</v>
      </c>
      <c r="F164" s="20">
        <f>'raw data'!AO812</f>
        <v>12579428.9</v>
      </c>
      <c r="G164" s="20">
        <f>'raw data'!AS812</f>
        <v>19732252.600000001</v>
      </c>
      <c r="H164" s="20">
        <f t="shared" si="21"/>
        <v>1549989.1999999993</v>
      </c>
      <c r="I164" s="20">
        <f t="shared" si="22"/>
        <v>-5602834.5000000019</v>
      </c>
      <c r="J164" s="22">
        <f t="shared" si="23"/>
        <v>4.250073115183703</v>
      </c>
      <c r="K164" s="22">
        <f t="shared" si="24"/>
        <v>22.529006981725221</v>
      </c>
      <c r="L164" s="22">
        <f t="shared" si="25"/>
        <v>23.529006981725217</v>
      </c>
      <c r="M164" s="22">
        <f t="shared" si="26"/>
        <v>20.947888180491738</v>
      </c>
      <c r="N164" s="30">
        <f t="shared" si="27"/>
        <v>1.1232161819365265</v>
      </c>
      <c r="O164" s="22">
        <f t="shared" si="28"/>
        <v>9.115817129564519</v>
      </c>
      <c r="P164" s="14">
        <f t="shared" si="29"/>
        <v>-2.521833921740861</v>
      </c>
    </row>
    <row r="165" spans="1:16" x14ac:dyDescent="0.5">
      <c r="A165" s="23" t="str">
        <f>'raw data'!A813</f>
        <v>2014-02</v>
      </c>
      <c r="B165" s="32">
        <f>'raw data'!U813</f>
        <v>1136148.6000000001</v>
      </c>
      <c r="C165" s="20">
        <f>'raw data'!V813</f>
        <v>602799.6</v>
      </c>
      <c r="D165" s="20">
        <f t="shared" si="20"/>
        <v>13624189.800000001</v>
      </c>
      <c r="E165" s="18">
        <f>'raw data'!AH813</f>
        <v>14226989.4</v>
      </c>
      <c r="F165" s="20">
        <f>'raw data'!AO813</f>
        <v>12655066.4</v>
      </c>
      <c r="G165" s="20">
        <f>'raw data'!AS813</f>
        <v>19858433.5</v>
      </c>
      <c r="H165" s="20">
        <f t="shared" si="21"/>
        <v>1571923</v>
      </c>
      <c r="I165" s="20">
        <f t="shared" si="22"/>
        <v>-5631444.0999999996</v>
      </c>
      <c r="J165" s="22">
        <f t="shared" si="23"/>
        <v>4.2370144733502082</v>
      </c>
      <c r="K165" s="22">
        <f t="shared" si="24"/>
        <v>22.601524287673715</v>
      </c>
      <c r="L165" s="22">
        <f t="shared" si="25"/>
        <v>23.601524287673715</v>
      </c>
      <c r="M165" s="22">
        <f t="shared" si="26"/>
        <v>20.993820168427451</v>
      </c>
      <c r="N165" s="30">
        <f t="shared" si="27"/>
        <v>1.1242129397282341</v>
      </c>
      <c r="O165" s="22">
        <f t="shared" si="28"/>
        <v>9.0506910325760241</v>
      </c>
      <c r="P165" s="14">
        <f t="shared" si="29"/>
        <v>-2.5263483304397893</v>
      </c>
    </row>
    <row r="166" spans="1:16" x14ac:dyDescent="0.5">
      <c r="A166" s="23" t="str">
        <f>'raw data'!A814</f>
        <v>2014-03</v>
      </c>
      <c r="B166" s="32">
        <f>'raw data'!U814</f>
        <v>1139961.8</v>
      </c>
      <c r="C166" s="20">
        <f>'raw data'!V814</f>
        <v>603325</v>
      </c>
      <c r="D166" s="20">
        <f t="shared" si="20"/>
        <v>13739702.699999999</v>
      </c>
      <c r="E166" s="18">
        <f>'raw data'!AH814</f>
        <v>14343027.699999999</v>
      </c>
      <c r="F166" s="20">
        <f>'raw data'!AO814</f>
        <v>12800973.199999999</v>
      </c>
      <c r="G166" s="20">
        <f>'raw data'!AS814</f>
        <v>19993007.399999999</v>
      </c>
      <c r="H166" s="20">
        <f t="shared" si="21"/>
        <v>1542054.5</v>
      </c>
      <c r="I166" s="20">
        <f t="shared" si="22"/>
        <v>-5649979.6999999993</v>
      </c>
      <c r="J166" s="22">
        <f t="shared" si="23"/>
        <v>4.206399183067882</v>
      </c>
      <c r="K166" s="22">
        <f t="shared" si="24"/>
        <v>22.773302448928852</v>
      </c>
      <c r="L166" s="22">
        <f t="shared" si="25"/>
        <v>23.773302448928852</v>
      </c>
      <c r="M166" s="22">
        <f t="shared" si="26"/>
        <v>21.217375709609247</v>
      </c>
      <c r="N166" s="30">
        <f t="shared" si="27"/>
        <v>1.1204638487954963</v>
      </c>
      <c r="O166" s="22">
        <f t="shared" si="28"/>
        <v>9.301245643393278</v>
      </c>
      <c r="P166" s="14">
        <f t="shared" si="29"/>
        <v>-2.5385980944320918</v>
      </c>
    </row>
    <row r="167" spans="1:16" x14ac:dyDescent="0.5">
      <c r="A167" s="23" t="str">
        <f>'raw data'!A815</f>
        <v>2014-04</v>
      </c>
      <c r="B167" s="32">
        <f>'raw data'!U815</f>
        <v>1147292.8999999999</v>
      </c>
      <c r="C167" s="20">
        <f>'raw data'!V815</f>
        <v>606322.19999999995</v>
      </c>
      <c r="D167" s="20">
        <f t="shared" si="20"/>
        <v>13813900.800000001</v>
      </c>
      <c r="E167" s="18">
        <f>'raw data'!AH815</f>
        <v>14420223</v>
      </c>
      <c r="F167" s="20">
        <f>'raw data'!AO815</f>
        <v>12872433.4</v>
      </c>
      <c r="G167" s="20">
        <f>'raw data'!AS815</f>
        <v>20174620.899999999</v>
      </c>
      <c r="H167" s="20">
        <f t="shared" si="21"/>
        <v>1547789.5999999996</v>
      </c>
      <c r="I167" s="20">
        <f t="shared" si="22"/>
        <v>-5754397.8999999985</v>
      </c>
      <c r="J167" s="22">
        <f t="shared" si="23"/>
        <v>4.2046659056520834</v>
      </c>
      <c r="K167" s="22">
        <f t="shared" si="24"/>
        <v>22.783102449489729</v>
      </c>
      <c r="L167" s="22">
        <f t="shared" si="25"/>
        <v>23.783102449489729</v>
      </c>
      <c r="M167" s="22">
        <f t="shared" si="26"/>
        <v>21.230351453402172</v>
      </c>
      <c r="N167" s="30">
        <f t="shared" si="27"/>
        <v>1.1202406376404324</v>
      </c>
      <c r="O167" s="22">
        <f t="shared" si="28"/>
        <v>9.3166558297070896</v>
      </c>
      <c r="P167" s="14">
        <f t="shared" si="29"/>
        <v>-2.5059481896446547</v>
      </c>
    </row>
    <row r="168" spans="1:16" x14ac:dyDescent="0.5">
      <c r="A168" s="23" t="str">
        <f>'raw data'!A816</f>
        <v>2014-05</v>
      </c>
      <c r="B168" s="32">
        <f>'raw data'!U816</f>
        <v>1154801.3999999999</v>
      </c>
      <c r="C168" s="20">
        <f>'raw data'!V816</f>
        <v>609941.4</v>
      </c>
      <c r="D168" s="20">
        <f t="shared" si="20"/>
        <v>13912606.5</v>
      </c>
      <c r="E168" s="18">
        <f>'raw data'!AH816</f>
        <v>14522547.9</v>
      </c>
      <c r="F168" s="20">
        <f>'raw data'!AO816</f>
        <v>12960557.1</v>
      </c>
      <c r="G168" s="20">
        <f>'raw data'!AS816</f>
        <v>20282825.800000001</v>
      </c>
      <c r="H168" s="20">
        <f t="shared" si="21"/>
        <v>1561990.8000000007</v>
      </c>
      <c r="I168" s="20">
        <f t="shared" si="22"/>
        <v>-5760277.9000000004</v>
      </c>
      <c r="J168" s="22">
        <f t="shared" si="23"/>
        <v>4.1999613580203787</v>
      </c>
      <c r="K168" s="22">
        <f t="shared" si="24"/>
        <v>22.809742870380664</v>
      </c>
      <c r="L168" s="22">
        <f t="shared" si="25"/>
        <v>23.809742870380664</v>
      </c>
      <c r="M168" s="22">
        <f t="shared" si="26"/>
        <v>21.248856201595757</v>
      </c>
      <c r="N168" s="30">
        <f t="shared" si="27"/>
        <v>1.1205188008469174</v>
      </c>
      <c r="O168" s="22">
        <f t="shared" si="28"/>
        <v>9.2974605868357187</v>
      </c>
      <c r="P168" s="14">
        <f t="shared" si="29"/>
        <v>-2.5211540401549026</v>
      </c>
    </row>
    <row r="169" spans="1:16" x14ac:dyDescent="0.5">
      <c r="A169" s="23" t="str">
        <f>'raw data'!A817</f>
        <v>2014-06</v>
      </c>
      <c r="B169" s="32">
        <f>'raw data'!U817</f>
        <v>1160398.3999999999</v>
      </c>
      <c r="C169" s="20">
        <f>'raw data'!V817</f>
        <v>611119.6</v>
      </c>
      <c r="D169" s="20">
        <f t="shared" si="20"/>
        <v>14063686.700000001</v>
      </c>
      <c r="E169" s="18">
        <f>'raw data'!AH817</f>
        <v>14674806.300000001</v>
      </c>
      <c r="F169" s="20">
        <f>'raw data'!AO817</f>
        <v>13098680.1</v>
      </c>
      <c r="G169" s="20">
        <f>'raw data'!AS817</f>
        <v>20337346.799999997</v>
      </c>
      <c r="H169" s="20">
        <f t="shared" si="21"/>
        <v>1576126.2000000011</v>
      </c>
      <c r="I169" s="20">
        <f t="shared" si="22"/>
        <v>-5662540.4999999963</v>
      </c>
      <c r="J169" s="22">
        <f t="shared" si="23"/>
        <v>4.1644134001278088</v>
      </c>
      <c r="K169" s="22">
        <f t="shared" si="24"/>
        <v>23.01298583779673</v>
      </c>
      <c r="L169" s="22">
        <f t="shared" si="25"/>
        <v>24.012985837796727</v>
      </c>
      <c r="M169" s="22">
        <f t="shared" si="26"/>
        <v>21.433906063559409</v>
      </c>
      <c r="N169" s="30">
        <f t="shared" si="27"/>
        <v>1.1203271007435323</v>
      </c>
      <c r="O169" s="22">
        <f t="shared" si="28"/>
        <v>9.3106797539435551</v>
      </c>
      <c r="P169" s="14">
        <f t="shared" si="29"/>
        <v>-2.591558735871295</v>
      </c>
    </row>
    <row r="170" spans="1:16" x14ac:dyDescent="0.5">
      <c r="A170" s="23" t="str">
        <f>'raw data'!A818</f>
        <v>2014-07</v>
      </c>
      <c r="B170" s="32">
        <f>'raw data'!U818</f>
        <v>1166195.8999999999</v>
      </c>
      <c r="C170" s="20">
        <f>'raw data'!V818</f>
        <v>613148.30000000005</v>
      </c>
      <c r="D170" s="20">
        <f t="shared" si="20"/>
        <v>14166102.399999999</v>
      </c>
      <c r="E170" s="18">
        <f>'raw data'!AH818</f>
        <v>14779250.699999999</v>
      </c>
      <c r="F170" s="20">
        <f>'raw data'!AO818</f>
        <v>13195484.5</v>
      </c>
      <c r="G170" s="20">
        <f>'raw data'!AS818</f>
        <v>20441603.799999997</v>
      </c>
      <c r="H170" s="20">
        <f t="shared" si="21"/>
        <v>1583766.1999999993</v>
      </c>
      <c r="I170" s="20">
        <f t="shared" si="22"/>
        <v>-5662353.0999999978</v>
      </c>
      <c r="J170" s="22">
        <f t="shared" si="23"/>
        <v>4.1487103267014751</v>
      </c>
      <c r="K170" s="22">
        <f t="shared" si="24"/>
        <v>23.103876174817735</v>
      </c>
      <c r="L170" s="22">
        <f t="shared" si="25"/>
        <v>24.103876174817735</v>
      </c>
      <c r="M170" s="22">
        <f t="shared" si="26"/>
        <v>21.520869420986731</v>
      </c>
      <c r="N170" s="30">
        <f t="shared" si="27"/>
        <v>1.1200233458650191</v>
      </c>
      <c r="O170" s="22">
        <f t="shared" si="28"/>
        <v>9.3317124080561928</v>
      </c>
      <c r="P170" s="14">
        <f t="shared" si="29"/>
        <v>-2.6100899112067042</v>
      </c>
    </row>
    <row r="171" spans="1:16" x14ac:dyDescent="0.5">
      <c r="A171" s="23" t="str">
        <f>'raw data'!A819</f>
        <v>2014-08</v>
      </c>
      <c r="B171" s="32">
        <f>'raw data'!U819</f>
        <v>1170320.1000000001</v>
      </c>
      <c r="C171" s="20">
        <f>'raw data'!V819</f>
        <v>615207.30000000005</v>
      </c>
      <c r="D171" s="20">
        <f t="shared" si="20"/>
        <v>14200757.699999999</v>
      </c>
      <c r="E171" s="18">
        <f>'raw data'!AH819</f>
        <v>14815965</v>
      </c>
      <c r="F171" s="20">
        <f>'raw data'!AO819</f>
        <v>13230834.800000001</v>
      </c>
      <c r="G171" s="20">
        <f>'raw data'!AS819</f>
        <v>20454655</v>
      </c>
      <c r="H171" s="20">
        <f t="shared" si="21"/>
        <v>1585130.1999999993</v>
      </c>
      <c r="I171" s="20">
        <f t="shared" si="22"/>
        <v>-5638690</v>
      </c>
      <c r="J171" s="22">
        <f t="shared" si="23"/>
        <v>4.1523268987204007</v>
      </c>
      <c r="K171" s="22">
        <f t="shared" si="24"/>
        <v>23.082882306500586</v>
      </c>
      <c r="L171" s="22">
        <f t="shared" si="25"/>
        <v>24.082882306500586</v>
      </c>
      <c r="M171" s="22">
        <f t="shared" si="26"/>
        <v>21.506303322473578</v>
      </c>
      <c r="N171" s="30">
        <f t="shared" si="27"/>
        <v>1.1198057585905312</v>
      </c>
      <c r="O171" s="22">
        <f t="shared" si="28"/>
        <v>9.3468441898337478</v>
      </c>
      <c r="P171" s="14">
        <f t="shared" si="29"/>
        <v>-2.6275544497037431</v>
      </c>
    </row>
    <row r="172" spans="1:16" x14ac:dyDescent="0.5">
      <c r="A172" s="23" t="str">
        <f>'raw data'!A820</f>
        <v>2014-09</v>
      </c>
      <c r="B172" s="32">
        <f>'raw data'!U820</f>
        <v>1175001.8</v>
      </c>
      <c r="C172" s="20">
        <f>'raw data'!V820</f>
        <v>617487.5</v>
      </c>
      <c r="D172" s="20">
        <f t="shared" si="20"/>
        <v>14323790.9</v>
      </c>
      <c r="E172" s="18">
        <f>'raw data'!AH820</f>
        <v>14941278.4</v>
      </c>
      <c r="F172" s="20">
        <f>'raw data'!AO820</f>
        <v>13344919.9</v>
      </c>
      <c r="G172" s="20">
        <f>'raw data'!AS820</f>
        <v>20659874.399999999</v>
      </c>
      <c r="H172" s="20">
        <f t="shared" si="21"/>
        <v>1596358.5</v>
      </c>
      <c r="I172" s="20">
        <f t="shared" si="22"/>
        <v>-5718595.9999999981</v>
      </c>
      <c r="J172" s="22">
        <f t="shared" si="23"/>
        <v>4.1327621604320015</v>
      </c>
      <c r="K172" s="22">
        <f t="shared" si="24"/>
        <v>23.196892082835685</v>
      </c>
      <c r="L172" s="22">
        <f t="shared" si="25"/>
        <v>24.196892082835685</v>
      </c>
      <c r="M172" s="22">
        <f t="shared" si="26"/>
        <v>21.611643798457461</v>
      </c>
      <c r="N172" s="30">
        <f t="shared" si="27"/>
        <v>1.1196229360657308</v>
      </c>
      <c r="O172" s="22">
        <f t="shared" si="28"/>
        <v>9.3596008665973223</v>
      </c>
      <c r="P172" s="14">
        <f t="shared" si="29"/>
        <v>-2.6127529204720887</v>
      </c>
    </row>
    <row r="173" spans="1:16" x14ac:dyDescent="0.5">
      <c r="A173" s="23" t="str">
        <f>'raw data'!A821</f>
        <v>2014-10</v>
      </c>
      <c r="B173" s="32">
        <f>'raw data'!U821</f>
        <v>1177566.3999999999</v>
      </c>
      <c r="C173" s="20">
        <f>'raw data'!V821</f>
        <v>618765.19999999995</v>
      </c>
      <c r="D173" s="20">
        <f t="shared" si="20"/>
        <v>14378181.9</v>
      </c>
      <c r="E173" s="18">
        <f>'raw data'!AH821</f>
        <v>14996947.1</v>
      </c>
      <c r="F173" s="20">
        <f>'raw data'!AO821</f>
        <v>13381522.6</v>
      </c>
      <c r="G173" s="20">
        <f>'raw data'!AS821</f>
        <v>20583648.800000001</v>
      </c>
      <c r="H173" s="20">
        <f t="shared" si="21"/>
        <v>1615424.5</v>
      </c>
      <c r="I173" s="20">
        <f t="shared" si="22"/>
        <v>-5586701.7000000011</v>
      </c>
      <c r="J173" s="22">
        <f t="shared" si="23"/>
        <v>4.125941072366655</v>
      </c>
      <c r="K173" s="22">
        <f t="shared" si="24"/>
        <v>23.236894867390735</v>
      </c>
      <c r="L173" s="22">
        <f t="shared" si="25"/>
        <v>24.236894867390735</v>
      </c>
      <c r="M173" s="22">
        <f t="shared" si="26"/>
        <v>21.626171930806709</v>
      </c>
      <c r="N173" s="30">
        <f t="shared" si="27"/>
        <v>1.120720529964206</v>
      </c>
      <c r="O173" s="22">
        <f t="shared" si="28"/>
        <v>9.2835951788523694</v>
      </c>
      <c r="P173" s="14">
        <f t="shared" si="29"/>
        <v>-2.6844009050993356</v>
      </c>
    </row>
    <row r="174" spans="1:16" x14ac:dyDescent="0.5">
      <c r="A174" s="23" t="str">
        <f>'raw data'!A822</f>
        <v>2014-11</v>
      </c>
      <c r="B174" s="32">
        <f>'raw data'!U822</f>
        <v>1182551.6000000001</v>
      </c>
      <c r="C174" s="20">
        <f>'raw data'!V822</f>
        <v>621632.80000000005</v>
      </c>
      <c r="D174" s="20">
        <f t="shared" si="20"/>
        <v>14413594.1</v>
      </c>
      <c r="E174" s="18">
        <f>'raw data'!AH822</f>
        <v>15035226.9</v>
      </c>
      <c r="F174" s="20">
        <f>'raw data'!AO822</f>
        <v>13437479.300000001</v>
      </c>
      <c r="G174" s="20">
        <f>'raw data'!AS822</f>
        <v>20766320.200000003</v>
      </c>
      <c r="H174" s="20">
        <f t="shared" si="21"/>
        <v>1597747.5999999996</v>
      </c>
      <c r="I174" s="20">
        <f t="shared" si="22"/>
        <v>-5731093.3000000026</v>
      </c>
      <c r="J174" s="22">
        <f t="shared" si="23"/>
        <v>4.1345089378065856</v>
      </c>
      <c r="K174" s="22">
        <f t="shared" si="24"/>
        <v>23.186669204070309</v>
      </c>
      <c r="L174" s="22">
        <f t="shared" si="25"/>
        <v>24.186669204070313</v>
      </c>
      <c r="M174" s="22">
        <f t="shared" si="26"/>
        <v>21.616425806360283</v>
      </c>
      <c r="N174" s="30">
        <f t="shared" si="27"/>
        <v>1.1189023301416359</v>
      </c>
      <c r="O174" s="22">
        <f t="shared" si="28"/>
        <v>9.410264111803393</v>
      </c>
      <c r="P174" s="14">
        <f t="shared" si="29"/>
        <v>-2.6234482869088858</v>
      </c>
    </row>
    <row r="175" spans="1:16" x14ac:dyDescent="0.5">
      <c r="A175" s="23" t="str">
        <f>'raw data'!A823</f>
        <v>2014-12</v>
      </c>
      <c r="B175" s="32">
        <f>'raw data'!U823</f>
        <v>1186716</v>
      </c>
      <c r="C175" s="20">
        <f>'raw data'!V823</f>
        <v>623451.6</v>
      </c>
      <c r="D175" s="20">
        <f t="shared" si="20"/>
        <v>14441742.300000001</v>
      </c>
      <c r="E175" s="18">
        <f>'raw data'!AH823</f>
        <v>15065193.9</v>
      </c>
      <c r="F175" s="20">
        <f>'raw data'!AO823</f>
        <v>13419516.6</v>
      </c>
      <c r="G175" s="20">
        <f>'raw data'!AS823</f>
        <v>20939650.199999999</v>
      </c>
      <c r="H175" s="20">
        <f t="shared" si="21"/>
        <v>1645677.3000000007</v>
      </c>
      <c r="I175" s="20">
        <f t="shared" si="22"/>
        <v>-5874456.2999999989</v>
      </c>
      <c r="J175" s="22">
        <f t="shared" si="23"/>
        <v>4.1383576218026636</v>
      </c>
      <c r="K175" s="22">
        <f t="shared" si="24"/>
        <v>23.164175535037526</v>
      </c>
      <c r="L175" s="22">
        <f t="shared" si="25"/>
        <v>24.164175535037526</v>
      </c>
      <c r="M175" s="22">
        <f t="shared" si="26"/>
        <v>21.52455234696647</v>
      </c>
      <c r="N175" s="30">
        <f t="shared" si="27"/>
        <v>1.1226331282305655</v>
      </c>
      <c r="O175" s="22">
        <f t="shared" si="28"/>
        <v>9.1544034179726452</v>
      </c>
      <c r="P175" s="14">
        <f t="shared" si="29"/>
        <v>-2.5645256566126813</v>
      </c>
    </row>
    <row r="176" spans="1:16" x14ac:dyDescent="0.5">
      <c r="A176" s="23" t="str">
        <f>'raw data'!A824</f>
        <v>2015-01</v>
      </c>
      <c r="B176" s="32">
        <f>'raw data'!U824</f>
        <v>1187227</v>
      </c>
      <c r="C176" s="20">
        <f>'raw data'!V824</f>
        <v>625665.4</v>
      </c>
      <c r="D176" s="20">
        <f t="shared" si="20"/>
        <v>14589627.1</v>
      </c>
      <c r="E176" s="18">
        <f>'raw data'!AH824</f>
        <v>15215292.5</v>
      </c>
      <c r="F176" s="20">
        <f>'raw data'!AO824</f>
        <v>13570480.800000001</v>
      </c>
      <c r="G176" s="20">
        <f>'raw data'!AS824</f>
        <v>21041308.200000003</v>
      </c>
      <c r="H176" s="20">
        <f t="shared" si="21"/>
        <v>1644811.6999999993</v>
      </c>
      <c r="I176" s="20">
        <f t="shared" si="22"/>
        <v>-5826015.700000003</v>
      </c>
      <c r="J176" s="22">
        <f t="shared" si="23"/>
        <v>4.1120826300250224</v>
      </c>
      <c r="K176" s="22">
        <f t="shared" si="24"/>
        <v>23.318577469682676</v>
      </c>
      <c r="L176" s="22">
        <f t="shared" si="25"/>
        <v>24.318577469682676</v>
      </c>
      <c r="M176" s="22">
        <f t="shared" si="26"/>
        <v>21.689677581659463</v>
      </c>
      <c r="N176" s="30">
        <f t="shared" si="27"/>
        <v>1.1212051160339138</v>
      </c>
      <c r="O176" s="22">
        <f t="shared" si="28"/>
        <v>9.2504768174983241</v>
      </c>
      <c r="P176" s="14">
        <f t="shared" si="29"/>
        <v>-2.611611997544049</v>
      </c>
    </row>
    <row r="177" spans="1:16" x14ac:dyDescent="0.5">
      <c r="A177" s="23" t="str">
        <f>'raw data'!A825</f>
        <v>2015-02</v>
      </c>
      <c r="B177" s="32">
        <f>'raw data'!U825</f>
        <v>1190670</v>
      </c>
      <c r="C177" s="20">
        <f>'raw data'!V825</f>
        <v>626879.1</v>
      </c>
      <c r="D177" s="20">
        <f t="shared" si="20"/>
        <v>14603396.5</v>
      </c>
      <c r="E177" s="18">
        <f>'raw data'!AH825</f>
        <v>15230275.6</v>
      </c>
      <c r="F177" s="20">
        <f>'raw data'!AO825</f>
        <v>13564347.199999999</v>
      </c>
      <c r="G177" s="20">
        <f>'raw data'!AS825</f>
        <v>21247578</v>
      </c>
      <c r="H177" s="20">
        <f t="shared" si="21"/>
        <v>1665928.4000000004</v>
      </c>
      <c r="I177" s="20">
        <f t="shared" si="22"/>
        <v>-6017302.4000000004</v>
      </c>
      <c r="J177" s="22">
        <f t="shared" si="23"/>
        <v>4.1160062789671379</v>
      </c>
      <c r="K177" s="22">
        <f t="shared" si="24"/>
        <v>23.295395396018147</v>
      </c>
      <c r="L177" s="22">
        <f t="shared" si="25"/>
        <v>24.295395396018147</v>
      </c>
      <c r="M177" s="22">
        <f t="shared" si="26"/>
        <v>21.637899875749564</v>
      </c>
      <c r="N177" s="30">
        <f t="shared" si="27"/>
        <v>1.1228167028930076</v>
      </c>
      <c r="O177" s="22">
        <f t="shared" si="28"/>
        <v>9.1422149955544292</v>
      </c>
      <c r="P177" s="14">
        <f t="shared" si="29"/>
        <v>-2.5310803060188563</v>
      </c>
    </row>
    <row r="178" spans="1:16" x14ac:dyDescent="0.5">
      <c r="A178" s="23" t="str">
        <f>'raw data'!A826</f>
        <v>2015-03</v>
      </c>
      <c r="B178" s="32">
        <f>'raw data'!U826</f>
        <v>1192900.5</v>
      </c>
      <c r="C178" s="20">
        <f>'raw data'!V826</f>
        <v>627253.30000000005</v>
      </c>
      <c r="D178" s="20">
        <f t="shared" si="20"/>
        <v>14722125.899999999</v>
      </c>
      <c r="E178" s="18">
        <f>'raw data'!AH826</f>
        <v>15349379.199999999</v>
      </c>
      <c r="F178" s="20">
        <f>'raw data'!AO826</f>
        <v>13703044.800000001</v>
      </c>
      <c r="G178" s="20">
        <f>'raw data'!AS826</f>
        <v>21355759.800000001</v>
      </c>
      <c r="H178" s="20">
        <f t="shared" si="21"/>
        <v>1646334.3999999985</v>
      </c>
      <c r="I178" s="20">
        <f t="shared" si="22"/>
        <v>-6006380.6000000015</v>
      </c>
      <c r="J178" s="22">
        <f t="shared" si="23"/>
        <v>4.0865059871607059</v>
      </c>
      <c r="K178" s="22">
        <f t="shared" si="24"/>
        <v>23.470782696559741</v>
      </c>
      <c r="L178" s="22">
        <f t="shared" si="25"/>
        <v>24.470782696559745</v>
      </c>
      <c r="M178" s="22">
        <f t="shared" si="26"/>
        <v>21.846110335330241</v>
      </c>
      <c r="N178" s="30">
        <f t="shared" si="27"/>
        <v>1.1201436924441783</v>
      </c>
      <c r="O178" s="22">
        <f t="shared" si="28"/>
        <v>9.3233666258811176</v>
      </c>
      <c r="P178" s="14">
        <f t="shared" si="29"/>
        <v>-2.555512249756533</v>
      </c>
    </row>
    <row r="179" spans="1:16" x14ac:dyDescent="0.5">
      <c r="A179" s="23" t="str">
        <f>'raw data'!A827</f>
        <v>2015-04</v>
      </c>
      <c r="B179" s="32">
        <f>'raw data'!U827</f>
        <v>1202066.3999999999</v>
      </c>
      <c r="C179" s="20">
        <f>'raw data'!V827</f>
        <v>632028.69999999995</v>
      </c>
      <c r="D179" s="20">
        <f t="shared" si="20"/>
        <v>14754707.200000001</v>
      </c>
      <c r="E179" s="18">
        <f>'raw data'!AH827</f>
        <v>15386735.9</v>
      </c>
      <c r="F179" s="20">
        <f>'raw data'!AO827</f>
        <v>13729089.4</v>
      </c>
      <c r="G179" s="20">
        <f>'raw data'!AS827</f>
        <v>21353933.600000001</v>
      </c>
      <c r="H179" s="20">
        <f t="shared" si="21"/>
        <v>1657646.5</v>
      </c>
      <c r="I179" s="20">
        <f t="shared" si="22"/>
        <v>-5967197.7000000011</v>
      </c>
      <c r="J179" s="22">
        <f t="shared" si="23"/>
        <v>4.1076203823060347</v>
      </c>
      <c r="K179" s="22">
        <f t="shared" si="24"/>
        <v>23.344995567448127</v>
      </c>
      <c r="L179" s="22">
        <f t="shared" si="25"/>
        <v>24.344995567448127</v>
      </c>
      <c r="M179" s="22">
        <f t="shared" si="26"/>
        <v>21.722256283614971</v>
      </c>
      <c r="N179" s="30">
        <f t="shared" si="27"/>
        <v>1.1207397265546251</v>
      </c>
      <c r="O179" s="22">
        <f t="shared" si="28"/>
        <v>9.2822781576168385</v>
      </c>
      <c r="P179" s="14">
        <f t="shared" si="29"/>
        <v>-2.5785530618501205</v>
      </c>
    </row>
    <row r="180" spans="1:16" x14ac:dyDescent="0.5">
      <c r="A180" s="23" t="str">
        <f>'raw data'!A828</f>
        <v>2015-05</v>
      </c>
      <c r="B180" s="32">
        <f>'raw data'!U828</f>
        <v>1208463.2</v>
      </c>
      <c r="C180" s="20">
        <f>'raw data'!V828</f>
        <v>634533.80000000005</v>
      </c>
      <c r="D180" s="20">
        <f t="shared" si="20"/>
        <v>14718930.699999999</v>
      </c>
      <c r="E180" s="18">
        <f>'raw data'!AH828</f>
        <v>15353464.5</v>
      </c>
      <c r="F180" s="20">
        <f>'raw data'!AO828</f>
        <v>13686970.1</v>
      </c>
      <c r="G180" s="20">
        <f>'raw data'!AS828</f>
        <v>21411761.199999999</v>
      </c>
      <c r="H180" s="20">
        <f t="shared" si="21"/>
        <v>1666494.4000000004</v>
      </c>
      <c r="I180" s="20">
        <f t="shared" si="22"/>
        <v>-6058296.6999999993</v>
      </c>
      <c r="J180" s="22">
        <f t="shared" si="23"/>
        <v>4.1328379011785907</v>
      </c>
      <c r="K180" s="22">
        <f t="shared" si="24"/>
        <v>23.196448636778683</v>
      </c>
      <c r="L180" s="22">
        <f t="shared" si="25"/>
        <v>24.196448636778687</v>
      </c>
      <c r="M180" s="22">
        <f t="shared" si="26"/>
        <v>21.570119826556123</v>
      </c>
      <c r="N180" s="30">
        <f t="shared" si="27"/>
        <v>1.1217577292727483</v>
      </c>
      <c r="O180" s="22">
        <f t="shared" si="28"/>
        <v>9.2130309588799086</v>
      </c>
      <c r="P180" s="14">
        <f t="shared" si="29"/>
        <v>-2.5342873187442274</v>
      </c>
    </row>
    <row r="181" spans="1:16" x14ac:dyDescent="0.5">
      <c r="A181" s="23" t="str">
        <f>'raw data'!A829</f>
        <v>2015-06</v>
      </c>
      <c r="B181" s="32">
        <f>'raw data'!U829</f>
        <v>1214146.2</v>
      </c>
      <c r="C181" s="20">
        <f>'raw data'!V829</f>
        <v>637281.30000000005</v>
      </c>
      <c r="D181" s="20">
        <f t="shared" si="20"/>
        <v>14698187.399999999</v>
      </c>
      <c r="E181" s="18">
        <f>'raw data'!AH829</f>
        <v>15335468.699999999</v>
      </c>
      <c r="F181" s="20">
        <f>'raw data'!AO829</f>
        <v>13671574.699999999</v>
      </c>
      <c r="G181" s="20">
        <f>'raw data'!AS829</f>
        <v>21501260.600000001</v>
      </c>
      <c r="H181" s="20">
        <f t="shared" si="21"/>
        <v>1663894</v>
      </c>
      <c r="I181" s="20">
        <f t="shared" si="22"/>
        <v>-6165791.9000000022</v>
      </c>
      <c r="J181" s="22">
        <f t="shared" si="23"/>
        <v>4.1556036692898735</v>
      </c>
      <c r="K181" s="22">
        <f t="shared" si="24"/>
        <v>23.063892507123615</v>
      </c>
      <c r="L181" s="22">
        <f t="shared" si="25"/>
        <v>24.063892507123619</v>
      </c>
      <c r="M181" s="22">
        <f t="shared" si="26"/>
        <v>21.452967002169995</v>
      </c>
      <c r="N181" s="30">
        <f t="shared" si="27"/>
        <v>1.1217046343608099</v>
      </c>
      <c r="O181" s="22">
        <f t="shared" si="28"/>
        <v>9.2166139790154897</v>
      </c>
      <c r="P181" s="14">
        <f t="shared" si="29"/>
        <v>-2.4871855795198008</v>
      </c>
    </row>
    <row r="182" spans="1:16" x14ac:dyDescent="0.5">
      <c r="A182" s="23" t="str">
        <f>'raw data'!A830</f>
        <v>2015-07</v>
      </c>
      <c r="B182" s="32">
        <f>'raw data'!U830</f>
        <v>1221354.2</v>
      </c>
      <c r="C182" s="20">
        <f>'raw data'!V830</f>
        <v>641110.6</v>
      </c>
      <c r="D182" s="20">
        <f t="shared" si="20"/>
        <v>14730973.1</v>
      </c>
      <c r="E182" s="18">
        <f>'raw data'!AH830</f>
        <v>15372083.699999999</v>
      </c>
      <c r="F182" s="20">
        <f>'raw data'!AO830</f>
        <v>13695041.9</v>
      </c>
      <c r="G182" s="20">
        <f>'raw data'!AS830</f>
        <v>21567470.399999999</v>
      </c>
      <c r="H182" s="20">
        <f t="shared" si="21"/>
        <v>1677041.7999999989</v>
      </c>
      <c r="I182" s="20">
        <f t="shared" si="22"/>
        <v>-6195386.6999999993</v>
      </c>
      <c r="J182" s="22">
        <f t="shared" si="23"/>
        <v>4.1706161149773084</v>
      </c>
      <c r="K182" s="22">
        <f t="shared" si="24"/>
        <v>22.977272720182757</v>
      </c>
      <c r="L182" s="22">
        <f t="shared" si="25"/>
        <v>23.977272720182757</v>
      </c>
      <c r="M182" s="22">
        <f t="shared" si="26"/>
        <v>21.361434204956215</v>
      </c>
      <c r="N182" s="30">
        <f t="shared" si="27"/>
        <v>1.1224561277172871</v>
      </c>
      <c r="O182" s="22">
        <f t="shared" si="28"/>
        <v>9.1661899542396679</v>
      </c>
      <c r="P182" s="14">
        <f t="shared" si="29"/>
        <v>-2.4812145624420832</v>
      </c>
    </row>
    <row r="183" spans="1:16" x14ac:dyDescent="0.5">
      <c r="A183" s="23" t="str">
        <f>'raw data'!A831</f>
        <v>2015-08</v>
      </c>
      <c r="B183" s="32">
        <f>'raw data'!U831</f>
        <v>1228522</v>
      </c>
      <c r="C183" s="20">
        <f>'raw data'!V831</f>
        <v>645291.4</v>
      </c>
      <c r="D183" s="20">
        <f t="shared" si="20"/>
        <v>14781968.4</v>
      </c>
      <c r="E183" s="18">
        <f>'raw data'!AH831</f>
        <v>15427259.800000001</v>
      </c>
      <c r="F183" s="20">
        <f>'raw data'!AO831</f>
        <v>13748544.9</v>
      </c>
      <c r="G183" s="20">
        <f>'raw data'!AS831</f>
        <v>21676144.700000003</v>
      </c>
      <c r="H183" s="20">
        <f t="shared" si="21"/>
        <v>1678714.9000000004</v>
      </c>
      <c r="I183" s="20">
        <f t="shared" si="22"/>
        <v>-6248884.9000000022</v>
      </c>
      <c r="J183" s="22">
        <f t="shared" si="23"/>
        <v>4.1827998514681139</v>
      </c>
      <c r="K183" s="22">
        <f t="shared" si="24"/>
        <v>22.907431278334098</v>
      </c>
      <c r="L183" s="22">
        <f t="shared" si="25"/>
        <v>23.907431278334098</v>
      </c>
      <c r="M183" s="22">
        <f t="shared" si="26"/>
        <v>21.305947824502233</v>
      </c>
      <c r="N183" s="30">
        <f t="shared" si="27"/>
        <v>1.1221012777868589</v>
      </c>
      <c r="O183" s="22">
        <f t="shared" si="28"/>
        <v>9.1899224817745981</v>
      </c>
      <c r="P183" s="14">
        <f t="shared" si="29"/>
        <v>-2.4688020417850862</v>
      </c>
    </row>
    <row r="184" spans="1:16" x14ac:dyDescent="0.5">
      <c r="A184" s="23" t="str">
        <f>'raw data'!A832</f>
        <v>2015-09</v>
      </c>
      <c r="B184" s="32">
        <f>'raw data'!U832</f>
        <v>1236595.8999999999</v>
      </c>
      <c r="C184" s="20">
        <f>'raw data'!V832</f>
        <v>649362.5</v>
      </c>
      <c r="D184" s="20">
        <f t="shared" si="20"/>
        <v>14760760.800000001</v>
      </c>
      <c r="E184" s="18">
        <f>'raw data'!AH832</f>
        <v>15410123.300000001</v>
      </c>
      <c r="F184" s="20">
        <f>'raw data'!AO832</f>
        <v>13725749.6</v>
      </c>
      <c r="G184" s="20">
        <f>'raw data'!AS832</f>
        <v>21727930.699999999</v>
      </c>
      <c r="H184" s="20">
        <f t="shared" si="21"/>
        <v>1684373.7000000011</v>
      </c>
      <c r="I184" s="20">
        <f t="shared" si="22"/>
        <v>-6317807.3999999985</v>
      </c>
      <c r="J184" s="22">
        <f t="shared" si="23"/>
        <v>4.2138695931135084</v>
      </c>
      <c r="K184" s="22">
        <f t="shared" si="24"/>
        <v>22.731156788388613</v>
      </c>
      <c r="L184" s="22">
        <f t="shared" si="25"/>
        <v>23.731156788388613</v>
      </c>
      <c r="M184" s="22">
        <f t="shared" si="26"/>
        <v>21.137268628847522</v>
      </c>
      <c r="N184" s="30">
        <f t="shared" si="27"/>
        <v>1.1227163360170873</v>
      </c>
      <c r="O184" s="22">
        <f t="shared" si="28"/>
        <v>9.1488743264039272</v>
      </c>
      <c r="P184" s="14">
        <f t="shared" si="29"/>
        <v>-2.4391568663520835</v>
      </c>
    </row>
    <row r="185" spans="1:16" x14ac:dyDescent="0.5">
      <c r="A185" s="23" t="str">
        <f>'raw data'!A833</f>
        <v>2015-10</v>
      </c>
      <c r="B185" s="32">
        <f>'raw data'!U833</f>
        <v>1244809.5</v>
      </c>
      <c r="C185" s="20">
        <f>'raw data'!V833</f>
        <v>653260.6</v>
      </c>
      <c r="D185" s="20">
        <f t="shared" si="20"/>
        <v>14964029.5</v>
      </c>
      <c r="E185" s="18">
        <f>'raw data'!AH833</f>
        <v>15617290.1</v>
      </c>
      <c r="F185" s="20">
        <f>'raw data'!AO833</f>
        <v>13915124.4</v>
      </c>
      <c r="G185" s="20">
        <f>'raw data'!AS833</f>
        <v>21838149.799999997</v>
      </c>
      <c r="H185" s="20">
        <f t="shared" si="21"/>
        <v>1702165.6999999993</v>
      </c>
      <c r="I185" s="20">
        <f t="shared" si="22"/>
        <v>-6220859.6999999974</v>
      </c>
      <c r="J185" s="22">
        <f t="shared" si="23"/>
        <v>4.1829318391159296</v>
      </c>
      <c r="K185" s="22">
        <f t="shared" si="24"/>
        <v>22.906676906582152</v>
      </c>
      <c r="L185" s="22">
        <f t="shared" si="25"/>
        <v>23.906676906582152</v>
      </c>
      <c r="M185" s="22">
        <f t="shared" si="26"/>
        <v>21.301031165816521</v>
      </c>
      <c r="N185" s="30">
        <f t="shared" si="27"/>
        <v>1.1223248640163073</v>
      </c>
      <c r="O185" s="22">
        <f t="shared" si="28"/>
        <v>9.1749528850217139</v>
      </c>
      <c r="P185" s="14">
        <f t="shared" si="29"/>
        <v>-2.510471358162925</v>
      </c>
    </row>
    <row r="186" spans="1:16" x14ac:dyDescent="0.5">
      <c r="A186" s="23" t="str">
        <f>'raw data'!A834</f>
        <v>2015-11</v>
      </c>
      <c r="B186" s="32">
        <f>'raw data'!U834</f>
        <v>1251138.2</v>
      </c>
      <c r="C186" s="20">
        <f>'raw data'!V834</f>
        <v>656046.6</v>
      </c>
      <c r="D186" s="20">
        <f t="shared" si="20"/>
        <v>14930575.4</v>
      </c>
      <c r="E186" s="18">
        <f>'raw data'!AH834</f>
        <v>15586622</v>
      </c>
      <c r="F186" s="20">
        <f>'raw data'!AO834</f>
        <v>13898962.9</v>
      </c>
      <c r="G186" s="20">
        <f>'raw data'!AS834</f>
        <v>21915188.100000001</v>
      </c>
      <c r="H186" s="20">
        <f t="shared" si="21"/>
        <v>1687659.0999999996</v>
      </c>
      <c r="I186" s="20">
        <f t="shared" si="22"/>
        <v>-6328566.1000000015</v>
      </c>
      <c r="J186" s="22">
        <f t="shared" si="23"/>
        <v>4.2090364416356536</v>
      </c>
      <c r="K186" s="22">
        <f t="shared" si="24"/>
        <v>22.758406796102594</v>
      </c>
      <c r="L186" s="22">
        <f t="shared" si="25"/>
        <v>23.758406796102594</v>
      </c>
      <c r="M186" s="22">
        <f t="shared" si="26"/>
        <v>21.185938468395388</v>
      </c>
      <c r="N186" s="30">
        <f t="shared" si="27"/>
        <v>1.1214233833230822</v>
      </c>
      <c r="O186" s="22">
        <f t="shared" si="28"/>
        <v>9.2356459903543335</v>
      </c>
      <c r="P186" s="14">
        <f t="shared" si="29"/>
        <v>-2.4628994552178249</v>
      </c>
    </row>
    <row r="187" spans="1:16" x14ac:dyDescent="0.5">
      <c r="A187" s="23" t="str">
        <f>'raw data'!A835</f>
        <v>2015-12</v>
      </c>
      <c r="B187" s="32">
        <f>'raw data'!U835</f>
        <v>1258953.3999999999</v>
      </c>
      <c r="C187" s="20">
        <f>'raw data'!V835</f>
        <v>658906.19999999995</v>
      </c>
      <c r="D187" s="20">
        <f t="shared" si="20"/>
        <v>14918650.600000001</v>
      </c>
      <c r="E187" s="18">
        <f>'raw data'!AH835</f>
        <v>15577556.800000001</v>
      </c>
      <c r="F187" s="20">
        <f>'raw data'!AO835</f>
        <v>13850134.4</v>
      </c>
      <c r="G187" s="20">
        <f>'raw data'!AS835</f>
        <v>21849260.600000001</v>
      </c>
      <c r="H187" s="20">
        <f t="shared" si="21"/>
        <v>1727422.4000000004</v>
      </c>
      <c r="I187" s="20">
        <f t="shared" si="22"/>
        <v>-6271703.8000000007</v>
      </c>
      <c r="J187" s="22">
        <f t="shared" si="23"/>
        <v>4.2298430264751143</v>
      </c>
      <c r="K187" s="22">
        <f t="shared" si="24"/>
        <v>22.641539266135304</v>
      </c>
      <c r="L187" s="22">
        <f t="shared" si="25"/>
        <v>23.641539266135304</v>
      </c>
      <c r="M187" s="22">
        <f t="shared" si="26"/>
        <v>21.019887808006665</v>
      </c>
      <c r="N187" s="30">
        <f t="shared" si="27"/>
        <v>1.1247224286863238</v>
      </c>
      <c r="O187" s="22">
        <f t="shared" si="28"/>
        <v>9.0178040993332012</v>
      </c>
      <c r="P187" s="14">
        <f t="shared" si="29"/>
        <v>-2.4837838802272518</v>
      </c>
    </row>
    <row r="188" spans="1:16" x14ac:dyDescent="0.5">
      <c r="A188" s="23" t="str">
        <f>'raw data'!A836</f>
        <v>2016-01</v>
      </c>
      <c r="B188" s="32">
        <f>'raw data'!U836</f>
        <v>1268405.8</v>
      </c>
      <c r="C188" s="20">
        <f>'raw data'!V836</f>
        <v>663842.30000000005</v>
      </c>
      <c r="D188" s="20">
        <f t="shared" si="20"/>
        <v>14992761.699999999</v>
      </c>
      <c r="E188" s="18">
        <f>'raw data'!AH836</f>
        <v>15656604</v>
      </c>
      <c r="F188" s="20">
        <f>'raw data'!AO836</f>
        <v>13935222.199999999</v>
      </c>
      <c r="G188" s="20">
        <f>'raw data'!AS836</f>
        <v>21920901.399999999</v>
      </c>
      <c r="H188" s="20">
        <f t="shared" si="21"/>
        <v>1721381.8000000007</v>
      </c>
      <c r="I188" s="20">
        <f t="shared" si="22"/>
        <v>-6264297.3999999985</v>
      </c>
      <c r="J188" s="22">
        <f t="shared" si="23"/>
        <v>4.2400146289706253</v>
      </c>
      <c r="K188" s="22">
        <f t="shared" si="24"/>
        <v>22.584824287334506</v>
      </c>
      <c r="L188" s="22">
        <f t="shared" si="25"/>
        <v>23.584824287334506</v>
      </c>
      <c r="M188" s="22">
        <f t="shared" si="26"/>
        <v>20.991765966103696</v>
      </c>
      <c r="N188" s="30">
        <f t="shared" si="27"/>
        <v>1.1235274023832933</v>
      </c>
      <c r="O188" s="22">
        <f t="shared" si="28"/>
        <v>9.0953697779307259</v>
      </c>
      <c r="P188" s="14">
        <f t="shared" si="29"/>
        <v>-2.4993391916545984</v>
      </c>
    </row>
    <row r="189" spans="1:16" x14ac:dyDescent="0.5">
      <c r="A189" s="23" t="str">
        <f>'raw data'!A837</f>
        <v>2016-02</v>
      </c>
      <c r="B189" s="32">
        <f>'raw data'!U837</f>
        <v>1273532.7</v>
      </c>
      <c r="C189" s="20">
        <f>'raw data'!V837</f>
        <v>664930.9</v>
      </c>
      <c r="D189" s="20">
        <f t="shared" si="20"/>
        <v>15049458.6</v>
      </c>
      <c r="E189" s="18">
        <f>'raw data'!AH837</f>
        <v>15714389.5</v>
      </c>
      <c r="F189" s="20">
        <f>'raw data'!AO837</f>
        <v>13970348.6</v>
      </c>
      <c r="G189" s="20">
        <f>'raw data'!AS837</f>
        <v>22045350.5</v>
      </c>
      <c r="H189" s="20">
        <f t="shared" si="21"/>
        <v>1744040.9000000004</v>
      </c>
      <c r="I189" s="20">
        <f t="shared" si="22"/>
        <v>-6330961</v>
      </c>
      <c r="J189" s="22">
        <f t="shared" si="23"/>
        <v>4.2313505083986884</v>
      </c>
      <c r="K189" s="22">
        <f t="shared" si="24"/>
        <v>22.633116614072229</v>
      </c>
      <c r="L189" s="22">
        <f t="shared" si="25"/>
        <v>23.633116614072229</v>
      </c>
      <c r="M189" s="22">
        <f t="shared" si="26"/>
        <v>21.010226175381529</v>
      </c>
      <c r="N189" s="30">
        <f t="shared" si="27"/>
        <v>1.1248387531288948</v>
      </c>
      <c r="O189" s="22">
        <f t="shared" si="28"/>
        <v>9.0103331292287905</v>
      </c>
      <c r="P189" s="14">
        <f t="shared" si="29"/>
        <v>-2.4821491555547412</v>
      </c>
    </row>
    <row r="190" spans="1:16" x14ac:dyDescent="0.5">
      <c r="A190" s="23" t="str">
        <f>'raw data'!A838</f>
        <v>2016-03</v>
      </c>
      <c r="B190" s="32">
        <f>'raw data'!U838</f>
        <v>1284104.7</v>
      </c>
      <c r="C190" s="20">
        <f>'raw data'!V838</f>
        <v>671189.7</v>
      </c>
      <c r="D190" s="20">
        <f t="shared" si="20"/>
        <v>15060246.4</v>
      </c>
      <c r="E190" s="18">
        <f>'raw data'!AH838</f>
        <v>15731436.1</v>
      </c>
      <c r="F190" s="20">
        <f>'raw data'!AO838</f>
        <v>14007314.699999999</v>
      </c>
      <c r="G190" s="20">
        <f>'raw data'!AS838</f>
        <v>22181411.399999999</v>
      </c>
      <c r="H190" s="20">
        <f t="shared" si="21"/>
        <v>1724121.4000000004</v>
      </c>
      <c r="I190" s="20">
        <f t="shared" si="22"/>
        <v>-6449975.2999999989</v>
      </c>
      <c r="J190" s="22">
        <f t="shared" si="23"/>
        <v>4.2665507187865703</v>
      </c>
      <c r="K190" s="22">
        <f t="shared" si="24"/>
        <v>22.438136938037044</v>
      </c>
      <c r="L190" s="22">
        <f t="shared" si="25"/>
        <v>23.43813693803704</v>
      </c>
      <c r="M190" s="22">
        <f t="shared" si="26"/>
        <v>20.86938267974017</v>
      </c>
      <c r="N190" s="30">
        <f t="shared" si="27"/>
        <v>1.1230872181375351</v>
      </c>
      <c r="O190" s="22">
        <f t="shared" si="28"/>
        <v>9.1243204219842031</v>
      </c>
      <c r="P190" s="14">
        <f t="shared" si="29"/>
        <v>-2.4389916810999264</v>
      </c>
    </row>
    <row r="191" spans="1:16" x14ac:dyDescent="0.5">
      <c r="A191" s="23" t="str">
        <f>'raw data'!A839</f>
        <v>2016-04</v>
      </c>
      <c r="B191" s="32">
        <f>'raw data'!U839</f>
        <v>1291793.6000000001</v>
      </c>
      <c r="C191" s="20">
        <f>'raw data'!V839</f>
        <v>675028</v>
      </c>
      <c r="D191" s="20">
        <f t="shared" si="20"/>
        <v>15177783.699999999</v>
      </c>
      <c r="E191" s="18">
        <f>'raw data'!AH839</f>
        <v>15852811.699999999</v>
      </c>
      <c r="F191" s="20">
        <f>'raw data'!AO839</f>
        <v>14130097.1</v>
      </c>
      <c r="G191" s="20">
        <f>'raw data'!AS839</f>
        <v>22308990.899999999</v>
      </c>
      <c r="H191" s="20">
        <f t="shared" si="21"/>
        <v>1722714.5999999996</v>
      </c>
      <c r="I191" s="20">
        <f t="shared" si="22"/>
        <v>-6456179.1999999993</v>
      </c>
      <c r="J191" s="22">
        <f t="shared" si="23"/>
        <v>4.2580963728976862</v>
      </c>
      <c r="K191" s="22">
        <f t="shared" si="24"/>
        <v>22.484672783943775</v>
      </c>
      <c r="L191" s="22">
        <f t="shared" si="25"/>
        <v>23.484672783943775</v>
      </c>
      <c r="M191" s="22">
        <f t="shared" si="26"/>
        <v>20.932608869558003</v>
      </c>
      <c r="N191" s="30">
        <f t="shared" si="27"/>
        <v>1.1219181006194217</v>
      </c>
      <c r="O191" s="22">
        <f t="shared" si="28"/>
        <v>9.2022275192884546</v>
      </c>
      <c r="P191" s="14">
        <f t="shared" si="29"/>
        <v>-2.4554479064025982</v>
      </c>
    </row>
    <row r="192" spans="1:16" x14ac:dyDescent="0.5">
      <c r="A192" s="23" t="str">
        <f>'raw data'!A840</f>
        <v>2016-05</v>
      </c>
      <c r="B192" s="32">
        <f>'raw data'!U840</f>
        <v>1299394.5</v>
      </c>
      <c r="C192" s="20">
        <f>'raw data'!V840</f>
        <v>678397.8</v>
      </c>
      <c r="D192" s="20">
        <f t="shared" si="20"/>
        <v>15228148</v>
      </c>
      <c r="E192" s="18">
        <f>'raw data'!AH840</f>
        <v>15906545.800000001</v>
      </c>
      <c r="F192" s="20">
        <f>'raw data'!AO840</f>
        <v>14171031.4</v>
      </c>
      <c r="G192" s="20">
        <f>'raw data'!AS840</f>
        <v>22388972.100000001</v>
      </c>
      <c r="H192" s="20">
        <f t="shared" si="21"/>
        <v>1735514.4000000004</v>
      </c>
      <c r="I192" s="20">
        <f t="shared" si="22"/>
        <v>-6482426.3000000007</v>
      </c>
      <c r="J192" s="22">
        <f t="shared" si="23"/>
        <v>4.2648970337733534</v>
      </c>
      <c r="K192" s="22">
        <f t="shared" si="24"/>
        <v>22.447224917297785</v>
      </c>
      <c r="L192" s="22">
        <f t="shared" si="25"/>
        <v>23.447224917297785</v>
      </c>
      <c r="M192" s="22">
        <f t="shared" si="26"/>
        <v>20.888970158806529</v>
      </c>
      <c r="N192" s="30">
        <f t="shared" si="27"/>
        <v>1.1224691662174993</v>
      </c>
      <c r="O192" s="22">
        <f t="shared" si="28"/>
        <v>9.1653205527997912</v>
      </c>
      <c r="P192" s="14">
        <f t="shared" si="29"/>
        <v>-2.4537950859541588</v>
      </c>
    </row>
    <row r="193" spans="1:16" x14ac:dyDescent="0.5">
      <c r="A193" s="23" t="str">
        <f>'raw data'!A841</f>
        <v>2016-06</v>
      </c>
      <c r="B193" s="32">
        <f>'raw data'!U841</f>
        <v>1312688.8999999999</v>
      </c>
      <c r="C193" s="20">
        <f>'raw data'!V841</f>
        <v>687848.3</v>
      </c>
      <c r="D193" s="20">
        <f t="shared" si="20"/>
        <v>15273573.399999999</v>
      </c>
      <c r="E193" s="18">
        <f>'raw data'!AH841</f>
        <v>15961421.699999999</v>
      </c>
      <c r="F193" s="20">
        <f>'raw data'!AO841</f>
        <v>14222387.4</v>
      </c>
      <c r="G193" s="20">
        <f>'raw data'!AS841</f>
        <v>22537820.399999999</v>
      </c>
      <c r="H193" s="20">
        <f t="shared" si="21"/>
        <v>1739034.2999999989</v>
      </c>
      <c r="I193" s="20">
        <f t="shared" si="22"/>
        <v>-6576398.6999999993</v>
      </c>
      <c r="J193" s="22">
        <f t="shared" si="23"/>
        <v>4.3094425604957234</v>
      </c>
      <c r="K193" s="22">
        <f t="shared" si="24"/>
        <v>22.204857379163396</v>
      </c>
      <c r="L193" s="22">
        <f t="shared" si="25"/>
        <v>23.204857379163396</v>
      </c>
      <c r="M193" s="22">
        <f t="shared" si="26"/>
        <v>20.676633786839336</v>
      </c>
      <c r="N193" s="30">
        <f t="shared" si="27"/>
        <v>1.1222744291158879</v>
      </c>
      <c r="O193" s="22">
        <f t="shared" si="28"/>
        <v>9.1783248323509259</v>
      </c>
      <c r="P193" s="14">
        <f t="shared" si="29"/>
        <v>-2.4270763419498884</v>
      </c>
    </row>
    <row r="194" spans="1:16" x14ac:dyDescent="0.5">
      <c r="A194" s="23" t="str">
        <f>'raw data'!A842</f>
        <v>2016-07</v>
      </c>
      <c r="B194" s="32">
        <f>'raw data'!U842</f>
        <v>1325892.6000000001</v>
      </c>
      <c r="C194" s="20">
        <f>'raw data'!V842</f>
        <v>697186.4</v>
      </c>
      <c r="D194" s="20">
        <f t="shared" si="20"/>
        <v>15332708.199999999</v>
      </c>
      <c r="E194" s="18">
        <f>'raw data'!AH842</f>
        <v>16029894.6</v>
      </c>
      <c r="F194" s="20">
        <f>'raw data'!AO842</f>
        <v>14272838.1</v>
      </c>
      <c r="G194" s="20">
        <f>'raw data'!AS842</f>
        <v>22573314.399999999</v>
      </c>
      <c r="H194" s="20">
        <f t="shared" si="21"/>
        <v>1757056.5</v>
      </c>
      <c r="I194" s="20">
        <f t="shared" si="22"/>
        <v>-6543419.7999999989</v>
      </c>
      <c r="J194" s="22">
        <f t="shared" si="23"/>
        <v>4.3492887345622355</v>
      </c>
      <c r="K194" s="22">
        <f t="shared" si="24"/>
        <v>21.992265196222988</v>
      </c>
      <c r="L194" s="22">
        <f t="shared" si="25"/>
        <v>22.992265196222988</v>
      </c>
      <c r="M194" s="22">
        <f t="shared" si="26"/>
        <v>20.472054675765332</v>
      </c>
      <c r="N194" s="30">
        <f t="shared" si="27"/>
        <v>1.1231049135210187</v>
      </c>
      <c r="O194" s="22">
        <f t="shared" si="28"/>
        <v>9.1231526134760035</v>
      </c>
      <c r="P194" s="14">
        <f t="shared" si="29"/>
        <v>-2.4497732210303855</v>
      </c>
    </row>
    <row r="195" spans="1:16" x14ac:dyDescent="0.5">
      <c r="A195" s="23" t="str">
        <f>'raw data'!A843</f>
        <v>2016-08</v>
      </c>
      <c r="B195" s="32">
        <f>'raw data'!U843</f>
        <v>1333441.8999999999</v>
      </c>
      <c r="C195" s="20">
        <f>'raw data'!V843</f>
        <v>700233.5</v>
      </c>
      <c r="D195" s="20">
        <f t="shared" ref="D195:D258" si="30">E195-C195</f>
        <v>15349599.9</v>
      </c>
      <c r="E195" s="18">
        <f>'raw data'!AH843</f>
        <v>16049833.4</v>
      </c>
      <c r="F195" s="20">
        <f>'raw data'!AO843</f>
        <v>14300351.800000001</v>
      </c>
      <c r="G195" s="20">
        <f>'raw data'!AS843</f>
        <v>22738875.200000003</v>
      </c>
      <c r="H195" s="20">
        <f t="shared" ref="H195:H258" si="31">E195-F195</f>
        <v>1749481.5999999996</v>
      </c>
      <c r="I195" s="20">
        <f t="shared" ref="I195:I258" si="32">E195-G195</f>
        <v>-6689041.8000000026</v>
      </c>
      <c r="J195" s="22">
        <f t="shared" ref="J195:J258" si="33">C195/E195*100</f>
        <v>4.3628708320424057</v>
      </c>
      <c r="K195" s="22">
        <f t="shared" ref="K195:K258" si="34">D195/C195</f>
        <v>21.920687742017485</v>
      </c>
      <c r="L195" s="22">
        <f t="shared" ref="L195:L258" si="35">E195/C195</f>
        <v>22.920687742017485</v>
      </c>
      <c r="M195" s="22">
        <f t="shared" ref="M195:M258" si="36">F195/C195</f>
        <v>20.422261716984409</v>
      </c>
      <c r="N195" s="30">
        <f t="shared" ref="N195:N258" si="37">E195/F195</f>
        <v>1.1223383609345889</v>
      </c>
      <c r="O195" s="22">
        <f t="shared" ref="O195:O258" si="38">E195/H195</f>
        <v>9.1740509874467975</v>
      </c>
      <c r="P195" s="14">
        <f t="shared" ref="P195:P258" si="39">E195/I195</f>
        <v>-2.3994219022521275</v>
      </c>
    </row>
    <row r="196" spans="1:16" x14ac:dyDescent="0.5">
      <c r="A196" s="23" t="str">
        <f>'raw data'!A844</f>
        <v>2016-09</v>
      </c>
      <c r="B196" s="32">
        <f>'raw data'!U844</f>
        <v>1337581.3</v>
      </c>
      <c r="C196" s="20">
        <f>'raw data'!V844</f>
        <v>703096.4</v>
      </c>
      <c r="D196" s="20">
        <f t="shared" si="30"/>
        <v>15367387.4</v>
      </c>
      <c r="E196" s="18">
        <f>'raw data'!AH844</f>
        <v>16070483.800000001</v>
      </c>
      <c r="F196" s="20">
        <f>'raw data'!AO844</f>
        <v>14318439.699999999</v>
      </c>
      <c r="G196" s="20">
        <f>'raw data'!AS844</f>
        <v>22751321.799999997</v>
      </c>
      <c r="H196" s="20">
        <f t="shared" si="31"/>
        <v>1752044.1000000015</v>
      </c>
      <c r="I196" s="20">
        <f t="shared" si="32"/>
        <v>-6680837.9999999963</v>
      </c>
      <c r="J196" s="22">
        <f t="shared" si="33"/>
        <v>4.3750792368802234</v>
      </c>
      <c r="K196" s="22">
        <f t="shared" si="34"/>
        <v>21.856728892368103</v>
      </c>
      <c r="L196" s="22">
        <f t="shared" si="35"/>
        <v>22.856728892368103</v>
      </c>
      <c r="M196" s="22">
        <f t="shared" si="36"/>
        <v>20.364831479723119</v>
      </c>
      <c r="N196" s="30">
        <f t="shared" si="37"/>
        <v>1.1223627809111074</v>
      </c>
      <c r="O196" s="22">
        <f t="shared" si="38"/>
        <v>9.1724196896641974</v>
      </c>
      <c r="P196" s="14">
        <f t="shared" si="39"/>
        <v>-2.4054592851974572</v>
      </c>
    </row>
    <row r="197" spans="1:16" x14ac:dyDescent="0.5">
      <c r="A197" s="23" t="str">
        <f>'raw data'!A845</f>
        <v>2016-10</v>
      </c>
      <c r="B197" s="32">
        <f>'raw data'!U845</f>
        <v>1344193</v>
      </c>
      <c r="C197" s="20">
        <f>'raw data'!V845</f>
        <v>705674.4</v>
      </c>
      <c r="D197" s="20">
        <f t="shared" si="30"/>
        <v>15319772.6</v>
      </c>
      <c r="E197" s="18">
        <f>'raw data'!AH845</f>
        <v>16025447</v>
      </c>
      <c r="F197" s="20">
        <f>'raw data'!AO845</f>
        <v>14256750.300000001</v>
      </c>
      <c r="G197" s="20">
        <f>'raw data'!AS845</f>
        <v>22754187.700000003</v>
      </c>
      <c r="H197" s="20">
        <f t="shared" si="31"/>
        <v>1768696.6999999993</v>
      </c>
      <c r="I197" s="20">
        <f t="shared" si="32"/>
        <v>-6728740.700000003</v>
      </c>
      <c r="J197" s="22">
        <f t="shared" si="33"/>
        <v>4.4034615695899157</v>
      </c>
      <c r="K197" s="22">
        <f t="shared" si="34"/>
        <v>21.709406774569121</v>
      </c>
      <c r="L197" s="22">
        <f t="shared" si="35"/>
        <v>22.709406774569121</v>
      </c>
      <c r="M197" s="22">
        <f t="shared" si="36"/>
        <v>20.203014733140385</v>
      </c>
      <c r="N197" s="30">
        <f t="shared" si="37"/>
        <v>1.124060298650247</v>
      </c>
      <c r="O197" s="22">
        <f t="shared" si="38"/>
        <v>9.0605964267361419</v>
      </c>
      <c r="P197" s="14">
        <f t="shared" si="39"/>
        <v>-2.3816413374348029</v>
      </c>
    </row>
    <row r="198" spans="1:16" x14ac:dyDescent="0.5">
      <c r="A198" s="23" t="str">
        <f>'raw data'!A846</f>
        <v>2016-11</v>
      </c>
      <c r="B198" s="32">
        <f>'raw data'!U846</f>
        <v>1348930</v>
      </c>
      <c r="C198" s="20">
        <f>'raw data'!V846</f>
        <v>707366.9</v>
      </c>
      <c r="D198" s="20">
        <f t="shared" si="30"/>
        <v>15306585.799999999</v>
      </c>
      <c r="E198" s="18">
        <f>'raw data'!AH846</f>
        <v>16013952.699999999</v>
      </c>
      <c r="F198" s="20">
        <f>'raw data'!AO846</f>
        <v>14272303.1</v>
      </c>
      <c r="G198" s="20">
        <f>'raw data'!AS846</f>
        <v>22846852.299999997</v>
      </c>
      <c r="H198" s="20">
        <f t="shared" si="31"/>
        <v>1741649.5999999996</v>
      </c>
      <c r="I198" s="20">
        <f t="shared" si="32"/>
        <v>-6832899.5999999978</v>
      </c>
      <c r="J198" s="22">
        <f t="shared" si="33"/>
        <v>4.4171911410728724</v>
      </c>
      <c r="K198" s="22">
        <f t="shared" si="34"/>
        <v>21.638821098357866</v>
      </c>
      <c r="L198" s="22">
        <f t="shared" si="35"/>
        <v>22.638821098357866</v>
      </c>
      <c r="M198" s="22">
        <f t="shared" si="36"/>
        <v>20.176662351602822</v>
      </c>
      <c r="N198" s="30">
        <f t="shared" si="37"/>
        <v>1.1220300317192675</v>
      </c>
      <c r="O198" s="22">
        <f t="shared" si="38"/>
        <v>9.1947040897319425</v>
      </c>
      <c r="P198" s="14">
        <f t="shared" si="39"/>
        <v>-2.3436540323232622</v>
      </c>
    </row>
    <row r="199" spans="1:16" x14ac:dyDescent="0.5">
      <c r="A199" s="23" t="str">
        <f>'raw data'!A847</f>
        <v>2016-12</v>
      </c>
      <c r="B199" s="32">
        <f>'raw data'!U847</f>
        <v>1355561.3</v>
      </c>
      <c r="C199" s="20">
        <f>'raw data'!V847</f>
        <v>711573.6</v>
      </c>
      <c r="D199" s="20">
        <f t="shared" si="30"/>
        <v>15318625.5</v>
      </c>
      <c r="E199" s="18">
        <f>'raw data'!AH847</f>
        <v>16030199.1</v>
      </c>
      <c r="F199" s="20">
        <f>'raw data'!AO847</f>
        <v>14264170.800000001</v>
      </c>
      <c r="G199" s="20">
        <f>'raw data'!AS847</f>
        <v>22946924.800000001</v>
      </c>
      <c r="H199" s="20">
        <f t="shared" si="31"/>
        <v>1766028.2999999989</v>
      </c>
      <c r="I199" s="20">
        <f t="shared" si="32"/>
        <v>-6916725.7000000011</v>
      </c>
      <c r="J199" s="22">
        <f t="shared" si="33"/>
        <v>4.4389567188844206</v>
      </c>
      <c r="K199" s="22">
        <f t="shared" si="34"/>
        <v>21.527815956072569</v>
      </c>
      <c r="L199" s="22">
        <f t="shared" si="35"/>
        <v>22.527815956072569</v>
      </c>
      <c r="M199" s="22">
        <f t="shared" si="36"/>
        <v>20.045952800947084</v>
      </c>
      <c r="N199" s="30">
        <f t="shared" si="37"/>
        <v>1.1238086899520299</v>
      </c>
      <c r="O199" s="22">
        <f t="shared" si="38"/>
        <v>9.0769774753892722</v>
      </c>
      <c r="P199" s="14">
        <f t="shared" si="39"/>
        <v>-2.3175993664169736</v>
      </c>
    </row>
    <row r="200" spans="1:16" x14ac:dyDescent="0.5">
      <c r="A200" s="23" t="str">
        <f>'raw data'!A848</f>
        <v>2017-01</v>
      </c>
      <c r="B200" s="32">
        <f>'raw data'!U848</f>
        <v>1360314</v>
      </c>
      <c r="C200" s="20">
        <f>'raw data'!V848</f>
        <v>713383</v>
      </c>
      <c r="D200" s="20">
        <f t="shared" si="30"/>
        <v>15353940.5</v>
      </c>
      <c r="E200" s="18">
        <f>'raw data'!AH848</f>
        <v>16067323.5</v>
      </c>
      <c r="F200" s="20">
        <f>'raw data'!AO848</f>
        <v>14305063</v>
      </c>
      <c r="G200" s="20">
        <f>'raw data'!AS848</f>
        <v>23071271.5</v>
      </c>
      <c r="H200" s="20">
        <f t="shared" si="31"/>
        <v>1762260.5</v>
      </c>
      <c r="I200" s="20">
        <f t="shared" si="32"/>
        <v>-7003948</v>
      </c>
      <c r="J200" s="22">
        <f t="shared" si="33"/>
        <v>4.4399616401574287</v>
      </c>
      <c r="K200" s="22">
        <f t="shared" si="34"/>
        <v>21.52271710988347</v>
      </c>
      <c r="L200" s="22">
        <f t="shared" si="35"/>
        <v>22.52271710988347</v>
      </c>
      <c r="M200" s="22">
        <f t="shared" si="36"/>
        <v>20.052430461617391</v>
      </c>
      <c r="N200" s="30">
        <f t="shared" si="37"/>
        <v>1.1231913833584655</v>
      </c>
      <c r="O200" s="22">
        <f t="shared" si="38"/>
        <v>9.1174508536053551</v>
      </c>
      <c r="P200" s="14">
        <f t="shared" si="39"/>
        <v>-2.2940380910880549</v>
      </c>
    </row>
    <row r="201" spans="1:16" x14ac:dyDescent="0.5">
      <c r="A201" s="23" t="str">
        <f>'raw data'!A849</f>
        <v>2017-02</v>
      </c>
      <c r="B201" s="32">
        <f>'raw data'!U849</f>
        <v>1364031.3</v>
      </c>
      <c r="C201" s="20">
        <f>'raw data'!V849</f>
        <v>715821.6</v>
      </c>
      <c r="D201" s="20">
        <f t="shared" si="30"/>
        <v>15428044.9</v>
      </c>
      <c r="E201" s="18">
        <f>'raw data'!AH849</f>
        <v>16143866.5</v>
      </c>
      <c r="F201" s="20">
        <f>'raw data'!AO849</f>
        <v>14363569.4</v>
      </c>
      <c r="G201" s="20">
        <f>'raw data'!AS849</f>
        <v>23152648.399999999</v>
      </c>
      <c r="H201" s="20">
        <f t="shared" si="31"/>
        <v>1780297.0999999996</v>
      </c>
      <c r="I201" s="20">
        <f t="shared" si="32"/>
        <v>-7008781.8999999985</v>
      </c>
      <c r="J201" s="22">
        <f t="shared" si="33"/>
        <v>4.4340158536370451</v>
      </c>
      <c r="K201" s="22">
        <f t="shared" si="34"/>
        <v>21.552918911639438</v>
      </c>
      <c r="L201" s="22">
        <f t="shared" si="35"/>
        <v>22.552918911639438</v>
      </c>
      <c r="M201" s="22">
        <f t="shared" si="36"/>
        <v>20.065850765050957</v>
      </c>
      <c r="N201" s="30">
        <f t="shared" si="37"/>
        <v>1.1239453126463119</v>
      </c>
      <c r="O201" s="22">
        <f t="shared" si="38"/>
        <v>9.0680743680366636</v>
      </c>
      <c r="P201" s="14">
        <f t="shared" si="39"/>
        <v>-2.3033769248833385</v>
      </c>
    </row>
    <row r="202" spans="1:16" x14ac:dyDescent="0.5">
      <c r="A202" s="23" t="str">
        <f>'raw data'!A850</f>
        <v>2017-03</v>
      </c>
      <c r="B202" s="32">
        <f>'raw data'!U850</f>
        <v>1366723</v>
      </c>
      <c r="C202" s="20">
        <f>'raw data'!V850</f>
        <v>717262.8</v>
      </c>
      <c r="D202" s="20">
        <f t="shared" si="30"/>
        <v>15473420.5</v>
      </c>
      <c r="E202" s="18">
        <f>'raw data'!AH850</f>
        <v>16190683.300000001</v>
      </c>
      <c r="F202" s="20">
        <f>'raw data'!AO850</f>
        <v>14408409.9</v>
      </c>
      <c r="G202" s="20">
        <f>'raw data'!AS850</f>
        <v>23264681.600000001</v>
      </c>
      <c r="H202" s="20">
        <f t="shared" si="31"/>
        <v>1782273.4000000004</v>
      </c>
      <c r="I202" s="20">
        <f t="shared" si="32"/>
        <v>-7073998.3000000007</v>
      </c>
      <c r="J202" s="22">
        <f t="shared" si="33"/>
        <v>4.4300959181877149</v>
      </c>
      <c r="K202" s="22">
        <f t="shared" si="34"/>
        <v>21.572874684146452</v>
      </c>
      <c r="L202" s="22">
        <f t="shared" si="35"/>
        <v>22.572874684146452</v>
      </c>
      <c r="M202" s="22">
        <f t="shared" si="36"/>
        <v>20.088048480975175</v>
      </c>
      <c r="N202" s="30">
        <f t="shared" si="37"/>
        <v>1.1236967446352286</v>
      </c>
      <c r="O202" s="22">
        <f t="shared" si="38"/>
        <v>9.0842871245230938</v>
      </c>
      <c r="P202" s="14">
        <f t="shared" si="39"/>
        <v>-2.2887598516951861</v>
      </c>
    </row>
    <row r="203" spans="1:16" x14ac:dyDescent="0.5">
      <c r="A203" s="23" t="str">
        <f>'raw data'!A851</f>
        <v>2017-04</v>
      </c>
      <c r="B203" s="32">
        <f>'raw data'!U851</f>
        <v>1369558.7</v>
      </c>
      <c r="C203" s="20">
        <f>'raw data'!V851</f>
        <v>719718.1</v>
      </c>
      <c r="D203" s="20">
        <f t="shared" si="30"/>
        <v>15506207.700000001</v>
      </c>
      <c r="E203" s="18">
        <f>'raw data'!AH851</f>
        <v>16225925.800000001</v>
      </c>
      <c r="F203" s="20">
        <f>'raw data'!AO851</f>
        <v>14437839.199999999</v>
      </c>
      <c r="G203" s="20">
        <f>'raw data'!AS851</f>
        <v>23345926.899999999</v>
      </c>
      <c r="H203" s="20">
        <f t="shared" si="31"/>
        <v>1788086.6000000015</v>
      </c>
      <c r="I203" s="20">
        <f t="shared" si="32"/>
        <v>-7120001.0999999978</v>
      </c>
      <c r="J203" s="22">
        <f t="shared" si="33"/>
        <v>4.4356057637093347</v>
      </c>
      <c r="K203" s="22">
        <f t="shared" si="34"/>
        <v>21.544834984697484</v>
      </c>
      <c r="L203" s="22">
        <f t="shared" si="35"/>
        <v>22.544834984697484</v>
      </c>
      <c r="M203" s="22">
        <f t="shared" si="36"/>
        <v>20.060408651665146</v>
      </c>
      <c r="N203" s="30">
        <f t="shared" si="37"/>
        <v>1.1238472443992866</v>
      </c>
      <c r="O203" s="22">
        <f t="shared" si="38"/>
        <v>9.0744630601224721</v>
      </c>
      <c r="P203" s="14">
        <f t="shared" si="39"/>
        <v>-2.2789218108407323</v>
      </c>
    </row>
    <row r="204" spans="1:16" x14ac:dyDescent="0.5">
      <c r="A204" s="23" t="str">
        <f>'raw data'!A852</f>
        <v>2017-05</v>
      </c>
      <c r="B204" s="32">
        <f>'raw data'!U852</f>
        <v>1372422</v>
      </c>
      <c r="C204" s="20">
        <f>'raw data'!V852</f>
        <v>721141.4</v>
      </c>
      <c r="D204" s="20">
        <f t="shared" si="30"/>
        <v>15510554.199999999</v>
      </c>
      <c r="E204" s="18">
        <f>'raw data'!AH852</f>
        <v>16231695.6</v>
      </c>
      <c r="F204" s="20">
        <f>'raw data'!AO852</f>
        <v>14437054.9</v>
      </c>
      <c r="G204" s="20">
        <f>'raw data'!AS852</f>
        <v>23455123.5</v>
      </c>
      <c r="H204" s="20">
        <f t="shared" si="31"/>
        <v>1794640.6999999993</v>
      </c>
      <c r="I204" s="20">
        <f t="shared" si="32"/>
        <v>-7223427.9000000004</v>
      </c>
      <c r="J204" s="22">
        <f t="shared" si="33"/>
        <v>4.442797707468098</v>
      </c>
      <c r="K204" s="22">
        <f t="shared" si="34"/>
        <v>21.50833969593203</v>
      </c>
      <c r="L204" s="22">
        <f t="shared" si="35"/>
        <v>22.50833969593203</v>
      </c>
      <c r="M204" s="22">
        <f t="shared" si="36"/>
        <v>20.0197283084843</v>
      </c>
      <c r="N204" s="30">
        <f t="shared" si="37"/>
        <v>1.1243079500930622</v>
      </c>
      <c r="O204" s="22">
        <f t="shared" si="38"/>
        <v>9.0445377729369483</v>
      </c>
      <c r="P204" s="14">
        <f t="shared" si="39"/>
        <v>-2.2470904153414475</v>
      </c>
    </row>
    <row r="205" spans="1:16" x14ac:dyDescent="0.5">
      <c r="A205" s="23" t="str">
        <f>'raw data'!A853</f>
        <v>2017-06</v>
      </c>
      <c r="B205" s="32">
        <f>'raw data'!U853</f>
        <v>1373522.7</v>
      </c>
      <c r="C205" s="20">
        <f>'raw data'!V853</f>
        <v>724921.5</v>
      </c>
      <c r="D205" s="20">
        <f t="shared" si="30"/>
        <v>15518588.699999999</v>
      </c>
      <c r="E205" s="18">
        <f>'raw data'!AH853</f>
        <v>16243510.199999999</v>
      </c>
      <c r="F205" s="20">
        <f>'raw data'!AO853</f>
        <v>14445504.6</v>
      </c>
      <c r="G205" s="20">
        <f>'raw data'!AS853</f>
        <v>23464627.600000001</v>
      </c>
      <c r="H205" s="20">
        <f t="shared" si="31"/>
        <v>1798005.5999999996</v>
      </c>
      <c r="I205" s="20">
        <f t="shared" si="32"/>
        <v>-7221117.4000000022</v>
      </c>
      <c r="J205" s="22">
        <f t="shared" si="33"/>
        <v>4.4628377184138435</v>
      </c>
      <c r="K205" s="22">
        <f t="shared" si="34"/>
        <v>21.407267821412386</v>
      </c>
      <c r="L205" s="22">
        <f t="shared" si="35"/>
        <v>22.407267821412386</v>
      </c>
      <c r="M205" s="22">
        <f t="shared" si="36"/>
        <v>19.926991543222265</v>
      </c>
      <c r="N205" s="30">
        <f t="shared" si="37"/>
        <v>1.1244681753796264</v>
      </c>
      <c r="O205" s="22">
        <f t="shared" si="38"/>
        <v>9.0341822072189331</v>
      </c>
      <c r="P205" s="14">
        <f t="shared" si="39"/>
        <v>-2.2494455221016065</v>
      </c>
    </row>
    <row r="206" spans="1:16" x14ac:dyDescent="0.5">
      <c r="A206" s="23" t="str">
        <f>'raw data'!A854</f>
        <v>2017-07</v>
      </c>
      <c r="B206" s="32">
        <f>'raw data'!U854</f>
        <v>1379739.2</v>
      </c>
      <c r="C206" s="20">
        <f>'raw data'!V854</f>
        <v>728831.1</v>
      </c>
      <c r="D206" s="20">
        <f t="shared" si="30"/>
        <v>15627309.200000001</v>
      </c>
      <c r="E206" s="18">
        <f>'raw data'!AH854</f>
        <v>16356140.300000001</v>
      </c>
      <c r="F206" s="20">
        <f>'raw data'!AO854</f>
        <v>14536053.199999999</v>
      </c>
      <c r="G206" s="20">
        <f>'raw data'!AS854</f>
        <v>23577146.600000001</v>
      </c>
      <c r="H206" s="20">
        <f t="shared" si="31"/>
        <v>1820087.1000000015</v>
      </c>
      <c r="I206" s="20">
        <f t="shared" si="32"/>
        <v>-7221006.3000000007</v>
      </c>
      <c r="J206" s="22">
        <f t="shared" si="33"/>
        <v>4.4560090989192602</v>
      </c>
      <c r="K206" s="22">
        <f t="shared" si="34"/>
        <v>21.441605880978461</v>
      </c>
      <c r="L206" s="22">
        <f t="shared" si="35"/>
        <v>22.441605880978461</v>
      </c>
      <c r="M206" s="22">
        <f t="shared" si="36"/>
        <v>19.94433717222001</v>
      </c>
      <c r="N206" s="30">
        <f t="shared" si="37"/>
        <v>1.1252119179090512</v>
      </c>
      <c r="O206" s="22">
        <f t="shared" si="38"/>
        <v>8.9864602084152931</v>
      </c>
      <c r="P206" s="14">
        <f t="shared" si="39"/>
        <v>-2.2650776942266342</v>
      </c>
    </row>
    <row r="207" spans="1:16" x14ac:dyDescent="0.5">
      <c r="A207" s="23" t="str">
        <f>'raw data'!A855</f>
        <v>2017-08</v>
      </c>
      <c r="B207" s="32">
        <f>'raw data'!U855</f>
        <v>1384349.9</v>
      </c>
      <c r="C207" s="20">
        <f>'raw data'!V855</f>
        <v>730485.5</v>
      </c>
      <c r="D207" s="20">
        <f t="shared" si="30"/>
        <v>15737072.9</v>
      </c>
      <c r="E207" s="18">
        <f>'raw data'!AH855</f>
        <v>16467558.4</v>
      </c>
      <c r="F207" s="20">
        <f>'raw data'!AO855</f>
        <v>14644665</v>
      </c>
      <c r="G207" s="20">
        <f>'raw data'!AS855</f>
        <v>23669864.399999999</v>
      </c>
      <c r="H207" s="20">
        <f t="shared" si="31"/>
        <v>1822893.4000000004</v>
      </c>
      <c r="I207" s="20">
        <f t="shared" si="32"/>
        <v>-7202305.9999999981</v>
      </c>
      <c r="J207" s="22">
        <f t="shared" si="33"/>
        <v>4.4359065397332973</v>
      </c>
      <c r="K207" s="22">
        <f t="shared" si="34"/>
        <v>21.543306335307136</v>
      </c>
      <c r="L207" s="22">
        <f t="shared" si="35"/>
        <v>22.543306335307136</v>
      </c>
      <c r="M207" s="22">
        <f t="shared" si="36"/>
        <v>20.047851736961242</v>
      </c>
      <c r="N207" s="30">
        <f t="shared" si="37"/>
        <v>1.1244749128778295</v>
      </c>
      <c r="O207" s="22">
        <f t="shared" si="38"/>
        <v>9.0337473381603104</v>
      </c>
      <c r="P207" s="14">
        <f t="shared" si="39"/>
        <v>-2.2864285966189168</v>
      </c>
    </row>
    <row r="208" spans="1:16" x14ac:dyDescent="0.5">
      <c r="A208" s="23" t="str">
        <f>'raw data'!A856</f>
        <v>2017-09</v>
      </c>
      <c r="B208" s="32">
        <f>'raw data'!U856</f>
        <v>1392919.4</v>
      </c>
      <c r="C208" s="20">
        <f>'raw data'!V856</f>
        <v>736308.3</v>
      </c>
      <c r="D208" s="20">
        <f t="shared" si="30"/>
        <v>15789157.1</v>
      </c>
      <c r="E208" s="18">
        <f>'raw data'!AH856</f>
        <v>16525465.4</v>
      </c>
      <c r="F208" s="20">
        <f>'raw data'!AO856</f>
        <v>14709839.1</v>
      </c>
      <c r="G208" s="20">
        <f>'raw data'!AS856</f>
        <v>23785001.800000001</v>
      </c>
      <c r="H208" s="20">
        <f t="shared" si="31"/>
        <v>1815626.3000000007</v>
      </c>
      <c r="I208" s="20">
        <f t="shared" si="32"/>
        <v>-7259536.4000000004</v>
      </c>
      <c r="J208" s="22">
        <f t="shared" si="33"/>
        <v>4.4555979645813784</v>
      </c>
      <c r="K208" s="22">
        <f t="shared" si="34"/>
        <v>21.443676650120608</v>
      </c>
      <c r="L208" s="22">
        <f t="shared" si="35"/>
        <v>22.443676650120608</v>
      </c>
      <c r="M208" s="22">
        <f t="shared" si="36"/>
        <v>19.977826000331653</v>
      </c>
      <c r="N208" s="30">
        <f t="shared" si="37"/>
        <v>1.1234293786394987</v>
      </c>
      <c r="O208" s="22">
        <f t="shared" si="38"/>
        <v>9.1017988668703431</v>
      </c>
      <c r="P208" s="14">
        <f t="shared" si="39"/>
        <v>-2.2763802658252392</v>
      </c>
    </row>
    <row r="209" spans="1:16" x14ac:dyDescent="0.5">
      <c r="A209" s="23" t="str">
        <f>'raw data'!A857</f>
        <v>2017-10</v>
      </c>
      <c r="B209" s="32">
        <f>'raw data'!U857</f>
        <v>1408093.4</v>
      </c>
      <c r="C209" s="20">
        <f>'raw data'!V857</f>
        <v>748703.2</v>
      </c>
      <c r="D209" s="20">
        <f t="shared" si="30"/>
        <v>15849755.9</v>
      </c>
      <c r="E209" s="18">
        <f>'raw data'!AH857</f>
        <v>16598459.1</v>
      </c>
      <c r="F209" s="20">
        <f>'raw data'!AO857</f>
        <v>14770214.1</v>
      </c>
      <c r="G209" s="20">
        <f>'raw data'!AS857</f>
        <v>23922191.300000001</v>
      </c>
      <c r="H209" s="20">
        <f t="shared" si="31"/>
        <v>1828245</v>
      </c>
      <c r="I209" s="20">
        <f t="shared" si="32"/>
        <v>-7323732.2000000011</v>
      </c>
      <c r="J209" s="22">
        <f t="shared" si="33"/>
        <v>4.5106789460956653</v>
      </c>
      <c r="K209" s="22">
        <f t="shared" si="34"/>
        <v>21.169611536320403</v>
      </c>
      <c r="L209" s="22">
        <f t="shared" si="35"/>
        <v>22.169611536320403</v>
      </c>
      <c r="M209" s="22">
        <f t="shared" si="36"/>
        <v>19.727729359244091</v>
      </c>
      <c r="N209" s="30">
        <f t="shared" si="37"/>
        <v>1.1237791806958302</v>
      </c>
      <c r="O209" s="22">
        <f t="shared" si="38"/>
        <v>9.078903046364136</v>
      </c>
      <c r="P209" s="14">
        <f t="shared" si="39"/>
        <v>-2.2663935063054321</v>
      </c>
    </row>
    <row r="210" spans="1:16" x14ac:dyDescent="0.5">
      <c r="A210" s="23" t="str">
        <f>'raw data'!A858</f>
        <v>2017-11</v>
      </c>
      <c r="B210" s="32">
        <f>'raw data'!U858</f>
        <v>1420800.4</v>
      </c>
      <c r="C210" s="20">
        <f>'raw data'!V858</f>
        <v>759283.9</v>
      </c>
      <c r="D210" s="20">
        <f t="shared" si="30"/>
        <v>15913246.699999999</v>
      </c>
      <c r="E210" s="18">
        <f>'raw data'!AH858</f>
        <v>16672530.6</v>
      </c>
      <c r="F210" s="20">
        <f>'raw data'!AO858</f>
        <v>14851839.6</v>
      </c>
      <c r="G210" s="20">
        <f>'raw data'!AS858</f>
        <v>23932051.600000001</v>
      </c>
      <c r="H210" s="20">
        <f t="shared" si="31"/>
        <v>1820691</v>
      </c>
      <c r="I210" s="20">
        <f t="shared" si="32"/>
        <v>-7259521.0000000019</v>
      </c>
      <c r="J210" s="22">
        <f t="shared" si="33"/>
        <v>4.5541011032842249</v>
      </c>
      <c r="K210" s="22">
        <f t="shared" si="34"/>
        <v>20.958230116561143</v>
      </c>
      <c r="L210" s="22">
        <f t="shared" si="35"/>
        <v>21.958230116561143</v>
      </c>
      <c r="M210" s="22">
        <f t="shared" si="36"/>
        <v>19.560324669073054</v>
      </c>
      <c r="N210" s="30">
        <f t="shared" si="37"/>
        <v>1.1225902682116227</v>
      </c>
      <c r="O210" s="22">
        <f t="shared" si="38"/>
        <v>9.1572543611189374</v>
      </c>
      <c r="P210" s="14">
        <f t="shared" si="39"/>
        <v>-2.2966433460279259</v>
      </c>
    </row>
    <row r="211" spans="1:16" x14ac:dyDescent="0.5">
      <c r="A211" s="23" t="str">
        <f>'raw data'!A859</f>
        <v>2017-12</v>
      </c>
      <c r="B211" s="32">
        <f>'raw data'!U859</f>
        <v>1426807.8</v>
      </c>
      <c r="C211" s="20">
        <f>'raw data'!V859</f>
        <v>763193</v>
      </c>
      <c r="D211" s="20">
        <f t="shared" si="30"/>
        <v>15993163.4</v>
      </c>
      <c r="E211" s="18">
        <f>'raw data'!AH859</f>
        <v>16756356.4</v>
      </c>
      <c r="F211" s="20">
        <f>'raw data'!AO859</f>
        <v>14899768.300000001</v>
      </c>
      <c r="G211" s="20">
        <f>'raw data'!AS859</f>
        <v>23987068.100000001</v>
      </c>
      <c r="H211" s="20">
        <f t="shared" si="31"/>
        <v>1856588.0999999996</v>
      </c>
      <c r="I211" s="20">
        <f t="shared" si="32"/>
        <v>-7230711.7000000011</v>
      </c>
      <c r="J211" s="22">
        <f t="shared" si="33"/>
        <v>4.554647691785787</v>
      </c>
      <c r="K211" s="22">
        <f t="shared" si="34"/>
        <v>20.95559498056193</v>
      </c>
      <c r="L211" s="22">
        <f t="shared" si="35"/>
        <v>21.95559498056193</v>
      </c>
      <c r="M211" s="22">
        <f t="shared" si="36"/>
        <v>19.522936269069554</v>
      </c>
      <c r="N211" s="30">
        <f t="shared" si="37"/>
        <v>1.124605165840062</v>
      </c>
      <c r="O211" s="22">
        <f t="shared" si="38"/>
        <v>9.0253494568881507</v>
      </c>
      <c r="P211" s="14">
        <f t="shared" si="39"/>
        <v>-2.31738687631537</v>
      </c>
    </row>
    <row r="212" spans="1:16" x14ac:dyDescent="0.5">
      <c r="A212" s="23" t="str">
        <f>'raw data'!A860</f>
        <v>2018-01</v>
      </c>
      <c r="B212" s="32">
        <f>'raw data'!U860</f>
        <v>1432368</v>
      </c>
      <c r="C212" s="20">
        <f>'raw data'!V860</f>
        <v>767365.1</v>
      </c>
      <c r="D212" s="20">
        <f t="shared" si="30"/>
        <v>15957426.700000001</v>
      </c>
      <c r="E212" s="18">
        <f>'raw data'!AH860</f>
        <v>16724791.800000001</v>
      </c>
      <c r="F212" s="20">
        <f>'raw data'!AO860</f>
        <v>14910226.9</v>
      </c>
      <c r="G212" s="20">
        <f>'raw data'!AS860</f>
        <v>24031889.600000001</v>
      </c>
      <c r="H212" s="20">
        <f t="shared" si="31"/>
        <v>1814564.9000000004</v>
      </c>
      <c r="I212" s="20">
        <f t="shared" si="32"/>
        <v>-7307097.8000000007</v>
      </c>
      <c r="J212" s="22">
        <f t="shared" si="33"/>
        <v>4.5881892532736934</v>
      </c>
      <c r="K212" s="22">
        <f t="shared" si="34"/>
        <v>20.795090498642693</v>
      </c>
      <c r="L212" s="22">
        <f t="shared" si="35"/>
        <v>21.795090498642693</v>
      </c>
      <c r="M212" s="22">
        <f t="shared" si="36"/>
        <v>19.430420930011021</v>
      </c>
      <c r="N212" s="30">
        <f t="shared" si="37"/>
        <v>1.1216993485189686</v>
      </c>
      <c r="O212" s="22">
        <f t="shared" si="38"/>
        <v>9.2169708562091088</v>
      </c>
      <c r="P212" s="14">
        <f t="shared" si="39"/>
        <v>-2.2888419257232329</v>
      </c>
    </row>
    <row r="213" spans="1:16" x14ac:dyDescent="0.5">
      <c r="A213" s="23" t="str">
        <f>'raw data'!A861</f>
        <v>2018-02</v>
      </c>
      <c r="B213" s="32">
        <f>'raw data'!U861</f>
        <v>1436265.9</v>
      </c>
      <c r="C213" s="20">
        <f>'raw data'!V861</f>
        <v>768657.2</v>
      </c>
      <c r="D213" s="20">
        <f t="shared" si="30"/>
        <v>15928543.700000001</v>
      </c>
      <c r="E213" s="18">
        <f>'raw data'!AH861</f>
        <v>16697200.9</v>
      </c>
      <c r="F213" s="20">
        <f>'raw data'!AO861</f>
        <v>14884557</v>
      </c>
      <c r="G213" s="20">
        <f>'raw data'!AS861</f>
        <v>24017329.199999999</v>
      </c>
      <c r="H213" s="20">
        <f t="shared" si="31"/>
        <v>1812643.9000000004</v>
      </c>
      <c r="I213" s="20">
        <f t="shared" si="32"/>
        <v>-7320128.2999999989</v>
      </c>
      <c r="J213" s="22">
        <f t="shared" si="33"/>
        <v>4.6035093223319841</v>
      </c>
      <c r="K213" s="22">
        <f t="shared" si="34"/>
        <v>20.722558378429294</v>
      </c>
      <c r="L213" s="22">
        <f t="shared" si="35"/>
        <v>21.722558378429294</v>
      </c>
      <c r="M213" s="22">
        <f t="shared" si="36"/>
        <v>19.364362943585256</v>
      </c>
      <c r="N213" s="30">
        <f t="shared" si="37"/>
        <v>1.1217801712204132</v>
      </c>
      <c r="O213" s="22">
        <f t="shared" si="38"/>
        <v>9.2115174414566461</v>
      </c>
      <c r="P213" s="14">
        <f t="shared" si="39"/>
        <v>-2.2809983945226757</v>
      </c>
    </row>
    <row r="214" spans="1:16" x14ac:dyDescent="0.5">
      <c r="A214" s="23" t="str">
        <f>'raw data'!A862</f>
        <v>2018-03</v>
      </c>
      <c r="B214" s="32">
        <f>'raw data'!U862</f>
        <v>1442526.6</v>
      </c>
      <c r="C214" s="20">
        <f>'raw data'!V862</f>
        <v>772280.7</v>
      </c>
      <c r="D214" s="20">
        <f t="shared" si="30"/>
        <v>15857886</v>
      </c>
      <c r="E214" s="18">
        <f>'raw data'!AH862</f>
        <v>16630166.699999999</v>
      </c>
      <c r="F214" s="20">
        <f>'raw data'!AO862</f>
        <v>14807914.9</v>
      </c>
      <c r="G214" s="20">
        <f>'raw data'!AS862</f>
        <v>24053928.399999999</v>
      </c>
      <c r="H214" s="20">
        <f t="shared" si="31"/>
        <v>1822251.7999999989</v>
      </c>
      <c r="I214" s="20">
        <f t="shared" si="32"/>
        <v>-7423761.6999999993</v>
      </c>
      <c r="J214" s="22">
        <f t="shared" si="33"/>
        <v>4.6438542314792306</v>
      </c>
      <c r="K214" s="22">
        <f t="shared" si="34"/>
        <v>20.533836984402175</v>
      </c>
      <c r="L214" s="22">
        <f t="shared" si="35"/>
        <v>21.533836984402175</v>
      </c>
      <c r="M214" s="22">
        <f t="shared" si="36"/>
        <v>19.174265134425866</v>
      </c>
      <c r="N214" s="30">
        <f t="shared" si="37"/>
        <v>1.1230593106663518</v>
      </c>
      <c r="O214" s="22">
        <f t="shared" si="38"/>
        <v>9.1261628606979617</v>
      </c>
      <c r="P214" s="14">
        <f t="shared" si="39"/>
        <v>-2.2401266867173284</v>
      </c>
    </row>
    <row r="215" spans="1:16" x14ac:dyDescent="0.5">
      <c r="A215" s="23" t="str">
        <f>'raw data'!A863</f>
        <v>2018-04</v>
      </c>
      <c r="B215" s="32">
        <f>'raw data'!U863</f>
        <v>1462875.1</v>
      </c>
      <c r="C215" s="20">
        <f>'raw data'!V863</f>
        <v>787764.8</v>
      </c>
      <c r="D215" s="20">
        <f t="shared" si="30"/>
        <v>15866448.6</v>
      </c>
      <c r="E215" s="18">
        <f>'raw data'!AH863</f>
        <v>16654213.4</v>
      </c>
      <c r="F215" s="20">
        <f>'raw data'!AO863</f>
        <v>14814263.9</v>
      </c>
      <c r="G215" s="20">
        <f>'raw data'!AS863</f>
        <v>24196700.100000001</v>
      </c>
      <c r="H215" s="20">
        <f t="shared" si="31"/>
        <v>1839949.5</v>
      </c>
      <c r="I215" s="20">
        <f t="shared" si="32"/>
        <v>-7542486.7000000011</v>
      </c>
      <c r="J215" s="22">
        <f t="shared" si="33"/>
        <v>4.7301231290815569</v>
      </c>
      <c r="K215" s="22">
        <f t="shared" si="34"/>
        <v>20.14109871372775</v>
      </c>
      <c r="L215" s="22">
        <f t="shared" si="35"/>
        <v>21.14109871372775</v>
      </c>
      <c r="M215" s="22">
        <f t="shared" si="36"/>
        <v>18.805440278621234</v>
      </c>
      <c r="N215" s="30">
        <f t="shared" si="37"/>
        <v>1.1242012098893419</v>
      </c>
      <c r="O215" s="22">
        <f t="shared" si="38"/>
        <v>9.0514513577682436</v>
      </c>
      <c r="P215" s="14">
        <f t="shared" si="39"/>
        <v>-2.2080533996831573</v>
      </c>
    </row>
    <row r="216" spans="1:16" x14ac:dyDescent="0.5">
      <c r="A216" s="23" t="str">
        <f>'raw data'!A864</f>
        <v>2018-05</v>
      </c>
      <c r="B216" s="32">
        <f>'raw data'!U864</f>
        <v>1465360.3</v>
      </c>
      <c r="C216" s="20">
        <f>'raw data'!V864</f>
        <v>789763.9</v>
      </c>
      <c r="D216" s="20">
        <f t="shared" si="30"/>
        <v>15938750.4</v>
      </c>
      <c r="E216" s="18">
        <f>'raw data'!AH864</f>
        <v>16728514.300000001</v>
      </c>
      <c r="F216" s="20">
        <f>'raw data'!AO864</f>
        <v>14892243.199999999</v>
      </c>
      <c r="G216" s="20">
        <f>'raw data'!AS864</f>
        <v>24248881.199999999</v>
      </c>
      <c r="H216" s="20">
        <f t="shared" si="31"/>
        <v>1836271.1000000015</v>
      </c>
      <c r="I216" s="20">
        <f t="shared" si="32"/>
        <v>-7520366.8999999985</v>
      </c>
      <c r="J216" s="22">
        <f t="shared" si="33"/>
        <v>4.7210642011406829</v>
      </c>
      <c r="K216" s="22">
        <f t="shared" si="34"/>
        <v>20.181664925428979</v>
      </c>
      <c r="L216" s="22">
        <f t="shared" si="35"/>
        <v>21.181664925428979</v>
      </c>
      <c r="M216" s="22">
        <f t="shared" si="36"/>
        <v>18.856576250193253</v>
      </c>
      <c r="N216" s="30">
        <f t="shared" si="37"/>
        <v>1.123303861972923</v>
      </c>
      <c r="O216" s="22">
        <f t="shared" si="38"/>
        <v>9.1100460601923032</v>
      </c>
      <c r="P216" s="14">
        <f t="shared" si="39"/>
        <v>-2.2244279464609638</v>
      </c>
    </row>
    <row r="217" spans="1:16" x14ac:dyDescent="0.5">
      <c r="A217" s="23" t="str">
        <f>'raw data'!A865</f>
        <v>2018-06</v>
      </c>
      <c r="B217" s="32">
        <f>'raw data'!U865</f>
        <v>1470312.5</v>
      </c>
      <c r="C217" s="20">
        <f>'raw data'!V865</f>
        <v>792832.5</v>
      </c>
      <c r="D217" s="20">
        <f t="shared" si="30"/>
        <v>15985361.300000001</v>
      </c>
      <c r="E217" s="18">
        <f>'raw data'!AH865</f>
        <v>16778193.800000001</v>
      </c>
      <c r="F217" s="20">
        <f>'raw data'!AO865</f>
        <v>14940542</v>
      </c>
      <c r="G217" s="20">
        <f>'raw data'!AS865</f>
        <v>24364947.199999999</v>
      </c>
      <c r="H217" s="20">
        <f t="shared" si="31"/>
        <v>1837651.8000000007</v>
      </c>
      <c r="I217" s="20">
        <f t="shared" si="32"/>
        <v>-7586753.3999999985</v>
      </c>
      <c r="J217" s="22">
        <f t="shared" si="33"/>
        <v>4.725374551341754</v>
      </c>
      <c r="K217" s="22">
        <f t="shared" si="34"/>
        <v>20.16234362239187</v>
      </c>
      <c r="L217" s="22">
        <f t="shared" si="35"/>
        <v>21.16234362239187</v>
      </c>
      <c r="M217" s="22">
        <f t="shared" si="36"/>
        <v>18.844512554669492</v>
      </c>
      <c r="N217" s="30">
        <f t="shared" si="37"/>
        <v>1.1229976663497214</v>
      </c>
      <c r="O217" s="22">
        <f t="shared" si="38"/>
        <v>9.1302355538736961</v>
      </c>
      <c r="P217" s="14">
        <f t="shared" si="39"/>
        <v>-2.2115116856177246</v>
      </c>
    </row>
    <row r="218" spans="1:16" x14ac:dyDescent="0.5">
      <c r="A218" s="23" t="str">
        <f>'raw data'!A866</f>
        <v>2018-07</v>
      </c>
      <c r="B218" s="32">
        <f>'raw data'!U866</f>
        <v>1471833.7</v>
      </c>
      <c r="C218" s="20">
        <f>'raw data'!V866</f>
        <v>793010.5</v>
      </c>
      <c r="D218" s="20">
        <f t="shared" si="30"/>
        <v>15998474.300000001</v>
      </c>
      <c r="E218" s="18">
        <f>'raw data'!AH866</f>
        <v>16791484.800000001</v>
      </c>
      <c r="F218" s="20">
        <f>'raw data'!AO866</f>
        <v>14929129.9</v>
      </c>
      <c r="G218" s="20">
        <f>'raw data'!AS866</f>
        <v>24426859.799999997</v>
      </c>
      <c r="H218" s="20">
        <f t="shared" si="31"/>
        <v>1862354.9000000004</v>
      </c>
      <c r="I218" s="20">
        <f t="shared" si="32"/>
        <v>-7635374.9999999963</v>
      </c>
      <c r="J218" s="22">
        <f t="shared" si="33"/>
        <v>4.7226943265910588</v>
      </c>
      <c r="K218" s="22">
        <f t="shared" si="34"/>
        <v>20.174353681319481</v>
      </c>
      <c r="L218" s="22">
        <f t="shared" si="35"/>
        <v>21.174353681319481</v>
      </c>
      <c r="M218" s="22">
        <f t="shared" si="36"/>
        <v>18.825891838758757</v>
      </c>
      <c r="N218" s="30">
        <f t="shared" si="37"/>
        <v>1.1247463792246861</v>
      </c>
      <c r="O218" s="22">
        <f t="shared" si="38"/>
        <v>9.0162647302079737</v>
      </c>
      <c r="P218" s="14">
        <f t="shared" si="39"/>
        <v>-2.1991696282107962</v>
      </c>
    </row>
    <row r="219" spans="1:16" x14ac:dyDescent="0.5">
      <c r="A219" s="23" t="str">
        <f>'raw data'!A867</f>
        <v>2018-08</v>
      </c>
      <c r="B219" s="32">
        <f>'raw data'!U867</f>
        <v>1476129.4</v>
      </c>
      <c r="C219" s="20">
        <f>'raw data'!V867</f>
        <v>795885.4</v>
      </c>
      <c r="D219" s="20">
        <f t="shared" si="30"/>
        <v>15947820</v>
      </c>
      <c r="E219" s="18">
        <f>'raw data'!AH867</f>
        <v>16743705.4</v>
      </c>
      <c r="F219" s="20">
        <f>'raw data'!AO867</f>
        <v>14878445.300000001</v>
      </c>
      <c r="G219" s="20">
        <f>'raw data'!AS867</f>
        <v>24468288.800000001</v>
      </c>
      <c r="H219" s="20">
        <f t="shared" si="31"/>
        <v>1865260.0999999996</v>
      </c>
      <c r="I219" s="20">
        <f t="shared" si="32"/>
        <v>-7724583.4000000004</v>
      </c>
      <c r="J219" s="22">
        <f t="shared" si="33"/>
        <v>4.7533409181936515</v>
      </c>
      <c r="K219" s="22">
        <f t="shared" si="34"/>
        <v>20.037834592769261</v>
      </c>
      <c r="L219" s="22">
        <f t="shared" si="35"/>
        <v>21.037834592769261</v>
      </c>
      <c r="M219" s="22">
        <f t="shared" si="36"/>
        <v>18.694205597941615</v>
      </c>
      <c r="N219" s="30">
        <f t="shared" si="37"/>
        <v>1.1253665999632367</v>
      </c>
      <c r="O219" s="22">
        <f t="shared" si="38"/>
        <v>8.9766062116484466</v>
      </c>
      <c r="P219" s="14">
        <f t="shared" si="39"/>
        <v>-2.1675868500558879</v>
      </c>
    </row>
    <row r="220" spans="1:16" x14ac:dyDescent="0.5">
      <c r="A220" s="23" t="str">
        <f>'raw data'!A868</f>
        <v>2018-09</v>
      </c>
      <c r="B220" s="32">
        <f>'raw data'!U868</f>
        <v>1481373.8</v>
      </c>
      <c r="C220" s="20">
        <f>'raw data'!V868</f>
        <v>798502.6</v>
      </c>
      <c r="D220" s="20">
        <f t="shared" si="30"/>
        <v>15964149.5</v>
      </c>
      <c r="E220" s="18">
        <f>'raw data'!AH868</f>
        <v>16762652.1</v>
      </c>
      <c r="F220" s="20">
        <f>'raw data'!AO868</f>
        <v>14915639.199999999</v>
      </c>
      <c r="G220" s="20">
        <f>'raw data'!AS868</f>
        <v>24541533.800000001</v>
      </c>
      <c r="H220" s="20">
        <f t="shared" si="31"/>
        <v>1847012.9000000004</v>
      </c>
      <c r="I220" s="20">
        <f t="shared" si="32"/>
        <v>-7778881.7000000011</v>
      </c>
      <c r="J220" s="22">
        <f t="shared" si="33"/>
        <v>4.763581533735942</v>
      </c>
      <c r="K220" s="22">
        <f t="shared" si="34"/>
        <v>19.992608039097181</v>
      </c>
      <c r="L220" s="22">
        <f t="shared" si="35"/>
        <v>20.992608039097181</v>
      </c>
      <c r="M220" s="22">
        <f t="shared" si="36"/>
        <v>18.679512377292195</v>
      </c>
      <c r="N220" s="30">
        <f t="shared" si="37"/>
        <v>1.1238306233634292</v>
      </c>
      <c r="O220" s="22">
        <f t="shared" si="38"/>
        <v>9.0755468464784386</v>
      </c>
      <c r="P220" s="14">
        <f t="shared" si="39"/>
        <v>-2.1548922771251293</v>
      </c>
    </row>
    <row r="221" spans="1:16" x14ac:dyDescent="0.5">
      <c r="A221" s="23" t="str">
        <f>'raw data'!A869</f>
        <v>2018-10</v>
      </c>
      <c r="B221" s="32">
        <f>'raw data'!U869</f>
        <v>1487713.6</v>
      </c>
      <c r="C221" s="20">
        <f>'raw data'!V869</f>
        <v>801567.5</v>
      </c>
      <c r="D221" s="20">
        <f t="shared" si="30"/>
        <v>16039764.100000001</v>
      </c>
      <c r="E221" s="18">
        <f>'raw data'!AH869</f>
        <v>16841331.600000001</v>
      </c>
      <c r="F221" s="20">
        <f>'raw data'!AO869</f>
        <v>14980216.6</v>
      </c>
      <c r="G221" s="20">
        <f>'raw data'!AS869</f>
        <v>24642872.399999999</v>
      </c>
      <c r="H221" s="20">
        <f t="shared" si="31"/>
        <v>1861115.0000000019</v>
      </c>
      <c r="I221" s="20">
        <f t="shared" si="32"/>
        <v>-7801540.799999997</v>
      </c>
      <c r="J221" s="22">
        <f t="shared" si="33"/>
        <v>4.7595256660108749</v>
      </c>
      <c r="K221" s="22">
        <f t="shared" si="34"/>
        <v>20.010497057328298</v>
      </c>
      <c r="L221" s="22">
        <f t="shared" si="35"/>
        <v>21.010497057328298</v>
      </c>
      <c r="M221" s="22">
        <f t="shared" si="36"/>
        <v>18.68865267117242</v>
      </c>
      <c r="N221" s="30">
        <f t="shared" si="37"/>
        <v>1.1242381902542051</v>
      </c>
      <c r="O221" s="22">
        <f t="shared" si="38"/>
        <v>9.0490547870496911</v>
      </c>
      <c r="P221" s="14">
        <f t="shared" si="39"/>
        <v>-2.1587186469626625</v>
      </c>
    </row>
    <row r="222" spans="1:16" x14ac:dyDescent="0.5">
      <c r="A222" s="23" t="str">
        <f>'raw data'!A870</f>
        <v>2018-11</v>
      </c>
      <c r="B222" s="32">
        <f>'raw data'!U870</f>
        <v>1492640.2</v>
      </c>
      <c r="C222" s="20">
        <f>'raw data'!V870</f>
        <v>804021.2</v>
      </c>
      <c r="D222" s="20">
        <f t="shared" si="30"/>
        <v>16049233</v>
      </c>
      <c r="E222" s="18">
        <f>'raw data'!AH870</f>
        <v>16853254.199999999</v>
      </c>
      <c r="F222" s="20">
        <f>'raw data'!AO870</f>
        <v>14995147.300000001</v>
      </c>
      <c r="G222" s="20">
        <f>'raw data'!AS870</f>
        <v>24626002.399999999</v>
      </c>
      <c r="H222" s="20">
        <f t="shared" si="31"/>
        <v>1858106.8999999985</v>
      </c>
      <c r="I222" s="20">
        <f t="shared" si="32"/>
        <v>-7772748.1999999993</v>
      </c>
      <c r="J222" s="22">
        <f t="shared" si="33"/>
        <v>4.7707178118751683</v>
      </c>
      <c r="K222" s="22">
        <f t="shared" si="34"/>
        <v>19.961206246800458</v>
      </c>
      <c r="L222" s="22">
        <f t="shared" si="35"/>
        <v>20.961206246800458</v>
      </c>
      <c r="M222" s="22">
        <f t="shared" si="36"/>
        <v>18.650188950241613</v>
      </c>
      <c r="N222" s="30">
        <f t="shared" si="37"/>
        <v>1.1239138811260625</v>
      </c>
      <c r="O222" s="22">
        <f t="shared" si="38"/>
        <v>9.0701208848640587</v>
      </c>
      <c r="P222" s="14">
        <f t="shared" si="39"/>
        <v>-2.1682490885270154</v>
      </c>
    </row>
    <row r="223" spans="1:16" x14ac:dyDescent="0.5">
      <c r="A223" s="23" t="str">
        <f>'raw data'!A871</f>
        <v>2018-12</v>
      </c>
      <c r="B223" s="32">
        <f>'raw data'!U871</f>
        <v>1496079.5</v>
      </c>
      <c r="C223" s="20">
        <f>'raw data'!V871</f>
        <v>805136</v>
      </c>
      <c r="D223" s="20">
        <f t="shared" si="30"/>
        <v>16192646.899999999</v>
      </c>
      <c r="E223" s="18">
        <f>'raw data'!AH871</f>
        <v>16997782.899999999</v>
      </c>
      <c r="F223" s="20">
        <f>'raw data'!AO871</f>
        <v>15119836.199999999</v>
      </c>
      <c r="G223" s="20">
        <f>'raw data'!AS871</f>
        <v>24877883.399999999</v>
      </c>
      <c r="H223" s="20">
        <f t="shared" si="31"/>
        <v>1877946.6999999993</v>
      </c>
      <c r="I223" s="20">
        <f t="shared" si="32"/>
        <v>-7880100.5</v>
      </c>
      <c r="J223" s="22">
        <f t="shared" si="33"/>
        <v>4.7367118684637406</v>
      </c>
      <c r="K223" s="22">
        <f t="shared" si="34"/>
        <v>20.111691565151723</v>
      </c>
      <c r="L223" s="22">
        <f t="shared" si="35"/>
        <v>21.111691565151723</v>
      </c>
      <c r="M223" s="22">
        <f t="shared" si="36"/>
        <v>18.779232576856579</v>
      </c>
      <c r="N223" s="30">
        <f t="shared" si="37"/>
        <v>1.1242041696192449</v>
      </c>
      <c r="O223" s="22">
        <f t="shared" si="38"/>
        <v>9.0512594952774776</v>
      </c>
      <c r="P223" s="14">
        <f t="shared" si="39"/>
        <v>-2.1570515376041204</v>
      </c>
    </row>
    <row r="224" spans="1:16" x14ac:dyDescent="0.5">
      <c r="A224" s="23" t="str">
        <f>'raw data'!A872</f>
        <v>2019-01</v>
      </c>
      <c r="B224" s="32">
        <f>'raw data'!U872</f>
        <v>1504223</v>
      </c>
      <c r="C224" s="20">
        <f>'raw data'!V872</f>
        <v>808330.4</v>
      </c>
      <c r="D224" s="20">
        <f t="shared" si="30"/>
        <v>16189742.299999999</v>
      </c>
      <c r="E224" s="18">
        <f>'raw data'!AH872</f>
        <v>16998072.699999999</v>
      </c>
      <c r="F224" s="20">
        <f>'raw data'!AO872</f>
        <v>15127337.800000001</v>
      </c>
      <c r="G224" s="20">
        <f>'raw data'!AS872</f>
        <v>24958047</v>
      </c>
      <c r="H224" s="20">
        <f t="shared" si="31"/>
        <v>1870734.8999999985</v>
      </c>
      <c r="I224" s="20">
        <f t="shared" si="32"/>
        <v>-7959974.3000000007</v>
      </c>
      <c r="J224" s="22">
        <f t="shared" si="33"/>
        <v>4.7554238310793906</v>
      </c>
      <c r="K224" s="22">
        <f t="shared" si="34"/>
        <v>20.02861985643494</v>
      </c>
      <c r="L224" s="22">
        <f t="shared" si="35"/>
        <v>21.02861985643494</v>
      </c>
      <c r="M224" s="22">
        <f t="shared" si="36"/>
        <v>18.714300241584382</v>
      </c>
      <c r="N224" s="30">
        <f t="shared" si="37"/>
        <v>1.1236658376201527</v>
      </c>
      <c r="O224" s="22">
        <f t="shared" si="38"/>
        <v>9.0863075789092367</v>
      </c>
      <c r="P224" s="14">
        <f t="shared" si="39"/>
        <v>-2.1354431634283038</v>
      </c>
    </row>
    <row r="225" spans="1:16" x14ac:dyDescent="0.5">
      <c r="A225" s="23" t="str">
        <f>'raw data'!A873</f>
        <v>2019-02</v>
      </c>
      <c r="B225" s="32">
        <f>'raw data'!U873</f>
        <v>1512624.1</v>
      </c>
      <c r="C225" s="20">
        <f>'raw data'!V873</f>
        <v>812953.59999999998</v>
      </c>
      <c r="D225" s="20">
        <f t="shared" si="30"/>
        <v>16223065.200000001</v>
      </c>
      <c r="E225" s="18">
        <f>'raw data'!AH873</f>
        <v>17036018.800000001</v>
      </c>
      <c r="F225" s="20">
        <f>'raw data'!AO873</f>
        <v>15124785.199999999</v>
      </c>
      <c r="G225" s="20">
        <f>'raw data'!AS873</f>
        <v>25032058.5</v>
      </c>
      <c r="H225" s="20">
        <f t="shared" si="31"/>
        <v>1911233.6000000015</v>
      </c>
      <c r="I225" s="20">
        <f t="shared" si="32"/>
        <v>-7996039.6999999993</v>
      </c>
      <c r="J225" s="22">
        <f t="shared" si="33"/>
        <v>4.7719693758497144</v>
      </c>
      <c r="K225" s="22">
        <f t="shared" si="34"/>
        <v>19.955708665291599</v>
      </c>
      <c r="L225" s="22">
        <f t="shared" si="35"/>
        <v>20.955708665291599</v>
      </c>
      <c r="M225" s="22">
        <f t="shared" si="36"/>
        <v>18.604733652695554</v>
      </c>
      <c r="N225" s="30">
        <f t="shared" si="37"/>
        <v>1.126364346648705</v>
      </c>
      <c r="O225" s="22">
        <f t="shared" si="38"/>
        <v>8.9136245825732594</v>
      </c>
      <c r="P225" s="14">
        <f t="shared" si="39"/>
        <v>-2.1305570556384308</v>
      </c>
    </row>
    <row r="226" spans="1:16" x14ac:dyDescent="0.5">
      <c r="A226" s="23" t="str">
        <f>'raw data'!A874</f>
        <v>2019-03</v>
      </c>
      <c r="B226" s="32">
        <f>'raw data'!U874</f>
        <v>1520619.3</v>
      </c>
      <c r="C226" s="20">
        <f>'raw data'!V874</f>
        <v>816898.6</v>
      </c>
      <c r="D226" s="20">
        <f t="shared" si="30"/>
        <v>16295764.700000001</v>
      </c>
      <c r="E226" s="18">
        <f>'raw data'!AH874</f>
        <v>17112663.300000001</v>
      </c>
      <c r="F226" s="20">
        <f>'raw data'!AO874</f>
        <v>15173012.800000001</v>
      </c>
      <c r="G226" s="20">
        <f>'raw data'!AS874</f>
        <v>25155833.899999999</v>
      </c>
      <c r="H226" s="20">
        <f t="shared" si="31"/>
        <v>1939650.5</v>
      </c>
      <c r="I226" s="20">
        <f t="shared" si="32"/>
        <v>-8043170.5999999978</v>
      </c>
      <c r="J226" s="22">
        <f t="shared" si="33"/>
        <v>4.7736496983494092</v>
      </c>
      <c r="K226" s="22">
        <f t="shared" si="34"/>
        <v>19.948332265473343</v>
      </c>
      <c r="L226" s="22">
        <f t="shared" si="35"/>
        <v>20.948332265473343</v>
      </c>
      <c r="M226" s="22">
        <f t="shared" si="36"/>
        <v>18.57392435242269</v>
      </c>
      <c r="N226" s="30">
        <f t="shared" si="37"/>
        <v>1.1278355541886842</v>
      </c>
      <c r="O226" s="22">
        <f t="shared" si="38"/>
        <v>8.8225498872090622</v>
      </c>
      <c r="P226" s="14">
        <f t="shared" si="39"/>
        <v>-2.1276016823514854</v>
      </c>
    </row>
    <row r="227" spans="1:16" x14ac:dyDescent="0.5">
      <c r="A227" s="23" t="str">
        <f>'raw data'!A875</f>
        <v>2019-04</v>
      </c>
      <c r="B227" s="32">
        <f>'raw data'!U875</f>
        <v>1531884.6</v>
      </c>
      <c r="C227" s="20">
        <f>'raw data'!V875</f>
        <v>821833.9</v>
      </c>
      <c r="D227" s="20">
        <f t="shared" si="30"/>
        <v>16345630.299999999</v>
      </c>
      <c r="E227" s="18">
        <f>'raw data'!AH875</f>
        <v>17167464.199999999</v>
      </c>
      <c r="F227" s="20">
        <f>'raw data'!AO875</f>
        <v>15205381.4</v>
      </c>
      <c r="G227" s="20">
        <f>'raw data'!AS875</f>
        <v>25281695.399999999</v>
      </c>
      <c r="H227" s="20">
        <f t="shared" si="31"/>
        <v>1962082.7999999989</v>
      </c>
      <c r="I227" s="20">
        <f t="shared" si="32"/>
        <v>-8114231.1999999993</v>
      </c>
      <c r="J227" s="22">
        <f t="shared" si="33"/>
        <v>4.7871595386813164</v>
      </c>
      <c r="K227" s="22">
        <f t="shared" si="34"/>
        <v>19.889213988374049</v>
      </c>
      <c r="L227" s="22">
        <f t="shared" si="35"/>
        <v>20.889213988374049</v>
      </c>
      <c r="M227" s="22">
        <f t="shared" si="36"/>
        <v>18.501769518147157</v>
      </c>
      <c r="N227" s="30">
        <f t="shared" si="37"/>
        <v>1.12903870993989</v>
      </c>
      <c r="O227" s="22">
        <f t="shared" si="38"/>
        <v>8.7496125036109635</v>
      </c>
      <c r="P227" s="14">
        <f t="shared" si="39"/>
        <v>-2.1157228302787332</v>
      </c>
    </row>
    <row r="228" spans="1:16" x14ac:dyDescent="0.5">
      <c r="A228" s="23" t="str">
        <f>'raw data'!A876</f>
        <v>2019-05</v>
      </c>
      <c r="B228" s="32">
        <f>'raw data'!U876</f>
        <v>1538358.6</v>
      </c>
      <c r="C228" s="20">
        <f>'raw data'!V876</f>
        <v>822703.8</v>
      </c>
      <c r="D228" s="20">
        <f t="shared" si="30"/>
        <v>16396868</v>
      </c>
      <c r="E228" s="18">
        <f>'raw data'!AH876</f>
        <v>17219571.800000001</v>
      </c>
      <c r="F228" s="20">
        <f>'raw data'!AO876</f>
        <v>15268662.800000001</v>
      </c>
      <c r="G228" s="20">
        <f>'raw data'!AS876</f>
        <v>25388453.100000001</v>
      </c>
      <c r="H228" s="20">
        <f t="shared" si="31"/>
        <v>1950909</v>
      </c>
      <c r="I228" s="20">
        <f t="shared" si="32"/>
        <v>-8168881.3000000007</v>
      </c>
      <c r="J228" s="22">
        <f t="shared" si="33"/>
        <v>4.7777250767641037</v>
      </c>
      <c r="K228" s="22">
        <f t="shared" si="34"/>
        <v>19.930463430459419</v>
      </c>
      <c r="L228" s="22">
        <f t="shared" si="35"/>
        <v>20.930463430459419</v>
      </c>
      <c r="M228" s="22">
        <f t="shared" si="36"/>
        <v>18.559125167526879</v>
      </c>
      <c r="N228" s="30">
        <f t="shared" si="37"/>
        <v>1.1277720927860166</v>
      </c>
      <c r="O228" s="22">
        <f t="shared" si="38"/>
        <v>8.8264351643259626</v>
      </c>
      <c r="P228" s="14">
        <f t="shared" si="39"/>
        <v>-2.1079473636126895</v>
      </c>
    </row>
    <row r="229" spans="1:16" x14ac:dyDescent="0.5">
      <c r="A229" s="23" t="str">
        <f>'raw data'!A877</f>
        <v>2019-06</v>
      </c>
      <c r="B229" s="32">
        <f>'raw data'!U877</f>
        <v>1543794.5</v>
      </c>
      <c r="C229" s="20">
        <f>'raw data'!V877</f>
        <v>823941.8</v>
      </c>
      <c r="D229" s="20">
        <f t="shared" si="30"/>
        <v>16535550.199999999</v>
      </c>
      <c r="E229" s="18">
        <f>'raw data'!AH877</f>
        <v>17359492</v>
      </c>
      <c r="F229" s="20">
        <f>'raw data'!AO877</f>
        <v>15416162.300000001</v>
      </c>
      <c r="G229" s="20">
        <f>'raw data'!AS877</f>
        <v>25583150.300000001</v>
      </c>
      <c r="H229" s="20">
        <f t="shared" si="31"/>
        <v>1943329.6999999993</v>
      </c>
      <c r="I229" s="20">
        <f t="shared" si="32"/>
        <v>-8223658.3000000007</v>
      </c>
      <c r="J229" s="22">
        <f t="shared" si="33"/>
        <v>4.7463474161571089</v>
      </c>
      <c r="K229" s="22">
        <f t="shared" si="34"/>
        <v>20.068832774353719</v>
      </c>
      <c r="L229" s="22">
        <f t="shared" si="35"/>
        <v>21.068832774353723</v>
      </c>
      <c r="M229" s="22">
        <f t="shared" si="36"/>
        <v>18.710256355485303</v>
      </c>
      <c r="N229" s="30">
        <f t="shared" si="37"/>
        <v>1.1260579424491399</v>
      </c>
      <c r="O229" s="22">
        <f t="shared" si="38"/>
        <v>8.9328599259302255</v>
      </c>
      <c r="P229" s="14">
        <f t="shared" si="39"/>
        <v>-2.1109208781206288</v>
      </c>
    </row>
    <row r="230" spans="1:16" x14ac:dyDescent="0.5">
      <c r="A230" s="23" t="str">
        <f>'raw data'!A878</f>
        <v>2019-07</v>
      </c>
      <c r="B230" s="32">
        <f>'raw data'!U878</f>
        <v>1549682.9</v>
      </c>
      <c r="C230" s="20">
        <f>'raw data'!V878</f>
        <v>825168.2</v>
      </c>
      <c r="D230" s="20">
        <f t="shared" si="30"/>
        <v>16581835.600000001</v>
      </c>
      <c r="E230" s="18">
        <f>'raw data'!AH878</f>
        <v>17407003.800000001</v>
      </c>
      <c r="F230" s="20">
        <f>'raw data'!AO878</f>
        <v>15427411.9</v>
      </c>
      <c r="G230" s="20">
        <f>'raw data'!AS878</f>
        <v>25638807</v>
      </c>
      <c r="H230" s="20">
        <f t="shared" si="31"/>
        <v>1979591.9000000004</v>
      </c>
      <c r="I230" s="20">
        <f t="shared" si="32"/>
        <v>-8231803.1999999993</v>
      </c>
      <c r="J230" s="22">
        <f t="shared" si="33"/>
        <v>4.7404378690375184</v>
      </c>
      <c r="K230" s="22">
        <f t="shared" si="34"/>
        <v>20.095097702504777</v>
      </c>
      <c r="L230" s="22">
        <f t="shared" si="35"/>
        <v>21.095097702504777</v>
      </c>
      <c r="M230" s="22">
        <f t="shared" si="36"/>
        <v>18.696081477691457</v>
      </c>
      <c r="N230" s="30">
        <f t="shared" si="37"/>
        <v>1.1283165259883934</v>
      </c>
      <c r="O230" s="22">
        <f t="shared" si="38"/>
        <v>8.7932284426906353</v>
      </c>
      <c r="P230" s="14">
        <f t="shared" si="39"/>
        <v>-2.1146039788706323</v>
      </c>
    </row>
    <row r="231" spans="1:16" x14ac:dyDescent="0.5">
      <c r="A231" s="23" t="str">
        <f>'raw data'!A879</f>
        <v>2019-08</v>
      </c>
      <c r="B231" s="32">
        <f>'raw data'!U879</f>
        <v>1558581.3</v>
      </c>
      <c r="C231" s="20">
        <f>'raw data'!V879</f>
        <v>829199.2</v>
      </c>
      <c r="D231" s="20">
        <f t="shared" si="30"/>
        <v>16680830.5</v>
      </c>
      <c r="E231" s="18">
        <f>'raw data'!AH879</f>
        <v>17510029.699999999</v>
      </c>
      <c r="F231" s="20">
        <f>'raw data'!AO879</f>
        <v>15526493.9</v>
      </c>
      <c r="G231" s="20">
        <f>'raw data'!AS879</f>
        <v>25747644.200000003</v>
      </c>
      <c r="H231" s="20">
        <f t="shared" si="31"/>
        <v>1983535.7999999989</v>
      </c>
      <c r="I231" s="20">
        <f t="shared" si="32"/>
        <v>-8237614.5000000037</v>
      </c>
      <c r="J231" s="22">
        <f t="shared" si="33"/>
        <v>4.7355670675989776</v>
      </c>
      <c r="K231" s="22">
        <f t="shared" si="34"/>
        <v>20.116795216396735</v>
      </c>
      <c r="L231" s="22">
        <f t="shared" si="35"/>
        <v>21.116795216396735</v>
      </c>
      <c r="M231" s="22">
        <f t="shared" si="36"/>
        <v>18.724685093762755</v>
      </c>
      <c r="N231" s="30">
        <f t="shared" si="37"/>
        <v>1.1277516877136053</v>
      </c>
      <c r="O231" s="22">
        <f t="shared" si="38"/>
        <v>8.82768523764482</v>
      </c>
      <c r="P231" s="14">
        <f t="shared" si="39"/>
        <v>-2.1256189762218165</v>
      </c>
    </row>
    <row r="232" spans="1:16" x14ac:dyDescent="0.5">
      <c r="A232" s="23" t="str">
        <f>'raw data'!A880</f>
        <v>2019-09</v>
      </c>
      <c r="B232" s="32">
        <f>'raw data'!U880</f>
        <v>1563920.4</v>
      </c>
      <c r="C232" s="20">
        <f>'raw data'!V880</f>
        <v>830221.4</v>
      </c>
      <c r="D232" s="20">
        <f t="shared" si="30"/>
        <v>16688056.499999998</v>
      </c>
      <c r="E232" s="18">
        <f>'raw data'!AH880</f>
        <v>17518277.899999999</v>
      </c>
      <c r="F232" s="20">
        <f>'raw data'!AO880</f>
        <v>15571688.9</v>
      </c>
      <c r="G232" s="20">
        <f>'raw data'!AS880</f>
        <v>25942841.200000003</v>
      </c>
      <c r="H232" s="20">
        <f t="shared" si="31"/>
        <v>1946588.9999999981</v>
      </c>
      <c r="I232" s="20">
        <f t="shared" si="32"/>
        <v>-8424563.3000000045</v>
      </c>
      <c r="J232" s="22">
        <f t="shared" si="33"/>
        <v>4.7391724502783461</v>
      </c>
      <c r="K232" s="22">
        <f t="shared" si="34"/>
        <v>20.100730359395694</v>
      </c>
      <c r="L232" s="22">
        <f t="shared" si="35"/>
        <v>21.100730359395698</v>
      </c>
      <c r="M232" s="22">
        <f t="shared" si="36"/>
        <v>18.756067839253483</v>
      </c>
      <c r="N232" s="30">
        <f t="shared" si="37"/>
        <v>1.1250082128214107</v>
      </c>
      <c r="O232" s="22">
        <f t="shared" si="38"/>
        <v>8.999474413962071</v>
      </c>
      <c r="P232" s="14">
        <f t="shared" si="39"/>
        <v>-2.079428603735459</v>
      </c>
    </row>
    <row r="233" spans="1:16" x14ac:dyDescent="0.5">
      <c r="A233" s="23" t="str">
        <f>'raw data'!A881</f>
        <v>2019-10</v>
      </c>
      <c r="B233" s="32">
        <f>'raw data'!U881</f>
        <v>1573619.2</v>
      </c>
      <c r="C233" s="20">
        <f>'raw data'!V881</f>
        <v>836203.7</v>
      </c>
      <c r="D233" s="20">
        <f t="shared" si="30"/>
        <v>16762253</v>
      </c>
      <c r="E233" s="18">
        <f>'raw data'!AH881</f>
        <v>17598456.699999999</v>
      </c>
      <c r="F233" s="20">
        <f>'raw data'!AO881</f>
        <v>15655972.800000001</v>
      </c>
      <c r="G233" s="20">
        <f>'raw data'!AS881</f>
        <v>26172270.600000001</v>
      </c>
      <c r="H233" s="20">
        <f t="shared" si="31"/>
        <v>1942483.8999999985</v>
      </c>
      <c r="I233" s="20">
        <f t="shared" si="32"/>
        <v>-8573813.9000000022</v>
      </c>
      <c r="J233" s="22">
        <f t="shared" si="33"/>
        <v>4.7515740400122697</v>
      </c>
      <c r="K233" s="22">
        <f t="shared" si="34"/>
        <v>20.045657535358909</v>
      </c>
      <c r="L233" s="22">
        <f t="shared" si="35"/>
        <v>21.045657535358909</v>
      </c>
      <c r="M233" s="22">
        <f t="shared" si="36"/>
        <v>18.722678218237974</v>
      </c>
      <c r="N233" s="30">
        <f t="shared" si="37"/>
        <v>1.1240730247053059</v>
      </c>
      <c r="O233" s="22">
        <f t="shared" si="38"/>
        <v>9.0597696588373342</v>
      </c>
      <c r="P233" s="14">
        <f t="shared" si="39"/>
        <v>-2.0525820720228127</v>
      </c>
    </row>
    <row r="234" spans="1:16" x14ac:dyDescent="0.5">
      <c r="A234" s="23" t="str">
        <f>'raw data'!A882</f>
        <v>2019-11</v>
      </c>
      <c r="B234" s="32">
        <f>'raw data'!U882</f>
        <v>1578461.1</v>
      </c>
      <c r="C234" s="20">
        <f>'raw data'!V882</f>
        <v>836889.3</v>
      </c>
      <c r="D234" s="20">
        <f t="shared" si="30"/>
        <v>16822597.199999999</v>
      </c>
      <c r="E234" s="18">
        <f>'raw data'!AH882</f>
        <v>17659486.5</v>
      </c>
      <c r="F234" s="20">
        <f>'raw data'!AO882</f>
        <v>15730224.4</v>
      </c>
      <c r="G234" s="20">
        <f>'raw data'!AS882</f>
        <v>26388590.399999999</v>
      </c>
      <c r="H234" s="20">
        <f t="shared" si="31"/>
        <v>1929262.0999999996</v>
      </c>
      <c r="I234" s="20">
        <f t="shared" si="32"/>
        <v>-8729103.8999999985</v>
      </c>
      <c r="J234" s="22">
        <f t="shared" si="33"/>
        <v>4.739035305471651</v>
      </c>
      <c r="K234" s="22">
        <f t="shared" si="34"/>
        <v>20.101341001731051</v>
      </c>
      <c r="L234" s="22">
        <f t="shared" si="35"/>
        <v>21.101341001731051</v>
      </c>
      <c r="M234" s="22">
        <f t="shared" si="36"/>
        <v>18.796063469804189</v>
      </c>
      <c r="N234" s="30">
        <f t="shared" si="37"/>
        <v>1.1226468263224523</v>
      </c>
      <c r="O234" s="22">
        <f t="shared" si="38"/>
        <v>9.1534926747381835</v>
      </c>
      <c r="P234" s="14">
        <f t="shared" si="39"/>
        <v>-2.0230583462295599</v>
      </c>
    </row>
    <row r="235" spans="1:16" x14ac:dyDescent="0.5">
      <c r="A235" s="23" t="str">
        <f>'raw data'!A883</f>
        <v>2019-12</v>
      </c>
      <c r="B235" s="32">
        <f>'raw data'!U883</f>
        <v>1586136.2</v>
      </c>
      <c r="C235" s="20">
        <f>'raw data'!V883</f>
        <v>841099.7</v>
      </c>
      <c r="D235" s="20">
        <f t="shared" si="30"/>
        <v>16941577.400000002</v>
      </c>
      <c r="E235" s="18">
        <f>'raw data'!AH883</f>
        <v>17782677.100000001</v>
      </c>
      <c r="F235" s="20">
        <f>'raw data'!AO883</f>
        <v>15825140.6</v>
      </c>
      <c r="G235" s="20">
        <f>'raw data'!AS883</f>
        <v>26537085.600000001</v>
      </c>
      <c r="H235" s="20">
        <f t="shared" si="31"/>
        <v>1957536.5000000019</v>
      </c>
      <c r="I235" s="20">
        <f t="shared" si="32"/>
        <v>-8754408.5</v>
      </c>
      <c r="J235" s="22">
        <f t="shared" si="33"/>
        <v>4.7298823190125852</v>
      </c>
      <c r="K235" s="22">
        <f t="shared" si="34"/>
        <v>20.142175059627299</v>
      </c>
      <c r="L235" s="22">
        <f t="shared" si="35"/>
        <v>21.142175059627299</v>
      </c>
      <c r="M235" s="22">
        <f t="shared" si="36"/>
        <v>18.814821358276554</v>
      </c>
      <c r="N235" s="30">
        <f t="shared" si="37"/>
        <v>1.1236978899258565</v>
      </c>
      <c r="O235" s="22">
        <f t="shared" si="38"/>
        <v>9.0842122739473741</v>
      </c>
      <c r="P235" s="14">
        <f t="shared" si="39"/>
        <v>-2.0312825361073799</v>
      </c>
    </row>
    <row r="236" spans="1:16" x14ac:dyDescent="0.5">
      <c r="A236" s="23" t="str">
        <f>'raw data'!A884</f>
        <v>2020-01</v>
      </c>
      <c r="B236" s="32">
        <f>'raw data'!U884</f>
        <v>1595473</v>
      </c>
      <c r="C236" s="20">
        <f>'raw data'!V884</f>
        <v>846851.9</v>
      </c>
      <c r="D236" s="20">
        <f t="shared" si="30"/>
        <v>16973075.800000001</v>
      </c>
      <c r="E236" s="18">
        <f>'raw data'!AH884</f>
        <v>17819927.699999999</v>
      </c>
      <c r="F236" s="20">
        <f>'raw data'!AO884</f>
        <v>15875874.1</v>
      </c>
      <c r="G236" s="20">
        <f>'raw data'!AS884</f>
        <v>26681918.300000001</v>
      </c>
      <c r="H236" s="20">
        <f t="shared" si="31"/>
        <v>1944053.5999999996</v>
      </c>
      <c r="I236" s="20">
        <f t="shared" si="32"/>
        <v>-8861990.6000000015</v>
      </c>
      <c r="J236" s="22">
        <f t="shared" si="33"/>
        <v>4.7522746122028323</v>
      </c>
      <c r="K236" s="22">
        <f t="shared" si="34"/>
        <v>20.042555020541371</v>
      </c>
      <c r="L236" s="22">
        <f t="shared" si="35"/>
        <v>21.042555020541371</v>
      </c>
      <c r="M236" s="22">
        <f t="shared" si="36"/>
        <v>18.746930956876874</v>
      </c>
      <c r="N236" s="30">
        <f t="shared" si="37"/>
        <v>1.1224533268376069</v>
      </c>
      <c r="O236" s="22">
        <f t="shared" si="38"/>
        <v>9.1663767398182863</v>
      </c>
      <c r="P236" s="14">
        <f t="shared" si="39"/>
        <v>-2.0108267435986669</v>
      </c>
    </row>
    <row r="237" spans="1:16" x14ac:dyDescent="0.5">
      <c r="A237" s="23" t="str">
        <f>'raw data'!A885</f>
        <v>2020-02</v>
      </c>
      <c r="B237" s="32">
        <f>'raw data'!U885</f>
        <v>1603084.7</v>
      </c>
      <c r="C237" s="20">
        <f>'raw data'!V885</f>
        <v>851230.7</v>
      </c>
      <c r="D237" s="20">
        <f t="shared" si="30"/>
        <v>17110029.100000001</v>
      </c>
      <c r="E237" s="18">
        <f>'raw data'!AH885</f>
        <v>17961259.800000001</v>
      </c>
      <c r="F237" s="20">
        <f>'raw data'!AO885</f>
        <v>15960218.800000001</v>
      </c>
      <c r="G237" s="20">
        <f>'raw data'!AS885</f>
        <v>26819237.5</v>
      </c>
      <c r="H237" s="20">
        <f t="shared" si="31"/>
        <v>2001041</v>
      </c>
      <c r="I237" s="20">
        <f t="shared" si="32"/>
        <v>-8857977.6999999993</v>
      </c>
      <c r="J237" s="22">
        <f t="shared" si="33"/>
        <v>4.7392594365791645</v>
      </c>
      <c r="K237" s="22">
        <f t="shared" si="34"/>
        <v>20.100343067983804</v>
      </c>
      <c r="L237" s="22">
        <f t="shared" si="35"/>
        <v>21.100343067983804</v>
      </c>
      <c r="M237" s="22">
        <f t="shared" si="36"/>
        <v>18.749580812816081</v>
      </c>
      <c r="N237" s="30">
        <f t="shared" si="37"/>
        <v>1.1253767899472655</v>
      </c>
      <c r="O237" s="22">
        <f t="shared" si="38"/>
        <v>8.9759579139058125</v>
      </c>
      <c r="P237" s="14">
        <f t="shared" si="39"/>
        <v>-2.0276930478160948</v>
      </c>
    </row>
    <row r="238" spans="1:16" x14ac:dyDescent="0.5">
      <c r="A238" s="23" t="str">
        <f>'raw data'!A886</f>
        <v>2020-03</v>
      </c>
      <c r="B238" s="32">
        <f>'raw data'!U886</f>
        <v>1608201</v>
      </c>
      <c r="C238" s="20">
        <f>'raw data'!V886</f>
        <v>853098.4</v>
      </c>
      <c r="D238" s="20">
        <f t="shared" si="30"/>
        <v>18094582.900000002</v>
      </c>
      <c r="E238" s="18">
        <f>'raw data'!AH886</f>
        <v>18947681.300000001</v>
      </c>
      <c r="F238" s="20">
        <f>'raw data'!AO886</f>
        <v>16917798.5</v>
      </c>
      <c r="G238" s="20">
        <f>'raw data'!AS886</f>
        <v>27746910.600000001</v>
      </c>
      <c r="H238" s="20">
        <f t="shared" si="31"/>
        <v>2029882.8000000007</v>
      </c>
      <c r="I238" s="20">
        <f t="shared" si="32"/>
        <v>-8799229.3000000007</v>
      </c>
      <c r="J238" s="22">
        <f t="shared" si="33"/>
        <v>4.5023894295709947</v>
      </c>
      <c r="K238" s="22">
        <f t="shared" si="34"/>
        <v>21.210428832125345</v>
      </c>
      <c r="L238" s="22">
        <f t="shared" si="35"/>
        <v>22.210428832125345</v>
      </c>
      <c r="M238" s="22">
        <f t="shared" si="36"/>
        <v>19.831004840707706</v>
      </c>
      <c r="N238" s="30">
        <f t="shared" si="37"/>
        <v>1.1199850441533514</v>
      </c>
      <c r="O238" s="22">
        <f t="shared" si="38"/>
        <v>9.3343720632540919</v>
      </c>
      <c r="P238" s="14">
        <f t="shared" si="39"/>
        <v>-2.1533341903023255</v>
      </c>
    </row>
    <row r="239" spans="1:16" x14ac:dyDescent="0.5">
      <c r="A239" s="23" t="str">
        <f>'raw data'!A887</f>
        <v>2020-04</v>
      </c>
      <c r="B239" s="32">
        <f>'raw data'!U887</f>
        <v>1558503.6</v>
      </c>
      <c r="C239" s="20">
        <f>'raw data'!V887</f>
        <v>804800.6</v>
      </c>
      <c r="D239" s="20">
        <f t="shared" si="30"/>
        <v>19377612</v>
      </c>
      <c r="E239" s="18">
        <f>'raw data'!AH887</f>
        <v>20182412.600000001</v>
      </c>
      <c r="F239" s="20">
        <f>'raw data'!AO887</f>
        <v>18140317.5</v>
      </c>
      <c r="G239" s="20">
        <f>'raw data'!AS887</f>
        <v>29446515.399999999</v>
      </c>
      <c r="H239" s="20">
        <f t="shared" si="31"/>
        <v>2042095.1000000015</v>
      </c>
      <c r="I239" s="20">
        <f t="shared" si="32"/>
        <v>-9264102.799999997</v>
      </c>
      <c r="J239" s="22">
        <f t="shared" si="33"/>
        <v>3.9876332723472312</v>
      </c>
      <c r="K239" s="22">
        <f t="shared" si="34"/>
        <v>24.077531751343127</v>
      </c>
      <c r="L239" s="22">
        <f t="shared" si="35"/>
        <v>25.07753175134313</v>
      </c>
      <c r="M239" s="22">
        <f t="shared" si="36"/>
        <v>22.540139135085138</v>
      </c>
      <c r="N239" s="30">
        <f t="shared" si="37"/>
        <v>1.1125721807239592</v>
      </c>
      <c r="O239" s="22">
        <f t="shared" si="38"/>
        <v>9.883189377419292</v>
      </c>
      <c r="P239" s="14">
        <f t="shared" si="39"/>
        <v>-2.1785609503383325</v>
      </c>
    </row>
    <row r="240" spans="1:16" x14ac:dyDescent="0.5">
      <c r="A240" s="23" t="str">
        <f>'raw data'!A888</f>
        <v>2020-05</v>
      </c>
      <c r="B240" s="32">
        <f>'raw data'!U888</f>
        <v>1523753.9</v>
      </c>
      <c r="C240" s="20">
        <f>'raw data'!V888</f>
        <v>772953.1</v>
      </c>
      <c r="D240" s="20">
        <f t="shared" si="30"/>
        <v>19620119.299999997</v>
      </c>
      <c r="E240" s="18">
        <f>'raw data'!AH888</f>
        <v>20393072.399999999</v>
      </c>
      <c r="F240" s="20">
        <f>'raw data'!AO888</f>
        <v>18412465.899999999</v>
      </c>
      <c r="G240" s="20">
        <f>'raw data'!AS888</f>
        <v>30633926.600000001</v>
      </c>
      <c r="H240" s="20">
        <f t="shared" si="31"/>
        <v>1980606.5</v>
      </c>
      <c r="I240" s="20">
        <f t="shared" si="32"/>
        <v>-10240854.200000003</v>
      </c>
      <c r="J240" s="22">
        <f t="shared" si="33"/>
        <v>3.7902729164046902</v>
      </c>
      <c r="K240" s="22">
        <f t="shared" si="34"/>
        <v>25.383324421624025</v>
      </c>
      <c r="L240" s="22">
        <f t="shared" si="35"/>
        <v>26.383324421624028</v>
      </c>
      <c r="M240" s="22">
        <f t="shared" si="36"/>
        <v>23.820935448735504</v>
      </c>
      <c r="N240" s="30">
        <f t="shared" si="37"/>
        <v>1.107568780344625</v>
      </c>
      <c r="O240" s="22">
        <f t="shared" si="38"/>
        <v>10.296377599487833</v>
      </c>
      <c r="P240" s="14">
        <f t="shared" si="39"/>
        <v>-1.9913448626189789</v>
      </c>
    </row>
    <row r="241" spans="1:16" x14ac:dyDescent="0.5">
      <c r="A241" s="23" t="str">
        <f>'raw data'!A889</f>
        <v>2020-06</v>
      </c>
      <c r="B241" s="32">
        <f>'raw data'!U889</f>
        <v>1515847.3</v>
      </c>
      <c r="C241" s="20">
        <f>'raw data'!V889</f>
        <v>762602.9</v>
      </c>
      <c r="D241" s="20">
        <f t="shared" si="30"/>
        <v>19532965.5</v>
      </c>
      <c r="E241" s="18">
        <f>'raw data'!AH889</f>
        <v>20295568.399999999</v>
      </c>
      <c r="F241" s="20">
        <f>'raw data'!AO889</f>
        <v>18312128.699999999</v>
      </c>
      <c r="G241" s="20">
        <f>'raw data'!AS889</f>
        <v>31073046.600000001</v>
      </c>
      <c r="H241" s="20">
        <f t="shared" si="31"/>
        <v>1983439.6999999993</v>
      </c>
      <c r="I241" s="20">
        <f t="shared" si="32"/>
        <v>-10777478.200000003</v>
      </c>
      <c r="J241" s="22">
        <f t="shared" si="33"/>
        <v>3.7574848113147699</v>
      </c>
      <c r="K241" s="22">
        <f t="shared" si="34"/>
        <v>25.613547365214583</v>
      </c>
      <c r="L241" s="22">
        <f t="shared" si="35"/>
        <v>26.613547365214579</v>
      </c>
      <c r="M241" s="22">
        <f t="shared" si="36"/>
        <v>24.012665962849077</v>
      </c>
      <c r="N241" s="30">
        <f t="shared" si="37"/>
        <v>1.1083128964684483</v>
      </c>
      <c r="O241" s="22">
        <f t="shared" si="38"/>
        <v>10.232510925338444</v>
      </c>
      <c r="P241" s="14">
        <f t="shared" si="39"/>
        <v>-1.8831463189598465</v>
      </c>
    </row>
    <row r="242" spans="1:16" x14ac:dyDescent="0.5">
      <c r="A242" s="23" t="str">
        <f>'raw data'!A890</f>
        <v>2020-07</v>
      </c>
      <c r="B242" s="32">
        <f>'raw data'!U890</f>
        <v>1516804.4</v>
      </c>
      <c r="C242" s="20">
        <f>'raw data'!V890</f>
        <v>758893</v>
      </c>
      <c r="D242" s="20">
        <f t="shared" si="30"/>
        <v>19337725.300000001</v>
      </c>
      <c r="E242" s="18">
        <f>'raw data'!AH890</f>
        <v>20096618.300000001</v>
      </c>
      <c r="F242" s="20">
        <f>'raw data'!AO890</f>
        <v>18170575.5</v>
      </c>
      <c r="G242" s="20">
        <f>'raw data'!AS890</f>
        <v>31117498.399999999</v>
      </c>
      <c r="H242" s="20">
        <f t="shared" si="31"/>
        <v>1926042.8000000007</v>
      </c>
      <c r="I242" s="20">
        <f t="shared" si="32"/>
        <v>-11020880.099999998</v>
      </c>
      <c r="J242" s="22">
        <f t="shared" si="33"/>
        <v>3.7762223906098664</v>
      </c>
      <c r="K242" s="22">
        <f t="shared" si="34"/>
        <v>25.481491198363933</v>
      </c>
      <c r="L242" s="22">
        <f t="shared" si="35"/>
        <v>26.481491198363933</v>
      </c>
      <c r="M242" s="22">
        <f t="shared" si="36"/>
        <v>23.943527611929483</v>
      </c>
      <c r="N242" s="30">
        <f t="shared" si="37"/>
        <v>1.105997897534946</v>
      </c>
      <c r="O242" s="22">
        <f t="shared" si="38"/>
        <v>10.434149386503764</v>
      </c>
      <c r="P242" s="14">
        <f t="shared" si="39"/>
        <v>-1.8235039413957517</v>
      </c>
    </row>
    <row r="243" spans="1:16" x14ac:dyDescent="0.5">
      <c r="A243" s="23" t="str">
        <f>'raw data'!A891</f>
        <v>2020-08</v>
      </c>
      <c r="B243" s="32">
        <f>'raw data'!U891</f>
        <v>1512617.3</v>
      </c>
      <c r="C243" s="20">
        <f>'raw data'!V891</f>
        <v>752910</v>
      </c>
      <c r="D243" s="20">
        <f t="shared" si="30"/>
        <v>19314889.300000001</v>
      </c>
      <c r="E243" s="18">
        <f>'raw data'!AH891</f>
        <v>20067799.300000001</v>
      </c>
      <c r="F243" s="20">
        <f>'raw data'!AO891</f>
        <v>18159448.100000001</v>
      </c>
      <c r="G243" s="20">
        <f>'raw data'!AS891</f>
        <v>31159583.300000001</v>
      </c>
      <c r="H243" s="20">
        <f t="shared" si="31"/>
        <v>1908351.1999999993</v>
      </c>
      <c r="I243" s="20">
        <f t="shared" si="32"/>
        <v>-11091784</v>
      </c>
      <c r="J243" s="22">
        <f t="shared" si="33"/>
        <v>3.7518314227908389</v>
      </c>
      <c r="K243" s="22">
        <f t="shared" si="34"/>
        <v>25.653649572990133</v>
      </c>
      <c r="L243" s="22">
        <f t="shared" si="35"/>
        <v>26.653649572990133</v>
      </c>
      <c r="M243" s="22">
        <f t="shared" si="36"/>
        <v>24.119015685805742</v>
      </c>
      <c r="N243" s="30">
        <f t="shared" si="37"/>
        <v>1.1050886122469767</v>
      </c>
      <c r="O243" s="22">
        <f t="shared" si="38"/>
        <v>10.515778909039389</v>
      </c>
      <c r="P243" s="14">
        <f t="shared" si="39"/>
        <v>-1.8092490171103224</v>
      </c>
    </row>
    <row r="244" spans="1:16" x14ac:dyDescent="0.5">
      <c r="A244" s="23" t="str">
        <f>'raw data'!A892</f>
        <v>2020-09</v>
      </c>
      <c r="B244" s="32">
        <f>'raw data'!U892</f>
        <v>1513634.8</v>
      </c>
      <c r="C244" s="20">
        <f>'raw data'!V892</f>
        <v>751037.1</v>
      </c>
      <c r="D244" s="20">
        <f t="shared" si="30"/>
        <v>19393041.299999997</v>
      </c>
      <c r="E244" s="18">
        <f>'raw data'!AH892</f>
        <v>20144078.399999999</v>
      </c>
      <c r="F244" s="20">
        <f>'raw data'!AO892</f>
        <v>18230852.600000001</v>
      </c>
      <c r="G244" s="20">
        <f>'raw data'!AS892</f>
        <v>31426415.700000003</v>
      </c>
      <c r="H244" s="20">
        <f t="shared" si="31"/>
        <v>1913225.799999997</v>
      </c>
      <c r="I244" s="20">
        <f t="shared" si="32"/>
        <v>-11282337.300000004</v>
      </c>
      <c r="J244" s="22">
        <f t="shared" si="33"/>
        <v>3.7283269310548359</v>
      </c>
      <c r="K244" s="22">
        <f t="shared" si="34"/>
        <v>25.821682177884419</v>
      </c>
      <c r="L244" s="22">
        <f t="shared" si="35"/>
        <v>26.821682177884419</v>
      </c>
      <c r="M244" s="22">
        <f t="shared" si="36"/>
        <v>24.274237051671619</v>
      </c>
      <c r="N244" s="30">
        <f t="shared" si="37"/>
        <v>1.1049443951952087</v>
      </c>
      <c r="O244" s="22">
        <f t="shared" si="38"/>
        <v>10.528855715828225</v>
      </c>
      <c r="P244" s="14">
        <f t="shared" si="39"/>
        <v>-1.7854525941180637</v>
      </c>
    </row>
    <row r="245" spans="1:16" x14ac:dyDescent="0.5">
      <c r="A245" s="23" t="str">
        <f>'raw data'!A893</f>
        <v>2020-10</v>
      </c>
      <c r="B245" s="32">
        <f>'raw data'!U893</f>
        <v>1513453.1</v>
      </c>
      <c r="C245" s="20">
        <f>'raw data'!V893</f>
        <v>748996.5</v>
      </c>
      <c r="D245" s="20">
        <f t="shared" si="30"/>
        <v>19447102.800000001</v>
      </c>
      <c r="E245" s="18">
        <f>'raw data'!AH893</f>
        <v>20196099.300000001</v>
      </c>
      <c r="F245" s="20">
        <f>'raw data'!AO893</f>
        <v>18272352.699999999</v>
      </c>
      <c r="G245" s="20">
        <f>'raw data'!AS893</f>
        <v>31612483.200000003</v>
      </c>
      <c r="H245" s="20">
        <f t="shared" si="31"/>
        <v>1923746.6000000015</v>
      </c>
      <c r="I245" s="20">
        <f t="shared" si="32"/>
        <v>-11416383.900000002</v>
      </c>
      <c r="J245" s="22">
        <f t="shared" si="33"/>
        <v>3.7086196144816932</v>
      </c>
      <c r="K245" s="22">
        <f t="shared" si="34"/>
        <v>25.964210513667286</v>
      </c>
      <c r="L245" s="22">
        <f t="shared" si="35"/>
        <v>26.964210513667286</v>
      </c>
      <c r="M245" s="22">
        <f t="shared" si="36"/>
        <v>24.395778484946192</v>
      </c>
      <c r="N245" s="30">
        <f t="shared" si="37"/>
        <v>1.1052818228492274</v>
      </c>
      <c r="O245" s="22">
        <f t="shared" si="38"/>
        <v>10.498315786497029</v>
      </c>
      <c r="P245" s="14">
        <f t="shared" si="39"/>
        <v>-1.7690452140454034</v>
      </c>
    </row>
    <row r="246" spans="1:16" x14ac:dyDescent="0.5">
      <c r="A246" s="23" t="str">
        <f>'raw data'!A894</f>
        <v>2020-11</v>
      </c>
      <c r="B246" s="32">
        <f>'raw data'!U894</f>
        <v>1514714.1</v>
      </c>
      <c r="C246" s="20">
        <f>'raw data'!V894</f>
        <v>747777.1</v>
      </c>
      <c r="D246" s="20">
        <f t="shared" si="30"/>
        <v>19564670.199999999</v>
      </c>
      <c r="E246" s="18">
        <f>'raw data'!AH894</f>
        <v>20312447.300000001</v>
      </c>
      <c r="F246" s="20">
        <f>'raw data'!AO894</f>
        <v>18403191.399999999</v>
      </c>
      <c r="G246" s="20">
        <f>'raw data'!AS894</f>
        <v>31928164.799999997</v>
      </c>
      <c r="H246" s="20">
        <f t="shared" si="31"/>
        <v>1909255.9000000022</v>
      </c>
      <c r="I246" s="20">
        <f t="shared" si="32"/>
        <v>-11615717.499999996</v>
      </c>
      <c r="J246" s="22">
        <f t="shared" si="33"/>
        <v>3.6813737357979508</v>
      </c>
      <c r="K246" s="22">
        <f t="shared" si="34"/>
        <v>26.163772867609879</v>
      </c>
      <c r="L246" s="22">
        <f t="shared" si="35"/>
        <v>27.163772867609882</v>
      </c>
      <c r="M246" s="22">
        <f t="shared" si="36"/>
        <v>24.610530865414304</v>
      </c>
      <c r="N246" s="30">
        <f t="shared" si="37"/>
        <v>1.1037459133310976</v>
      </c>
      <c r="O246" s="22">
        <f t="shared" si="38"/>
        <v>10.638933890422953</v>
      </c>
      <c r="P246" s="14">
        <f t="shared" si="39"/>
        <v>-1.7487036250666399</v>
      </c>
    </row>
    <row r="247" spans="1:16" x14ac:dyDescent="0.5">
      <c r="A247" s="23" t="str">
        <f>'raw data'!A895</f>
        <v>2020-12</v>
      </c>
      <c r="B247" s="32">
        <f>'raw data'!U895</f>
        <v>1520527.1</v>
      </c>
      <c r="C247" s="20">
        <f>'raw data'!V895</f>
        <v>748925.6</v>
      </c>
      <c r="D247" s="20">
        <f t="shared" si="30"/>
        <v>19773513.199999999</v>
      </c>
      <c r="E247" s="18">
        <f>'raw data'!AH895</f>
        <v>20522438.800000001</v>
      </c>
      <c r="F247" s="20">
        <f>'raw data'!AO895</f>
        <v>18545757.300000001</v>
      </c>
      <c r="G247" s="20">
        <f>'raw data'!AS895</f>
        <v>32219991.600000001</v>
      </c>
      <c r="H247" s="20">
        <f t="shared" si="31"/>
        <v>1976681.5</v>
      </c>
      <c r="I247" s="20">
        <f t="shared" si="32"/>
        <v>-11697552.800000001</v>
      </c>
      <c r="J247" s="22">
        <f t="shared" si="33"/>
        <v>3.6493011736987122</v>
      </c>
      <c r="K247" s="22">
        <f t="shared" si="34"/>
        <v>26.402506737651912</v>
      </c>
      <c r="L247" s="22">
        <f t="shared" si="35"/>
        <v>27.402506737651912</v>
      </c>
      <c r="M247" s="22">
        <f t="shared" si="36"/>
        <v>24.763150438441418</v>
      </c>
      <c r="N247" s="30">
        <f t="shared" si="37"/>
        <v>1.1065840271726191</v>
      </c>
      <c r="O247" s="22">
        <f t="shared" si="38"/>
        <v>10.382268868302759</v>
      </c>
      <c r="P247" s="14">
        <f t="shared" si="39"/>
        <v>-1.7544215573021393</v>
      </c>
    </row>
    <row r="248" spans="1:16" x14ac:dyDescent="0.5">
      <c r="A248" s="23" t="str">
        <f>'raw data'!A896</f>
        <v>2021-01</v>
      </c>
      <c r="B248" s="32">
        <f>'raw data'!U896</f>
        <v>1521507</v>
      </c>
      <c r="C248" s="20">
        <f>'raw data'!V896</f>
        <v>744898.8</v>
      </c>
      <c r="D248" s="20">
        <f t="shared" si="30"/>
        <v>19853045.699999999</v>
      </c>
      <c r="E248" s="18">
        <f>'raw data'!AH896</f>
        <v>20597944.5</v>
      </c>
      <c r="F248" s="20">
        <f>'raw data'!AO896</f>
        <v>18653064.399999999</v>
      </c>
      <c r="G248" s="20">
        <f>'raw data'!AS896</f>
        <v>32526873</v>
      </c>
      <c r="H248" s="20">
        <f t="shared" si="31"/>
        <v>1944880.1000000015</v>
      </c>
      <c r="I248" s="20">
        <f t="shared" si="32"/>
        <v>-11928928.5</v>
      </c>
      <c r="J248" s="22">
        <f t="shared" si="33"/>
        <v>3.6163744396922715</v>
      </c>
      <c r="K248" s="22">
        <f t="shared" si="34"/>
        <v>26.652003869518918</v>
      </c>
      <c r="L248" s="22">
        <f t="shared" si="35"/>
        <v>27.652003869518918</v>
      </c>
      <c r="M248" s="22">
        <f t="shared" si="36"/>
        <v>25.041071887885973</v>
      </c>
      <c r="N248" s="30">
        <f t="shared" si="37"/>
        <v>1.1042659832343689</v>
      </c>
      <c r="O248" s="22">
        <f t="shared" si="38"/>
        <v>10.590855703649796</v>
      </c>
      <c r="P248" s="14">
        <f t="shared" si="39"/>
        <v>-1.7267221024922732</v>
      </c>
    </row>
    <row r="249" spans="1:16" x14ac:dyDescent="0.5">
      <c r="A249" s="23" t="str">
        <f>'raw data'!A897</f>
        <v>2021-02</v>
      </c>
      <c r="B249" s="32">
        <f>'raw data'!U897</f>
        <v>1526866.5</v>
      </c>
      <c r="C249" s="20">
        <f>'raw data'!V897</f>
        <v>745524.9</v>
      </c>
      <c r="D249" s="20">
        <f t="shared" si="30"/>
        <v>20046032.600000001</v>
      </c>
      <c r="E249" s="18">
        <f>'raw data'!AH897</f>
        <v>20791557.5</v>
      </c>
      <c r="F249" s="20">
        <f>'raw data'!AO897</f>
        <v>18836994</v>
      </c>
      <c r="G249" s="20">
        <f>'raw data'!AS897</f>
        <v>32896965.600000001</v>
      </c>
      <c r="H249" s="20">
        <f t="shared" si="31"/>
        <v>1954563.5</v>
      </c>
      <c r="I249" s="20">
        <f t="shared" si="32"/>
        <v>-12105408.100000001</v>
      </c>
      <c r="J249" s="22">
        <f t="shared" si="33"/>
        <v>3.5857097285761301</v>
      </c>
      <c r="K249" s="22">
        <f t="shared" si="34"/>
        <v>26.888481659029768</v>
      </c>
      <c r="L249" s="22">
        <f t="shared" si="35"/>
        <v>27.888481659029765</v>
      </c>
      <c r="M249" s="22">
        <f t="shared" si="36"/>
        <v>25.266753665772931</v>
      </c>
      <c r="N249" s="30">
        <f t="shared" si="37"/>
        <v>1.103761964355884</v>
      </c>
      <c r="O249" s="22">
        <f t="shared" si="38"/>
        <v>10.637442835702192</v>
      </c>
      <c r="P249" s="14">
        <f t="shared" si="39"/>
        <v>-1.7175428806898296</v>
      </c>
    </row>
    <row r="250" spans="1:16" x14ac:dyDescent="0.5">
      <c r="A250" s="23" t="str">
        <f>'raw data'!A898</f>
        <v>2021-03</v>
      </c>
      <c r="B250" s="32">
        <f>'raw data'!U898</f>
        <v>1532904.2</v>
      </c>
      <c r="C250" s="20">
        <f>'raw data'!V898</f>
        <v>746706.1</v>
      </c>
      <c r="D250" s="20">
        <f t="shared" si="30"/>
        <v>20322966.299999997</v>
      </c>
      <c r="E250" s="18">
        <f>'raw data'!AH898</f>
        <v>21069672.399999999</v>
      </c>
      <c r="F250" s="20">
        <f>'raw data'!AO898</f>
        <v>19088160.899999999</v>
      </c>
      <c r="G250" s="20">
        <f>'raw data'!AS898</f>
        <v>33387714</v>
      </c>
      <c r="H250" s="20">
        <f t="shared" si="31"/>
        <v>1981511.5</v>
      </c>
      <c r="I250" s="20">
        <f t="shared" si="32"/>
        <v>-12318041.600000001</v>
      </c>
      <c r="J250" s="22">
        <f t="shared" si="33"/>
        <v>3.5439853350543791</v>
      </c>
      <c r="K250" s="22">
        <f t="shared" si="34"/>
        <v>27.216821049138339</v>
      </c>
      <c r="L250" s="22">
        <f t="shared" si="35"/>
        <v>28.216821049138343</v>
      </c>
      <c r="M250" s="22">
        <f t="shared" si="36"/>
        <v>25.563151151436955</v>
      </c>
      <c r="N250" s="30">
        <f t="shared" si="37"/>
        <v>1.1038084030400226</v>
      </c>
      <c r="O250" s="22">
        <f t="shared" si="38"/>
        <v>10.633131526110244</v>
      </c>
      <c r="P250" s="14">
        <f t="shared" si="39"/>
        <v>-1.7104725803166629</v>
      </c>
    </row>
    <row r="251" spans="1:16" x14ac:dyDescent="0.5">
      <c r="A251" s="23" t="str">
        <f>'raw data'!A899</f>
        <v>2021-04</v>
      </c>
      <c r="B251" s="32">
        <f>'raw data'!U899</f>
        <v>1538867.6</v>
      </c>
      <c r="C251" s="20">
        <f>'raw data'!V899</f>
        <v>745811.2</v>
      </c>
      <c r="D251" s="20">
        <f t="shared" si="30"/>
        <v>20669518.900000002</v>
      </c>
      <c r="E251" s="18">
        <f>'raw data'!AH899</f>
        <v>21415330.100000001</v>
      </c>
      <c r="F251" s="20">
        <f>'raw data'!AO899</f>
        <v>19369140.199999999</v>
      </c>
      <c r="G251" s="20">
        <f>'raw data'!AS899</f>
        <v>33835346.399999999</v>
      </c>
      <c r="H251" s="20">
        <f t="shared" si="31"/>
        <v>2046189.9000000022</v>
      </c>
      <c r="I251" s="20">
        <f t="shared" si="32"/>
        <v>-12420016.299999997</v>
      </c>
      <c r="J251" s="22">
        <f t="shared" si="33"/>
        <v>3.4826042676783202</v>
      </c>
      <c r="K251" s="22">
        <f t="shared" si="34"/>
        <v>27.714143874481913</v>
      </c>
      <c r="L251" s="22">
        <f t="shared" si="35"/>
        <v>28.714143874481909</v>
      </c>
      <c r="M251" s="22">
        <f t="shared" si="36"/>
        <v>25.970567618185406</v>
      </c>
      <c r="N251" s="30">
        <f t="shared" si="37"/>
        <v>1.1056417517180241</v>
      </c>
      <c r="O251" s="22">
        <f t="shared" si="38"/>
        <v>10.465954357413247</v>
      </c>
      <c r="P251" s="14">
        <f t="shared" si="39"/>
        <v>-1.7242594198527748</v>
      </c>
    </row>
    <row r="252" spans="1:16" x14ac:dyDescent="0.5">
      <c r="A252" s="23" t="str">
        <f>'raw data'!A900</f>
        <v>2021-05</v>
      </c>
      <c r="B252" s="32">
        <f>'raw data'!U900</f>
        <v>1553253.2</v>
      </c>
      <c r="C252" s="20">
        <f>'raw data'!V900</f>
        <v>750806.4</v>
      </c>
      <c r="D252" s="20">
        <f t="shared" si="30"/>
        <v>20758331.300000001</v>
      </c>
      <c r="E252" s="18">
        <f>'raw data'!AH900</f>
        <v>21509137.699999999</v>
      </c>
      <c r="F252" s="20">
        <f>'raw data'!AO900</f>
        <v>19519981.300000001</v>
      </c>
      <c r="G252" s="20">
        <f>'raw data'!AS900</f>
        <v>34183667.399999999</v>
      </c>
      <c r="H252" s="20">
        <f t="shared" si="31"/>
        <v>1989156.3999999985</v>
      </c>
      <c r="I252" s="20">
        <f t="shared" si="32"/>
        <v>-12674529.699999999</v>
      </c>
      <c r="J252" s="22">
        <f t="shared" si="33"/>
        <v>3.4906392365510777</v>
      </c>
      <c r="K252" s="22">
        <f t="shared" si="34"/>
        <v>27.648047885580091</v>
      </c>
      <c r="L252" s="22">
        <f t="shared" si="35"/>
        <v>28.648047885580088</v>
      </c>
      <c r="M252" s="22">
        <f t="shared" si="36"/>
        <v>25.998687944055884</v>
      </c>
      <c r="N252" s="30">
        <f t="shared" si="37"/>
        <v>1.1019036017211759</v>
      </c>
      <c r="O252" s="22">
        <f t="shared" si="38"/>
        <v>10.813195835179183</v>
      </c>
      <c r="P252" s="14">
        <f t="shared" si="39"/>
        <v>-1.6970363563075639</v>
      </c>
    </row>
    <row r="253" spans="1:16" x14ac:dyDescent="0.5">
      <c r="A253" s="23" t="str">
        <f>'raw data'!A901</f>
        <v>2021-06</v>
      </c>
      <c r="B253" s="32">
        <f>'raw data'!U901</f>
        <v>1566534.6</v>
      </c>
      <c r="C253" s="20">
        <f>'raw data'!V901</f>
        <v>756575.6</v>
      </c>
      <c r="D253" s="20">
        <f t="shared" si="30"/>
        <v>20835640.599999998</v>
      </c>
      <c r="E253" s="18">
        <f>'raw data'!AH901</f>
        <v>21592216.199999999</v>
      </c>
      <c r="F253" s="20">
        <f>'raw data'!AO901</f>
        <v>19564733.600000001</v>
      </c>
      <c r="G253" s="20">
        <f>'raw data'!AS901</f>
        <v>34274605</v>
      </c>
      <c r="H253" s="20">
        <f t="shared" si="31"/>
        <v>2027482.5999999978</v>
      </c>
      <c r="I253" s="20">
        <f t="shared" si="32"/>
        <v>-12682388.800000001</v>
      </c>
      <c r="J253" s="22">
        <f t="shared" si="33"/>
        <v>3.5039274940198122</v>
      </c>
      <c r="K253" s="22">
        <f t="shared" si="34"/>
        <v>27.539403332594915</v>
      </c>
      <c r="L253" s="22">
        <f t="shared" si="35"/>
        <v>28.539403332594919</v>
      </c>
      <c r="M253" s="22">
        <f t="shared" si="36"/>
        <v>25.859588387465841</v>
      </c>
      <c r="N253" s="30">
        <f t="shared" si="37"/>
        <v>1.1036294509013911</v>
      </c>
      <c r="O253" s="22">
        <f t="shared" si="38"/>
        <v>10.649766464087053</v>
      </c>
      <c r="P253" s="14">
        <f t="shared" si="39"/>
        <v>-1.7025354245566102</v>
      </c>
    </row>
    <row r="254" spans="1:16" x14ac:dyDescent="0.5">
      <c r="A254" s="23" t="str">
        <f>'raw data'!A902</f>
        <v>2021-07</v>
      </c>
      <c r="B254" s="32">
        <f>'raw data'!U902</f>
        <v>1579282.6</v>
      </c>
      <c r="C254" s="20">
        <f>'raw data'!V902</f>
        <v>762522.8</v>
      </c>
      <c r="D254" s="20">
        <f t="shared" si="30"/>
        <v>21040703.5</v>
      </c>
      <c r="E254" s="18">
        <f>'raw data'!AH902</f>
        <v>21803226.300000001</v>
      </c>
      <c r="F254" s="20">
        <f>'raw data'!AO902</f>
        <v>19741019.5</v>
      </c>
      <c r="G254" s="20">
        <f>'raw data'!AS902</f>
        <v>34506721.399999999</v>
      </c>
      <c r="H254" s="20">
        <f t="shared" si="31"/>
        <v>2062206.8000000007</v>
      </c>
      <c r="I254" s="20">
        <f t="shared" si="32"/>
        <v>-12703495.099999998</v>
      </c>
      <c r="J254" s="22">
        <f t="shared" si="33"/>
        <v>3.4972934257899255</v>
      </c>
      <c r="K254" s="22">
        <f t="shared" si="34"/>
        <v>27.593540153815727</v>
      </c>
      <c r="L254" s="22">
        <f t="shared" si="35"/>
        <v>28.593540153815727</v>
      </c>
      <c r="M254" s="22">
        <f t="shared" si="36"/>
        <v>25.889087513186489</v>
      </c>
      <c r="N254" s="30">
        <f t="shared" si="37"/>
        <v>1.1044630344445989</v>
      </c>
      <c r="O254" s="22">
        <f t="shared" si="38"/>
        <v>10.572764234896322</v>
      </c>
      <c r="P254" s="14">
        <f t="shared" si="39"/>
        <v>-1.7163171338571228</v>
      </c>
    </row>
    <row r="255" spans="1:16" x14ac:dyDescent="0.5">
      <c r="A255" s="23" t="str">
        <f>'raw data'!A903</f>
        <v>2021-08</v>
      </c>
      <c r="B255" s="32">
        <f>'raw data'!U903</f>
        <v>1591805.6</v>
      </c>
      <c r="C255" s="20">
        <f>'raw data'!V903</f>
        <v>768405.8</v>
      </c>
      <c r="D255" s="20">
        <f t="shared" si="30"/>
        <v>21244173</v>
      </c>
      <c r="E255" s="18">
        <f>'raw data'!AH903</f>
        <v>22012578.800000001</v>
      </c>
      <c r="F255" s="20">
        <f>'raw data'!AO903</f>
        <v>19985048.899999999</v>
      </c>
      <c r="G255" s="20">
        <f>'raw data'!AS903</f>
        <v>34886427.600000001</v>
      </c>
      <c r="H255" s="20">
        <f t="shared" si="31"/>
        <v>2027529.9000000022</v>
      </c>
      <c r="I255" s="20">
        <f t="shared" si="32"/>
        <v>-12873848.800000001</v>
      </c>
      <c r="J255" s="22">
        <f t="shared" si="33"/>
        <v>3.4907577480199641</v>
      </c>
      <c r="K255" s="22">
        <f t="shared" si="34"/>
        <v>27.647075282357314</v>
      </c>
      <c r="L255" s="22">
        <f t="shared" si="35"/>
        <v>28.647075282357317</v>
      </c>
      <c r="M255" s="22">
        <f t="shared" si="36"/>
        <v>26.00845659936455</v>
      </c>
      <c r="N255" s="30">
        <f t="shared" si="37"/>
        <v>1.101452336201189</v>
      </c>
      <c r="O255" s="22">
        <f t="shared" si="38"/>
        <v>10.856845465016312</v>
      </c>
      <c r="P255" s="14">
        <f t="shared" si="39"/>
        <v>-1.7098677436696319</v>
      </c>
    </row>
    <row r="256" spans="1:16" x14ac:dyDescent="0.5">
      <c r="A256" s="23" t="str">
        <f>'raw data'!A904</f>
        <v>2021-09</v>
      </c>
      <c r="B256" s="32">
        <f>'raw data'!U904</f>
        <v>1600650.2</v>
      </c>
      <c r="C256" s="20">
        <f>'raw data'!V904</f>
        <v>772218.1</v>
      </c>
      <c r="D256" s="20">
        <f t="shared" si="30"/>
        <v>21424251.199999999</v>
      </c>
      <c r="E256" s="18">
        <f>'raw data'!AH904</f>
        <v>22196469.300000001</v>
      </c>
      <c r="F256" s="20">
        <f>'raw data'!AO904</f>
        <v>20174171.199999999</v>
      </c>
      <c r="G256" s="20">
        <f>'raw data'!AS904</f>
        <v>35128831.799999997</v>
      </c>
      <c r="H256" s="20">
        <f t="shared" si="31"/>
        <v>2022298.1000000015</v>
      </c>
      <c r="I256" s="20">
        <f t="shared" si="32"/>
        <v>-12932362.499999996</v>
      </c>
      <c r="J256" s="22">
        <f t="shared" si="33"/>
        <v>3.4790132140520202</v>
      </c>
      <c r="K256" s="22">
        <f t="shared" si="34"/>
        <v>27.743782747387041</v>
      </c>
      <c r="L256" s="22">
        <f t="shared" si="35"/>
        <v>28.743782747387041</v>
      </c>
      <c r="M256" s="22">
        <f t="shared" si="36"/>
        <v>26.124965472837271</v>
      </c>
      <c r="N256" s="30">
        <f t="shared" si="37"/>
        <v>1.1002419420332867</v>
      </c>
      <c r="O256" s="22">
        <f t="shared" si="38"/>
        <v>10.975864191337561</v>
      </c>
      <c r="P256" s="14">
        <f t="shared" si="39"/>
        <v>-1.7163506899841392</v>
      </c>
    </row>
    <row r="257" spans="1:16" x14ac:dyDescent="0.5">
      <c r="A257" s="23" t="str">
        <f>'raw data'!A905</f>
        <v>2021-10</v>
      </c>
      <c r="B257" s="32">
        <f>'raw data'!U905</f>
        <v>1613177.9</v>
      </c>
      <c r="C257" s="20">
        <f>'raw data'!V905</f>
        <v>778969.4</v>
      </c>
      <c r="D257" s="20">
        <f t="shared" si="30"/>
        <v>21612249.200000003</v>
      </c>
      <c r="E257" s="18">
        <f>'raw data'!AH905</f>
        <v>22391218.600000001</v>
      </c>
      <c r="F257" s="20">
        <f>'raw data'!AO905</f>
        <v>20352227.199999999</v>
      </c>
      <c r="G257" s="20">
        <f>'raw data'!AS905</f>
        <v>35359844.100000001</v>
      </c>
      <c r="H257" s="20">
        <f t="shared" si="31"/>
        <v>2038991.4000000022</v>
      </c>
      <c r="I257" s="20">
        <f t="shared" si="32"/>
        <v>-12968625.5</v>
      </c>
      <c r="J257" s="22">
        <f t="shared" si="33"/>
        <v>3.478905788539798</v>
      </c>
      <c r="K257" s="22">
        <f t="shared" si="34"/>
        <v>27.744670329797298</v>
      </c>
      <c r="L257" s="22">
        <f t="shared" si="35"/>
        <v>28.744670329797295</v>
      </c>
      <c r="M257" s="22">
        <f t="shared" si="36"/>
        <v>26.127120269422647</v>
      </c>
      <c r="N257" s="30">
        <f t="shared" si="37"/>
        <v>1.1001851728542025</v>
      </c>
      <c r="O257" s="22">
        <f t="shared" si="38"/>
        <v>10.981516940189143</v>
      </c>
      <c r="P257" s="14">
        <f t="shared" si="39"/>
        <v>-1.7265683707190096</v>
      </c>
    </row>
    <row r="258" spans="1:16" x14ac:dyDescent="0.5">
      <c r="A258" s="23" t="str">
        <f>'raw data'!A906</f>
        <v>2021-11</v>
      </c>
      <c r="B258" s="32">
        <f>'raw data'!U906</f>
        <v>1629257.8</v>
      </c>
      <c r="C258" s="20">
        <f>'raw data'!V906</f>
        <v>788971.8</v>
      </c>
      <c r="D258" s="20">
        <f t="shared" si="30"/>
        <v>21812111</v>
      </c>
      <c r="E258" s="18">
        <f>'raw data'!AH906</f>
        <v>22601082.800000001</v>
      </c>
      <c r="F258" s="20">
        <f>'raw data'!AO906</f>
        <v>20611029.899999999</v>
      </c>
      <c r="G258" s="20">
        <f>'raw data'!AS906</f>
        <v>35719484.699999996</v>
      </c>
      <c r="H258" s="20">
        <f t="shared" si="31"/>
        <v>1990052.9000000022</v>
      </c>
      <c r="I258" s="20">
        <f t="shared" si="32"/>
        <v>-13118401.899999995</v>
      </c>
      <c r="J258" s="22">
        <f t="shared" si="33"/>
        <v>3.4908584114385883</v>
      </c>
      <c r="K258" s="22">
        <f t="shared" si="34"/>
        <v>27.64624920687913</v>
      </c>
      <c r="L258" s="22">
        <f t="shared" si="35"/>
        <v>28.64624920687913</v>
      </c>
      <c r="M258" s="22">
        <f t="shared" si="36"/>
        <v>26.123912033357843</v>
      </c>
      <c r="N258" s="30">
        <f t="shared" si="37"/>
        <v>1.0965528122396253</v>
      </c>
      <c r="O258" s="22">
        <f t="shared" si="38"/>
        <v>11.357026137345382</v>
      </c>
      <c r="P258" s="14">
        <f t="shared" si="39"/>
        <v>-1.7228533606673546</v>
      </c>
    </row>
    <row r="259" spans="1:16" x14ac:dyDescent="0.5">
      <c r="A259" s="23" t="str">
        <f>'raw data'!A907</f>
        <v>2021-12</v>
      </c>
      <c r="B259" s="32">
        <f>'raw data'!U907</f>
        <v>1645814.8</v>
      </c>
      <c r="C259" s="20">
        <f>'raw data'!V907</f>
        <v>798605.4</v>
      </c>
      <c r="D259" s="20">
        <f t="shared" ref="D259:D261" si="40">E259-C259</f>
        <v>21948824.900000002</v>
      </c>
      <c r="E259" s="18">
        <f>'raw data'!AH907</f>
        <v>22747430.300000001</v>
      </c>
      <c r="F259" s="20">
        <f>'raw data'!AO907</f>
        <v>20715547.300000001</v>
      </c>
      <c r="G259" s="20">
        <f>'raw data'!AS907</f>
        <v>35991930</v>
      </c>
      <c r="H259" s="20">
        <f t="shared" ref="H259:H261" si="41">E259-F259</f>
        <v>2031883</v>
      </c>
      <c r="I259" s="20">
        <f t="shared" ref="I259:I261" si="42">E259-G259</f>
        <v>-13244499.699999999</v>
      </c>
      <c r="J259" s="22">
        <f t="shared" ref="J259:J261" si="43">C259/E259*100</f>
        <v>3.5107499593041944</v>
      </c>
      <c r="K259" s="22">
        <f t="shared" ref="K259:K261" si="44">D259/C259</f>
        <v>27.483942507776685</v>
      </c>
      <c r="L259" s="22">
        <f t="shared" ref="L259:L261" si="45">E259/C259</f>
        <v>28.483942507776682</v>
      </c>
      <c r="M259" s="22">
        <f t="shared" ref="M259:M261" si="46">F259/C259</f>
        <v>25.939653425834585</v>
      </c>
      <c r="N259" s="30">
        <f t="shared" ref="N259:N261" si="47">E259/F259</f>
        <v>1.0980849296701902</v>
      </c>
      <c r="O259" s="22">
        <f t="shared" ref="O259:O261" si="48">E259/H259</f>
        <v>11.195246133758687</v>
      </c>
      <c r="P259" s="14">
        <f t="shared" ref="P259:P261" si="49">E259/I259</f>
        <v>-1.717500155932655</v>
      </c>
    </row>
    <row r="260" spans="1:16" x14ac:dyDescent="0.5">
      <c r="A260" s="23" t="str">
        <f>'raw data'!A908</f>
        <v>2022-01</v>
      </c>
      <c r="B260" s="32">
        <f>'raw data'!U908</f>
        <v>1660589.3</v>
      </c>
      <c r="C260" s="20">
        <f>'raw data'!V908</f>
        <v>808673.7</v>
      </c>
      <c r="D260" s="20">
        <f t="shared" si="40"/>
        <v>21876229</v>
      </c>
      <c r="E260" s="18">
        <f>'raw data'!AH908</f>
        <v>22684902.699999999</v>
      </c>
      <c r="F260" s="20">
        <f>'raw data'!AO908</f>
        <v>20696563</v>
      </c>
      <c r="G260" s="20">
        <f>'raw data'!AS908</f>
        <v>36140406.700000003</v>
      </c>
      <c r="H260" s="20">
        <f t="shared" si="41"/>
        <v>1988339.6999999993</v>
      </c>
      <c r="I260" s="20">
        <f t="shared" si="42"/>
        <v>-13455504.000000004</v>
      </c>
      <c r="J260" s="22">
        <f t="shared" si="43"/>
        <v>3.5648100884294291</v>
      </c>
      <c r="K260" s="22">
        <f t="shared" si="44"/>
        <v>27.05198524448118</v>
      </c>
      <c r="L260" s="22">
        <f t="shared" si="45"/>
        <v>28.05198524448118</v>
      </c>
      <c r="M260" s="22">
        <f t="shared" si="46"/>
        <v>25.593218871839163</v>
      </c>
      <c r="N260" s="30">
        <f t="shared" si="47"/>
        <v>1.0960710094714761</v>
      </c>
      <c r="O260" s="22">
        <f t="shared" si="48"/>
        <v>11.408967340942802</v>
      </c>
      <c r="P260" s="14">
        <f t="shared" si="49"/>
        <v>-1.6859199551350876</v>
      </c>
    </row>
    <row r="261" spans="1:16" x14ac:dyDescent="0.5">
      <c r="A261" s="23" t="str">
        <f>'raw data'!A909</f>
        <v>2022-02</v>
      </c>
      <c r="B261" s="32">
        <f>'raw data'!U909</f>
        <v>1680648.9</v>
      </c>
      <c r="C261" s="20">
        <f>'raw data'!V909</f>
        <v>820644.5</v>
      </c>
      <c r="D261" s="20">
        <f t="shared" si="40"/>
        <v>21842259</v>
      </c>
      <c r="E261" s="18">
        <f>'raw data'!AH909</f>
        <v>22662903.5</v>
      </c>
      <c r="F261" s="20">
        <f>'raw data'!AO909</f>
        <v>20681666.5</v>
      </c>
      <c r="G261" s="20">
        <f>'raw data'!AS909</f>
        <v>36246796.399999999</v>
      </c>
      <c r="H261" s="20">
        <f t="shared" si="41"/>
        <v>1981237</v>
      </c>
      <c r="I261" s="20">
        <f t="shared" si="42"/>
        <v>-13583892.899999999</v>
      </c>
      <c r="J261" s="22">
        <f t="shared" si="43"/>
        <v>3.6210916222627869</v>
      </c>
      <c r="K261" s="22">
        <f t="shared" si="44"/>
        <v>26.61598170706073</v>
      </c>
      <c r="L261" s="22">
        <f t="shared" si="45"/>
        <v>27.61598170706073</v>
      </c>
      <c r="M261" s="22">
        <f t="shared" si="46"/>
        <v>25.201736561933945</v>
      </c>
      <c r="N261" s="30">
        <f t="shared" si="47"/>
        <v>1.0957967773051558</v>
      </c>
      <c r="O261" s="22">
        <f t="shared" si="48"/>
        <v>11.438764519338172</v>
      </c>
      <c r="P261" s="14">
        <f t="shared" si="49"/>
        <v>-1.668365885010769</v>
      </c>
    </row>
  </sheetData>
  <phoneticPr fontId="2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134F-883E-472F-BCA6-293BD1439B2D}">
  <dimension ref="A1:T261"/>
  <sheetViews>
    <sheetView tabSelected="1" zoomScale="80" zoomScaleNormal="80" workbookViewId="0">
      <pane xSplit="1" ySplit="1" topLeftCell="B23" activePane="bottomRight" state="frozen"/>
      <selection pane="topRight" activeCell="B1" sqref="B1"/>
      <selection pane="bottomLeft" activeCell="A2" sqref="A2"/>
      <selection pane="bottomRight" activeCell="T45" sqref="T45"/>
    </sheetView>
  </sheetViews>
  <sheetFormatPr defaultColWidth="9.1171875" defaultRowHeight="15.35" x14ac:dyDescent="0.5"/>
  <cols>
    <col min="1" max="1" width="17.87890625" style="23" customWidth="1"/>
    <col min="2" max="2" width="17.87890625" style="33" customWidth="1"/>
    <col min="3" max="4" width="17.87890625" style="21" customWidth="1"/>
    <col min="5" max="6" width="17.87890625" style="17" customWidth="1"/>
    <col min="7" max="8" width="17.87890625" style="21" hidden="1" customWidth="1"/>
    <col min="9" max="11" width="17.87890625" style="21" customWidth="1"/>
    <col min="12" max="15" width="17.87890625" style="21" hidden="1" customWidth="1"/>
    <col min="16" max="17" width="17.87890625" style="21" customWidth="1"/>
    <col min="18" max="18" width="9.64453125" style="14" bestFit="1" customWidth="1"/>
    <col min="19" max="19" width="12.87890625" style="14" bestFit="1" customWidth="1"/>
    <col min="20" max="20" width="13.52734375" style="14" bestFit="1" customWidth="1"/>
    <col min="21" max="16384" width="9.1171875" style="14"/>
  </cols>
  <sheetData>
    <row r="1" spans="1:17" s="15" customFormat="1" ht="15" x14ac:dyDescent="0.45">
      <c r="A1" s="16" t="s">
        <v>1041</v>
      </c>
      <c r="B1" s="16" t="s">
        <v>1060</v>
      </c>
      <c r="C1" s="19" t="s">
        <v>1059</v>
      </c>
      <c r="D1" s="19" t="s">
        <v>1045</v>
      </c>
      <c r="E1" s="16" t="s">
        <v>1043</v>
      </c>
      <c r="F1" s="16" t="s">
        <v>1061</v>
      </c>
      <c r="G1" s="19" t="s">
        <v>1044</v>
      </c>
      <c r="H1" s="19" t="s">
        <v>1049</v>
      </c>
      <c r="I1" s="19" t="s">
        <v>1062</v>
      </c>
      <c r="J1" s="19" t="s">
        <v>1064</v>
      </c>
      <c r="K1" s="19" t="s">
        <v>1055</v>
      </c>
      <c r="L1" s="19" t="s">
        <v>1046</v>
      </c>
      <c r="M1" s="19" t="s">
        <v>1048</v>
      </c>
      <c r="N1" s="19" t="s">
        <v>1047</v>
      </c>
      <c r="O1" s="19" t="s">
        <v>1051</v>
      </c>
      <c r="P1" s="19" t="s">
        <v>1063</v>
      </c>
      <c r="Q1" s="19" t="s">
        <v>1050</v>
      </c>
    </row>
    <row r="2" spans="1:17" x14ac:dyDescent="0.5">
      <c r="A2" s="23" t="str">
        <f>'raw data'!A650</f>
        <v>2000-07</v>
      </c>
      <c r="B2" s="32">
        <f>'raw data'!U650</f>
        <v>531142</v>
      </c>
      <c r="C2" s="20">
        <f>'raw data'!V650</f>
        <v>211897.8</v>
      </c>
      <c r="D2" s="20">
        <f>E2-C2</f>
        <v>5693184</v>
      </c>
      <c r="E2" s="18">
        <f>'raw data'!AH650</f>
        <v>5905081.7999999998</v>
      </c>
      <c r="F2" s="18">
        <f>SUM('raw data'!AI650:AK650)</f>
        <v>4521704.5</v>
      </c>
      <c r="G2" s="20">
        <f>'raw data'!AO650</f>
        <v>5678886</v>
      </c>
      <c r="H2" s="20">
        <f>E2-G2</f>
        <v>226195.79999999981</v>
      </c>
      <c r="I2" s="20">
        <f>E2-F2</f>
        <v>1383377.2999999998</v>
      </c>
      <c r="J2" s="30">
        <f>F2/C2</f>
        <v>21.339081859273669</v>
      </c>
      <c r="K2" s="30">
        <f t="shared" ref="K2:K65" si="0">C2/E2</f>
        <v>3.5883973698721663E-2</v>
      </c>
      <c r="L2" s="30">
        <f>D2/C2</f>
        <v>26.867593717348647</v>
      </c>
      <c r="M2" s="30">
        <f>E2/C2</f>
        <v>27.867593717348647</v>
      </c>
      <c r="N2" s="30">
        <f>G2/C2</f>
        <v>26.800117792633998</v>
      </c>
      <c r="O2" s="30">
        <f>E2/G2</f>
        <v>1.0398310161535202</v>
      </c>
      <c r="P2" s="30">
        <f>E2/F2</f>
        <v>1.3059415536773797</v>
      </c>
      <c r="Q2" s="30">
        <f>E2/I2</f>
        <v>4.2685981619042037</v>
      </c>
    </row>
    <row r="3" spans="1:17" x14ac:dyDescent="0.5">
      <c r="A3" s="23" t="str">
        <f>'raw data'!A651</f>
        <v>2000-08</v>
      </c>
      <c r="B3" s="32">
        <f>'raw data'!U651</f>
        <v>538855.4</v>
      </c>
      <c r="C3" s="20">
        <f>'raw data'!V651</f>
        <v>217854</v>
      </c>
      <c r="D3" s="20">
        <f t="shared" ref="D3:D66" si="1">E3-C3</f>
        <v>5716299.2000000002</v>
      </c>
      <c r="E3" s="18">
        <f>'raw data'!AH651</f>
        <v>5934153.2000000002</v>
      </c>
      <c r="F3" s="18">
        <f>SUM('raw data'!AI651:AK651)</f>
        <v>4564306.7</v>
      </c>
      <c r="G3" s="20">
        <f>'raw data'!AO651</f>
        <v>5714051.0999999996</v>
      </c>
      <c r="H3" s="20">
        <f t="shared" ref="H3:H66" si="2">E3-G3</f>
        <v>220102.10000000056</v>
      </c>
      <c r="I3" s="20">
        <f t="shared" ref="I3:I66" si="3">E3-F3</f>
        <v>1369846.5</v>
      </c>
      <c r="J3" s="30">
        <f t="shared" ref="J3:J66" si="4">F3/C3</f>
        <v>20.95121824708291</v>
      </c>
      <c r="K3" s="30">
        <f t="shared" si="0"/>
        <v>3.6711893450947643E-2</v>
      </c>
      <c r="L3" s="30">
        <f t="shared" ref="L3:L66" si="5">D3/C3</f>
        <v>26.239128957925953</v>
      </c>
      <c r="M3" s="30">
        <f t="shared" ref="M3:M66" si="6">E3/C3</f>
        <v>27.239128957925953</v>
      </c>
      <c r="N3" s="30">
        <f t="shared" ref="N3:N66" si="7">G3/C3</f>
        <v>26.228809661516426</v>
      </c>
      <c r="O3" s="30">
        <f t="shared" ref="O3:O66" si="8">E3/G3</f>
        <v>1.038519449012278</v>
      </c>
      <c r="P3" s="30">
        <f t="shared" ref="P3:P66" si="9">E3/F3</f>
        <v>1.3001214839484823</v>
      </c>
      <c r="Q3" s="30">
        <f t="shared" ref="Q3:Q66" si="10">E3/I3</f>
        <v>4.3319840580678202</v>
      </c>
    </row>
    <row r="4" spans="1:17" x14ac:dyDescent="0.5">
      <c r="A4" s="23" t="str">
        <f>'raw data'!A652</f>
        <v>2000-09</v>
      </c>
      <c r="B4" s="32">
        <f>'raw data'!U652</f>
        <v>543717.1</v>
      </c>
      <c r="C4" s="20">
        <f>'raw data'!V652</f>
        <v>222410.9</v>
      </c>
      <c r="D4" s="20">
        <f t="shared" si="1"/>
        <v>5751305.5999999996</v>
      </c>
      <c r="E4" s="18">
        <f>'raw data'!AH652</f>
        <v>5973716.5</v>
      </c>
      <c r="F4" s="18">
        <f>SUM('raw data'!AI652:AK652)</f>
        <v>4578304.4000000004</v>
      </c>
      <c r="G4" s="20">
        <f>'raw data'!AO652</f>
        <v>5736376.5999999996</v>
      </c>
      <c r="H4" s="20">
        <f t="shared" si="2"/>
        <v>237339.90000000037</v>
      </c>
      <c r="I4" s="20">
        <f t="shared" si="3"/>
        <v>1395412.0999999996</v>
      </c>
      <c r="J4" s="30">
        <f t="shared" si="4"/>
        <v>20.584892197279903</v>
      </c>
      <c r="K4" s="30">
        <f t="shared" si="0"/>
        <v>3.7231579369392573E-2</v>
      </c>
      <c r="L4" s="30">
        <f t="shared" si="5"/>
        <v>25.858919684242093</v>
      </c>
      <c r="M4" s="30">
        <f t="shared" si="6"/>
        <v>26.858919684242096</v>
      </c>
      <c r="N4" s="30">
        <f t="shared" si="7"/>
        <v>25.791796175457225</v>
      </c>
      <c r="O4" s="30">
        <f t="shared" si="8"/>
        <v>1.0413745324879822</v>
      </c>
      <c r="P4" s="30">
        <f t="shared" si="9"/>
        <v>1.3047879691005253</v>
      </c>
      <c r="Q4" s="30">
        <f t="shared" si="10"/>
        <v>4.2809693996490363</v>
      </c>
    </row>
    <row r="5" spans="1:17" x14ac:dyDescent="0.5">
      <c r="A5" s="23" t="str">
        <f>'raw data'!A653</f>
        <v>2000-10</v>
      </c>
      <c r="B5" s="32">
        <f>'raw data'!U653</f>
        <v>544271.9</v>
      </c>
      <c r="C5" s="20">
        <f>'raw data'!V653</f>
        <v>220752.4</v>
      </c>
      <c r="D5" s="20">
        <f t="shared" si="1"/>
        <v>5770217.5</v>
      </c>
      <c r="E5" s="18">
        <f>'raw data'!AH653</f>
        <v>5990969.9000000004</v>
      </c>
      <c r="F5" s="18">
        <f>SUM('raw data'!AI653:AK653)</f>
        <v>4585167.3</v>
      </c>
      <c r="G5" s="20">
        <f>'raw data'!AO653</f>
        <v>5730192.0999999996</v>
      </c>
      <c r="H5" s="20">
        <f t="shared" si="2"/>
        <v>260777.80000000075</v>
      </c>
      <c r="I5" s="20">
        <f t="shared" si="3"/>
        <v>1405802.6000000006</v>
      </c>
      <c r="J5" s="30">
        <f t="shared" si="4"/>
        <v>20.770633977252341</v>
      </c>
      <c r="K5" s="30">
        <f t="shared" si="0"/>
        <v>3.6847522802609972E-2</v>
      </c>
      <c r="L5" s="30">
        <f t="shared" si="5"/>
        <v>26.138866440410162</v>
      </c>
      <c r="M5" s="30">
        <f t="shared" si="6"/>
        <v>27.138866440410162</v>
      </c>
      <c r="N5" s="30">
        <f t="shared" si="7"/>
        <v>25.957552896367151</v>
      </c>
      <c r="O5" s="30">
        <f t="shared" si="8"/>
        <v>1.0455094341427054</v>
      </c>
      <c r="P5" s="30">
        <f t="shared" si="9"/>
        <v>1.3065978857521732</v>
      </c>
      <c r="Q5" s="30">
        <f t="shared" si="10"/>
        <v>4.2616010953458172</v>
      </c>
    </row>
    <row r="6" spans="1:17" x14ac:dyDescent="0.5">
      <c r="A6" s="23" t="str">
        <f>'raw data'!A654</f>
        <v>2000-11</v>
      </c>
      <c r="B6" s="32">
        <f>'raw data'!U654</f>
        <v>548263.80000000005</v>
      </c>
      <c r="C6" s="20">
        <f>'raw data'!V654</f>
        <v>222338.7</v>
      </c>
      <c r="D6" s="20">
        <f t="shared" si="1"/>
        <v>5768300.5999999996</v>
      </c>
      <c r="E6" s="18">
        <f>'raw data'!AH654</f>
        <v>5990639.2999999998</v>
      </c>
      <c r="F6" s="18">
        <f>SUM('raw data'!AI654:AK654)</f>
        <v>4576630.5</v>
      </c>
      <c r="G6" s="20">
        <f>'raw data'!AO654</f>
        <v>5716039.2000000002</v>
      </c>
      <c r="H6" s="20">
        <f t="shared" si="2"/>
        <v>274600.09999999963</v>
      </c>
      <c r="I6" s="20">
        <f t="shared" si="3"/>
        <v>1414008.7999999998</v>
      </c>
      <c r="J6" s="30">
        <f t="shared" si="4"/>
        <v>20.584048121177283</v>
      </c>
      <c r="K6" s="30">
        <f t="shared" si="0"/>
        <v>3.711435272025141E-2</v>
      </c>
      <c r="L6" s="30">
        <f t="shared" si="5"/>
        <v>25.94375428119351</v>
      </c>
      <c r="M6" s="30">
        <f t="shared" si="6"/>
        <v>26.94375428119351</v>
      </c>
      <c r="N6" s="30">
        <f t="shared" si="7"/>
        <v>25.708701184274261</v>
      </c>
      <c r="O6" s="30">
        <f t="shared" si="8"/>
        <v>1.0480402758609493</v>
      </c>
      <c r="P6" s="30">
        <f t="shared" si="9"/>
        <v>1.3089628494150882</v>
      </c>
      <c r="Q6" s="30">
        <f t="shared" si="10"/>
        <v>4.2366350902483783</v>
      </c>
    </row>
    <row r="7" spans="1:17" s="42" customFormat="1" x14ac:dyDescent="0.5">
      <c r="A7" s="36" t="str">
        <f>'raw data'!A655</f>
        <v>2000-12</v>
      </c>
      <c r="B7" s="37">
        <f>'raw data'!U655</f>
        <v>555531.4</v>
      </c>
      <c r="C7" s="38">
        <f>'raw data'!V655</f>
        <v>228197.3</v>
      </c>
      <c r="D7" s="38">
        <f t="shared" si="1"/>
        <v>5839338.5</v>
      </c>
      <c r="E7" s="39">
        <f>'raw data'!AH655</f>
        <v>6067535.7999999998</v>
      </c>
      <c r="F7" s="39">
        <f>SUM('raw data'!AI655:AK655)</f>
        <v>4646582.5</v>
      </c>
      <c r="G7" s="38">
        <f>'raw data'!AO655</f>
        <v>5809431.7999999998</v>
      </c>
      <c r="H7" s="38">
        <f t="shared" si="2"/>
        <v>258104</v>
      </c>
      <c r="I7" s="38">
        <f t="shared" si="3"/>
        <v>1420953.2999999998</v>
      </c>
      <c r="J7" s="40">
        <f t="shared" si="4"/>
        <v>20.362127422191236</v>
      </c>
      <c r="K7" s="40">
        <f t="shared" si="0"/>
        <v>3.7609551475575966E-2</v>
      </c>
      <c r="L7" s="40">
        <f t="shared" si="5"/>
        <v>25.588990316712774</v>
      </c>
      <c r="M7" s="40">
        <f t="shared" si="6"/>
        <v>26.588990316712774</v>
      </c>
      <c r="N7" s="40">
        <f t="shared" si="7"/>
        <v>25.457933989578319</v>
      </c>
      <c r="O7" s="40">
        <f t="shared" si="8"/>
        <v>1.044428441349462</v>
      </c>
      <c r="P7" s="40">
        <f t="shared" si="9"/>
        <v>1.305806105885347</v>
      </c>
      <c r="Q7" s="40">
        <f t="shared" si="10"/>
        <v>4.2700458910225976</v>
      </c>
    </row>
    <row r="8" spans="1:17" x14ac:dyDescent="0.5">
      <c r="A8" s="23" t="str">
        <f>'raw data'!A656</f>
        <v>2001-01</v>
      </c>
      <c r="B8" s="32">
        <f>'raw data'!U656</f>
        <v>558590.1</v>
      </c>
      <c r="C8" s="20">
        <f>'raw data'!V656</f>
        <v>230967.4</v>
      </c>
      <c r="D8" s="20">
        <f t="shared" si="1"/>
        <v>5920051.6999999993</v>
      </c>
      <c r="E8" s="18">
        <f>'raw data'!AH656</f>
        <v>6151019.0999999996</v>
      </c>
      <c r="F8" s="18">
        <f>SUM('raw data'!AI656:AK656)</f>
        <v>4688421.8999999994</v>
      </c>
      <c r="G8" s="20">
        <f>'raw data'!AO656</f>
        <v>5877247</v>
      </c>
      <c r="H8" s="20">
        <f t="shared" si="2"/>
        <v>273772.09999999963</v>
      </c>
      <c r="I8" s="20">
        <f t="shared" si="3"/>
        <v>1462597.2000000002</v>
      </c>
      <c r="J8" s="30">
        <f t="shared" si="4"/>
        <v>20.299063417607851</v>
      </c>
      <c r="K8" s="30">
        <f t="shared" si="0"/>
        <v>3.754945257770375E-2</v>
      </c>
      <c r="L8" s="30">
        <f t="shared" si="5"/>
        <v>25.6315467031278</v>
      </c>
      <c r="M8" s="30">
        <f t="shared" si="6"/>
        <v>26.6315467031278</v>
      </c>
      <c r="N8" s="30">
        <f t="shared" si="7"/>
        <v>25.446218817027859</v>
      </c>
      <c r="O8" s="30">
        <f t="shared" si="8"/>
        <v>1.0465816903730607</v>
      </c>
      <c r="P8" s="30">
        <f t="shared" si="9"/>
        <v>1.3119593823243596</v>
      </c>
      <c r="Q8" s="30">
        <f t="shared" si="10"/>
        <v>4.2055455186157875</v>
      </c>
    </row>
    <row r="9" spans="1:17" x14ac:dyDescent="0.5">
      <c r="A9" s="23" t="str">
        <f>'raw data'!A657</f>
        <v>2001-02</v>
      </c>
      <c r="B9" s="32">
        <f>'raw data'!U657</f>
        <v>557858</v>
      </c>
      <c r="C9" s="20">
        <f>'raw data'!V657</f>
        <v>229551.1</v>
      </c>
      <c r="D9" s="20">
        <f t="shared" si="1"/>
        <v>5908417.3000000007</v>
      </c>
      <c r="E9" s="18">
        <f>'raw data'!AH657</f>
        <v>6137968.4000000004</v>
      </c>
      <c r="F9" s="18">
        <f>SUM('raw data'!AI657:AK657)</f>
        <v>4700436.3</v>
      </c>
      <c r="G9" s="20">
        <f>'raw data'!AO657</f>
        <v>5870782.7000000002</v>
      </c>
      <c r="H9" s="20">
        <f t="shared" si="2"/>
        <v>267185.70000000019</v>
      </c>
      <c r="I9" s="20">
        <f t="shared" si="3"/>
        <v>1437532.1000000006</v>
      </c>
      <c r="J9" s="30">
        <f t="shared" si="4"/>
        <v>20.476644633809205</v>
      </c>
      <c r="K9" s="30">
        <f t="shared" si="0"/>
        <v>3.7398547050193347E-2</v>
      </c>
      <c r="L9" s="30">
        <f t="shared" si="5"/>
        <v>25.739006696112547</v>
      </c>
      <c r="M9" s="30">
        <f t="shared" si="6"/>
        <v>26.739006696112543</v>
      </c>
      <c r="N9" s="30">
        <f t="shared" si="7"/>
        <v>25.575058015404849</v>
      </c>
      <c r="O9" s="30">
        <f t="shared" si="8"/>
        <v>1.0455110866222319</v>
      </c>
      <c r="P9" s="30">
        <f t="shared" si="9"/>
        <v>1.3058295035292788</v>
      </c>
      <c r="Q9" s="30">
        <f t="shared" si="10"/>
        <v>4.2697957144748271</v>
      </c>
    </row>
    <row r="10" spans="1:17" x14ac:dyDescent="0.5">
      <c r="A10" s="23" t="str">
        <f>'raw data'!A658</f>
        <v>2001-03</v>
      </c>
      <c r="B10" s="32">
        <f>'raw data'!U658</f>
        <v>557205.5</v>
      </c>
      <c r="C10" s="20">
        <f>'raw data'!V658</f>
        <v>228144.8</v>
      </c>
      <c r="D10" s="20">
        <f t="shared" si="1"/>
        <v>5960646.7000000002</v>
      </c>
      <c r="E10" s="18">
        <f>'raw data'!AH658</f>
        <v>6188791.5</v>
      </c>
      <c r="F10" s="18">
        <f>SUM('raw data'!AI658:AK658)</f>
        <v>4737073.4000000004</v>
      </c>
      <c r="G10" s="20">
        <f>'raw data'!AO658</f>
        <v>5919212.5999999996</v>
      </c>
      <c r="H10" s="20">
        <f t="shared" si="2"/>
        <v>269578.90000000037</v>
      </c>
      <c r="I10" s="20">
        <f t="shared" si="3"/>
        <v>1451718.0999999996</v>
      </c>
      <c r="J10" s="30">
        <f t="shared" si="4"/>
        <v>20.763451106490265</v>
      </c>
      <c r="K10" s="30">
        <f t="shared" si="0"/>
        <v>3.6864192306365465E-2</v>
      </c>
      <c r="L10" s="30">
        <f t="shared" si="5"/>
        <v>26.126594601323372</v>
      </c>
      <c r="M10" s="30">
        <f t="shared" si="6"/>
        <v>27.126594601323372</v>
      </c>
      <c r="N10" s="30">
        <f t="shared" si="7"/>
        <v>25.944981432844404</v>
      </c>
      <c r="O10" s="30">
        <f t="shared" si="8"/>
        <v>1.0455430338825811</v>
      </c>
      <c r="P10" s="30">
        <f t="shared" si="9"/>
        <v>1.3064588570656304</v>
      </c>
      <c r="Q10" s="30">
        <f t="shared" si="10"/>
        <v>4.2630807592741329</v>
      </c>
    </row>
    <row r="11" spans="1:17" x14ac:dyDescent="0.5">
      <c r="A11" s="23" t="str">
        <f>'raw data'!A659</f>
        <v>2001-04</v>
      </c>
      <c r="B11" s="32">
        <f>'raw data'!U659</f>
        <v>561350.19999999995</v>
      </c>
      <c r="C11" s="20">
        <f>'raw data'!V659</f>
        <v>232200.8</v>
      </c>
      <c r="D11" s="20">
        <f t="shared" si="1"/>
        <v>5996841.9000000004</v>
      </c>
      <c r="E11" s="18">
        <f>'raw data'!AH659</f>
        <v>6229042.7000000002</v>
      </c>
      <c r="F11" s="18">
        <f>SUM('raw data'!AI659:AK659)</f>
        <v>4783168.3</v>
      </c>
      <c r="G11" s="20">
        <f>'raw data'!AO659</f>
        <v>5948783.7000000002</v>
      </c>
      <c r="H11" s="20">
        <f t="shared" si="2"/>
        <v>280259</v>
      </c>
      <c r="I11" s="20">
        <f t="shared" si="3"/>
        <v>1445874.4000000004</v>
      </c>
      <c r="J11" s="30">
        <f t="shared" si="4"/>
        <v>20.599275713089707</v>
      </c>
      <c r="K11" s="30">
        <f t="shared" si="0"/>
        <v>3.7277124460874216E-2</v>
      </c>
      <c r="L11" s="30">
        <f t="shared" si="5"/>
        <v>25.826103527636427</v>
      </c>
      <c r="M11" s="30">
        <f t="shared" si="6"/>
        <v>26.826103527636427</v>
      </c>
      <c r="N11" s="30">
        <f t="shared" si="7"/>
        <v>25.619135248457372</v>
      </c>
      <c r="O11" s="30">
        <f t="shared" si="8"/>
        <v>1.0471119835807781</v>
      </c>
      <c r="P11" s="30">
        <f t="shared" si="9"/>
        <v>1.3022838230467451</v>
      </c>
      <c r="Q11" s="30">
        <f t="shared" si="10"/>
        <v>4.3081492417321989</v>
      </c>
    </row>
    <row r="12" spans="1:17" x14ac:dyDescent="0.5">
      <c r="A12" s="23" t="str">
        <f>'raw data'!A660</f>
        <v>2001-05</v>
      </c>
      <c r="B12" s="32">
        <f>'raw data'!U660</f>
        <v>566114.6</v>
      </c>
      <c r="C12" s="20">
        <f>'raw data'!V660</f>
        <v>235574.1</v>
      </c>
      <c r="D12" s="20">
        <f t="shared" si="1"/>
        <v>5983711.3000000007</v>
      </c>
      <c r="E12" s="18">
        <f>'raw data'!AH660</f>
        <v>6219285.4000000004</v>
      </c>
      <c r="F12" s="18">
        <f>SUM('raw data'!AI660:AK660)</f>
        <v>4814665.4000000004</v>
      </c>
      <c r="G12" s="20">
        <f>'raw data'!AO660</f>
        <v>5946266.5</v>
      </c>
      <c r="H12" s="20">
        <f t="shared" si="2"/>
        <v>273018.90000000037</v>
      </c>
      <c r="I12" s="20">
        <f t="shared" si="3"/>
        <v>1404620</v>
      </c>
      <c r="J12" s="30">
        <f t="shared" si="4"/>
        <v>20.438008253029516</v>
      </c>
      <c r="K12" s="30">
        <f t="shared" si="0"/>
        <v>3.7878001225028199E-2</v>
      </c>
      <c r="L12" s="30">
        <f t="shared" si="5"/>
        <v>25.40054827759079</v>
      </c>
      <c r="M12" s="30">
        <f t="shared" si="6"/>
        <v>26.40054827759079</v>
      </c>
      <c r="N12" s="30">
        <f t="shared" si="7"/>
        <v>25.241597017668749</v>
      </c>
      <c r="O12" s="30">
        <f t="shared" si="8"/>
        <v>1.0459143396953365</v>
      </c>
      <c r="P12" s="30">
        <f t="shared" si="9"/>
        <v>1.2917378225286433</v>
      </c>
      <c r="Q12" s="30">
        <f t="shared" si="10"/>
        <v>4.4277351881647711</v>
      </c>
    </row>
    <row r="13" spans="1:17" x14ac:dyDescent="0.5">
      <c r="A13" s="23" t="str">
        <f>'raw data'!A661</f>
        <v>2001-06</v>
      </c>
      <c r="B13" s="32">
        <f>'raw data'!U661</f>
        <v>564557.4</v>
      </c>
      <c r="C13" s="20">
        <f>'raw data'!V661</f>
        <v>233267.1</v>
      </c>
      <c r="D13" s="20">
        <f t="shared" si="1"/>
        <v>5974287.5</v>
      </c>
      <c r="E13" s="18">
        <f>'raw data'!AH661</f>
        <v>6207554.5999999996</v>
      </c>
      <c r="F13" s="18">
        <f>SUM('raw data'!AI661:AK661)</f>
        <v>4833647.0999999996</v>
      </c>
      <c r="G13" s="20">
        <f>'raw data'!AO661</f>
        <v>5932611.4000000004</v>
      </c>
      <c r="H13" s="20">
        <f t="shared" si="2"/>
        <v>274943.19999999925</v>
      </c>
      <c r="I13" s="20">
        <f t="shared" si="3"/>
        <v>1373907.5</v>
      </c>
      <c r="J13" s="30">
        <f t="shared" si="4"/>
        <v>20.721512377870688</v>
      </c>
      <c r="K13" s="30">
        <f t="shared" si="0"/>
        <v>3.7577937695465462E-2</v>
      </c>
      <c r="L13" s="30">
        <f t="shared" si="5"/>
        <v>25.611359252976523</v>
      </c>
      <c r="M13" s="30">
        <f t="shared" si="6"/>
        <v>26.61135925297652</v>
      </c>
      <c r="N13" s="30">
        <f t="shared" si="7"/>
        <v>25.432696681186503</v>
      </c>
      <c r="O13" s="30">
        <f t="shared" si="8"/>
        <v>1.0463443804864749</v>
      </c>
      <c r="P13" s="30">
        <f t="shared" si="9"/>
        <v>1.2842382721734071</v>
      </c>
      <c r="Q13" s="30">
        <f t="shared" si="10"/>
        <v>4.5181750590924059</v>
      </c>
    </row>
    <row r="14" spans="1:17" x14ac:dyDescent="0.5">
      <c r="A14" s="23" t="str">
        <f>'raw data'!A662</f>
        <v>2001-07</v>
      </c>
      <c r="B14" s="32">
        <f>'raw data'!U662</f>
        <v>564153</v>
      </c>
      <c r="C14" s="20">
        <f>'raw data'!V662</f>
        <v>231746.9</v>
      </c>
      <c r="D14" s="20">
        <f t="shared" si="1"/>
        <v>5990555.6999999993</v>
      </c>
      <c r="E14" s="18">
        <f>'raw data'!AH662</f>
        <v>6222302.5999999996</v>
      </c>
      <c r="F14" s="18">
        <f>SUM('raw data'!AI662:AK662)</f>
        <v>4842322.9000000004</v>
      </c>
      <c r="G14" s="20">
        <f>'raw data'!AO662</f>
        <v>5954753.0999999996</v>
      </c>
      <c r="H14" s="20">
        <f t="shared" si="2"/>
        <v>267549.5</v>
      </c>
      <c r="I14" s="20">
        <f t="shared" si="3"/>
        <v>1379979.6999999993</v>
      </c>
      <c r="J14" s="30">
        <f t="shared" si="4"/>
        <v>20.894876695222248</v>
      </c>
      <c r="K14" s="30">
        <f t="shared" si="0"/>
        <v>3.7244556380141333E-2</v>
      </c>
      <c r="L14" s="30">
        <f t="shared" si="5"/>
        <v>25.849561310205225</v>
      </c>
      <c r="M14" s="30">
        <f t="shared" si="6"/>
        <v>26.849561310205228</v>
      </c>
      <c r="N14" s="30">
        <f t="shared" si="7"/>
        <v>25.69507121778112</v>
      </c>
      <c r="O14" s="30">
        <f t="shared" si="8"/>
        <v>1.0449304102969441</v>
      </c>
      <c r="P14" s="30">
        <f t="shared" si="9"/>
        <v>1.284982998552203</v>
      </c>
      <c r="Q14" s="30">
        <f t="shared" si="10"/>
        <v>4.5089812553039748</v>
      </c>
    </row>
    <row r="15" spans="1:17" x14ac:dyDescent="0.5">
      <c r="A15" s="23" t="str">
        <f>'raw data'!A663</f>
        <v>2001-08</v>
      </c>
      <c r="B15" s="32">
        <f>'raw data'!U663</f>
        <v>566727.4</v>
      </c>
      <c r="C15" s="20">
        <f>'raw data'!V663</f>
        <v>233757.4</v>
      </c>
      <c r="D15" s="20">
        <f t="shared" si="1"/>
        <v>6018713.8999999994</v>
      </c>
      <c r="E15" s="18">
        <f>'raw data'!AH663</f>
        <v>6252471.2999999998</v>
      </c>
      <c r="F15" s="18">
        <f>SUM('raw data'!AI663:AK663)</f>
        <v>4842771.8</v>
      </c>
      <c r="G15" s="20">
        <f>'raw data'!AO663</f>
        <v>5976166.9000000004</v>
      </c>
      <c r="H15" s="20">
        <f t="shared" si="2"/>
        <v>276304.39999999944</v>
      </c>
      <c r="I15" s="20">
        <f t="shared" si="3"/>
        <v>1409699.5</v>
      </c>
      <c r="J15" s="30">
        <f t="shared" si="4"/>
        <v>20.717084464491819</v>
      </c>
      <c r="K15" s="30">
        <f t="shared" si="0"/>
        <v>3.7386401117906774E-2</v>
      </c>
      <c r="L15" s="30">
        <f t="shared" si="5"/>
        <v>25.747693548952888</v>
      </c>
      <c r="M15" s="30">
        <f t="shared" si="6"/>
        <v>26.747693548952888</v>
      </c>
      <c r="N15" s="30">
        <f t="shared" si="7"/>
        <v>25.565680059754261</v>
      </c>
      <c r="O15" s="30">
        <f t="shared" si="8"/>
        <v>1.0462343847860072</v>
      </c>
      <c r="P15" s="30">
        <f t="shared" si="9"/>
        <v>1.2910935221023629</v>
      </c>
      <c r="Q15" s="30">
        <f t="shared" si="10"/>
        <v>4.4353220668660231</v>
      </c>
    </row>
    <row r="16" spans="1:17" x14ac:dyDescent="0.5">
      <c r="A16" s="23" t="str">
        <f>'raw data'!A664</f>
        <v>2001-09</v>
      </c>
      <c r="B16" s="32">
        <f>'raw data'!U664</f>
        <v>567191.5</v>
      </c>
      <c r="C16" s="20">
        <f>'raw data'!V664</f>
        <v>232893.4</v>
      </c>
      <c r="D16" s="20">
        <f t="shared" si="1"/>
        <v>6241730.2999999998</v>
      </c>
      <c r="E16" s="18">
        <f>'raw data'!AH664</f>
        <v>6474623.7000000002</v>
      </c>
      <c r="F16" s="18">
        <f>SUM('raw data'!AI664:AK664)</f>
        <v>4982273.9000000004</v>
      </c>
      <c r="G16" s="20">
        <f>'raw data'!AO664</f>
        <v>6190016.4000000004</v>
      </c>
      <c r="H16" s="20">
        <f t="shared" si="2"/>
        <v>284607.29999999981</v>
      </c>
      <c r="I16" s="20">
        <f t="shared" si="3"/>
        <v>1492349.7999999998</v>
      </c>
      <c r="J16" s="30">
        <f t="shared" si="4"/>
        <v>21.392937283753</v>
      </c>
      <c r="K16" s="30">
        <f t="shared" si="0"/>
        <v>3.5970183101143006E-2</v>
      </c>
      <c r="L16" s="30">
        <f t="shared" si="5"/>
        <v>26.800803715347879</v>
      </c>
      <c r="M16" s="30">
        <f t="shared" si="6"/>
        <v>27.800803715347882</v>
      </c>
      <c r="N16" s="30">
        <f t="shared" si="7"/>
        <v>26.578754056576958</v>
      </c>
      <c r="O16" s="30">
        <f t="shared" si="8"/>
        <v>1.0459784403802226</v>
      </c>
      <c r="P16" s="30">
        <f t="shared" si="9"/>
        <v>1.2995318663632682</v>
      </c>
      <c r="Q16" s="30">
        <f t="shared" si="10"/>
        <v>4.3385429475046671</v>
      </c>
    </row>
    <row r="17" spans="1:17" x14ac:dyDescent="0.5">
      <c r="A17" s="23" t="str">
        <f>'raw data'!A665</f>
        <v>2001-10</v>
      </c>
      <c r="B17" s="32">
        <f>'raw data'!U665</f>
        <v>566487.19999999995</v>
      </c>
      <c r="C17" s="20">
        <f>'raw data'!V665</f>
        <v>233647.6</v>
      </c>
      <c r="D17" s="20">
        <f t="shared" si="1"/>
        <v>6153652.5</v>
      </c>
      <c r="E17" s="18">
        <f>'raw data'!AH665</f>
        <v>6387300.0999999996</v>
      </c>
      <c r="F17" s="18">
        <f>SUM('raw data'!AI665:AK665)</f>
        <v>4947200.9000000004</v>
      </c>
      <c r="G17" s="20">
        <f>'raw data'!AO665</f>
        <v>6079653.4000000004</v>
      </c>
      <c r="H17" s="20">
        <f t="shared" si="2"/>
        <v>307646.69999999925</v>
      </c>
      <c r="I17" s="20">
        <f t="shared" si="3"/>
        <v>1440099.1999999993</v>
      </c>
      <c r="J17" s="30">
        <f t="shared" si="4"/>
        <v>21.173771526007545</v>
      </c>
      <c r="K17" s="30">
        <f t="shared" si="0"/>
        <v>3.6580025416372723E-2</v>
      </c>
      <c r="L17" s="30">
        <f t="shared" si="5"/>
        <v>26.337323815866288</v>
      </c>
      <c r="M17" s="30">
        <f t="shared" si="6"/>
        <v>27.337323815866284</v>
      </c>
      <c r="N17" s="30">
        <f t="shared" si="7"/>
        <v>26.02061138226971</v>
      </c>
      <c r="O17" s="30">
        <f t="shared" si="8"/>
        <v>1.0506026708693623</v>
      </c>
      <c r="P17" s="30">
        <f t="shared" si="9"/>
        <v>1.2910937374708189</v>
      </c>
      <c r="Q17" s="30">
        <f t="shared" si="10"/>
        <v>4.4353195252104873</v>
      </c>
    </row>
    <row r="18" spans="1:17" x14ac:dyDescent="0.5">
      <c r="A18" s="23" t="str">
        <f>'raw data'!A666</f>
        <v>2001-11</v>
      </c>
      <c r="B18" s="32">
        <f>'raw data'!U666</f>
        <v>571855.1</v>
      </c>
      <c r="C18" s="20">
        <f>'raw data'!V666</f>
        <v>239137</v>
      </c>
      <c r="D18" s="20">
        <f t="shared" si="1"/>
        <v>6165909</v>
      </c>
      <c r="E18" s="18">
        <f>'raw data'!AH666</f>
        <v>6405046</v>
      </c>
      <c r="F18" s="18">
        <f>SUM('raw data'!AI666:AK666)</f>
        <v>4991452.3999999994</v>
      </c>
      <c r="G18" s="20">
        <f>'raw data'!AO666</f>
        <v>6095864</v>
      </c>
      <c r="H18" s="20">
        <f t="shared" si="2"/>
        <v>309182</v>
      </c>
      <c r="I18" s="20">
        <f t="shared" si="3"/>
        <v>1413593.6000000006</v>
      </c>
      <c r="J18" s="30">
        <f t="shared" si="4"/>
        <v>20.872773347495368</v>
      </c>
      <c r="K18" s="30">
        <f t="shared" si="0"/>
        <v>3.7335719368760192E-2</v>
      </c>
      <c r="L18" s="30">
        <f t="shared" si="5"/>
        <v>25.784002475568396</v>
      </c>
      <c r="M18" s="30">
        <f t="shared" si="6"/>
        <v>26.784002475568396</v>
      </c>
      <c r="N18" s="30">
        <f t="shared" si="7"/>
        <v>25.491095062662826</v>
      </c>
      <c r="O18" s="30">
        <f t="shared" si="8"/>
        <v>1.050719963568741</v>
      </c>
      <c r="P18" s="30">
        <f t="shared" si="9"/>
        <v>1.2832028609548598</v>
      </c>
      <c r="Q18" s="30">
        <f t="shared" si="10"/>
        <v>4.5310377749305015</v>
      </c>
    </row>
    <row r="19" spans="1:17" s="42" customFormat="1" x14ac:dyDescent="0.5">
      <c r="A19" s="36" t="str">
        <f>'raw data'!A667</f>
        <v>2001-12</v>
      </c>
      <c r="B19" s="37">
        <f>'raw data'!U667</f>
        <v>574282.4</v>
      </c>
      <c r="C19" s="38">
        <f>'raw data'!V667</f>
        <v>241907.7</v>
      </c>
      <c r="D19" s="38">
        <f t="shared" si="1"/>
        <v>6151391.5999999996</v>
      </c>
      <c r="E19" s="39">
        <f>'raw data'!AH667</f>
        <v>6393299.2999999998</v>
      </c>
      <c r="F19" s="39">
        <f>SUM('raw data'!AI667:AK667)</f>
        <v>5051154.5</v>
      </c>
      <c r="G19" s="38">
        <f>'raw data'!AO667</f>
        <v>6098836.5999999996</v>
      </c>
      <c r="H19" s="38">
        <f t="shared" si="2"/>
        <v>294462.70000000019</v>
      </c>
      <c r="I19" s="38">
        <f t="shared" si="3"/>
        <v>1342144.7999999998</v>
      </c>
      <c r="J19" s="40">
        <f t="shared" si="4"/>
        <v>20.880503183652277</v>
      </c>
      <c r="K19" s="40">
        <f t="shared" si="0"/>
        <v>3.783769359898418E-2</v>
      </c>
      <c r="L19" s="40">
        <f t="shared" si="5"/>
        <v>25.428672175379283</v>
      </c>
      <c r="M19" s="40">
        <f t="shared" si="6"/>
        <v>26.428672175379287</v>
      </c>
      <c r="N19" s="40">
        <f t="shared" si="7"/>
        <v>25.21141989279382</v>
      </c>
      <c r="O19" s="40">
        <f t="shared" si="8"/>
        <v>1.048281782135301</v>
      </c>
      <c r="P19" s="40">
        <f t="shared" si="9"/>
        <v>1.2657105024207831</v>
      </c>
      <c r="Q19" s="40">
        <f t="shared" si="10"/>
        <v>4.7634944456067636</v>
      </c>
    </row>
    <row r="20" spans="1:17" x14ac:dyDescent="0.5">
      <c r="A20" s="23" t="str">
        <f>'raw data'!A668</f>
        <v>2002-01</v>
      </c>
      <c r="B20" s="32">
        <f>'raw data'!U668</f>
        <v>574272.69999999995</v>
      </c>
      <c r="C20" s="20">
        <f>'raw data'!V668</f>
        <v>241331.7</v>
      </c>
      <c r="D20" s="20">
        <f t="shared" si="1"/>
        <v>6142078.7999999998</v>
      </c>
      <c r="E20" s="18">
        <f>'raw data'!AH668</f>
        <v>6383410.5</v>
      </c>
      <c r="F20" s="18">
        <f>SUM('raw data'!AI668:AK668)</f>
        <v>5074321.5</v>
      </c>
      <c r="G20" s="20">
        <f>'raw data'!AO668</f>
        <v>6088692.0999999996</v>
      </c>
      <c r="H20" s="20">
        <f t="shared" si="2"/>
        <v>294718.40000000037</v>
      </c>
      <c r="I20" s="20">
        <f t="shared" si="3"/>
        <v>1309089</v>
      </c>
      <c r="J20" s="30">
        <f t="shared" si="4"/>
        <v>21.026336366088664</v>
      </c>
      <c r="K20" s="30">
        <f t="shared" si="0"/>
        <v>3.7806075608015501E-2</v>
      </c>
      <c r="L20" s="30">
        <f t="shared" si="5"/>
        <v>25.450775012151322</v>
      </c>
      <c r="M20" s="30">
        <f t="shared" si="6"/>
        <v>26.450775012151325</v>
      </c>
      <c r="N20" s="30">
        <f t="shared" si="7"/>
        <v>25.229557907228926</v>
      </c>
      <c r="O20" s="30">
        <f t="shared" si="8"/>
        <v>1.0484042213269416</v>
      </c>
      <c r="P20" s="30">
        <f t="shared" si="9"/>
        <v>1.2579830623660719</v>
      </c>
      <c r="Q20" s="30">
        <f t="shared" si="10"/>
        <v>4.8762234653258867</v>
      </c>
    </row>
    <row r="21" spans="1:17" x14ac:dyDescent="0.5">
      <c r="A21" s="23" t="str">
        <f>'raw data'!A669</f>
        <v>2002-02</v>
      </c>
      <c r="B21" s="32">
        <f>'raw data'!U669</f>
        <v>575841.9</v>
      </c>
      <c r="C21" s="20">
        <f>'raw data'!V669</f>
        <v>240609.4</v>
      </c>
      <c r="D21" s="20">
        <f t="shared" si="1"/>
        <v>6138423.5</v>
      </c>
      <c r="E21" s="18">
        <f>'raw data'!AH669</f>
        <v>6379032.9000000004</v>
      </c>
      <c r="F21" s="18">
        <f>SUM('raw data'!AI669:AK669)</f>
        <v>5117711.5</v>
      </c>
      <c r="G21" s="20">
        <f>'raw data'!AO669</f>
        <v>6088404.0999999996</v>
      </c>
      <c r="H21" s="20">
        <f t="shared" si="2"/>
        <v>290628.80000000075</v>
      </c>
      <c r="I21" s="20">
        <f t="shared" si="3"/>
        <v>1261321.4000000004</v>
      </c>
      <c r="J21" s="30">
        <f t="shared" si="4"/>
        <v>21.269790373942165</v>
      </c>
      <c r="K21" s="30">
        <f t="shared" si="0"/>
        <v>3.7718789630321548E-2</v>
      </c>
      <c r="L21" s="30">
        <f t="shared" si="5"/>
        <v>25.511985400404143</v>
      </c>
      <c r="M21" s="30">
        <f t="shared" si="6"/>
        <v>26.511985400404143</v>
      </c>
      <c r="N21" s="30">
        <f t="shared" si="7"/>
        <v>25.304099091722932</v>
      </c>
      <c r="O21" s="30">
        <f t="shared" si="8"/>
        <v>1.0477348078784718</v>
      </c>
      <c r="P21" s="30">
        <f t="shared" si="9"/>
        <v>1.2464619977112819</v>
      </c>
      <c r="Q21" s="30">
        <f t="shared" si="10"/>
        <v>5.0574206542440319</v>
      </c>
    </row>
    <row r="22" spans="1:17" x14ac:dyDescent="0.5">
      <c r="A22" s="23" t="str">
        <f>'raw data'!A670</f>
        <v>2002-03</v>
      </c>
      <c r="B22" s="32">
        <f>'raw data'!U670</f>
        <v>575239.69999999995</v>
      </c>
      <c r="C22" s="20">
        <f>'raw data'!V670</f>
        <v>240353.9</v>
      </c>
      <c r="D22" s="20">
        <f t="shared" si="1"/>
        <v>6109203.7999999998</v>
      </c>
      <c r="E22" s="18">
        <f>'raw data'!AH670</f>
        <v>6349557.7000000002</v>
      </c>
      <c r="F22" s="18">
        <f>SUM('raw data'!AI670:AK670)</f>
        <v>5145724.6000000006</v>
      </c>
      <c r="G22" s="20">
        <f>'raw data'!AO670</f>
        <v>6062806.2000000002</v>
      </c>
      <c r="H22" s="20">
        <f t="shared" si="2"/>
        <v>286751.5</v>
      </c>
      <c r="I22" s="20">
        <f t="shared" si="3"/>
        <v>1203833.0999999996</v>
      </c>
      <c r="J22" s="30">
        <f t="shared" si="4"/>
        <v>21.408949885980633</v>
      </c>
      <c r="K22" s="30">
        <f t="shared" si="0"/>
        <v>3.7853644514483267E-2</v>
      </c>
      <c r="L22" s="30">
        <f t="shared" si="5"/>
        <v>25.417535559023591</v>
      </c>
      <c r="M22" s="30">
        <f t="shared" si="6"/>
        <v>26.417535559023591</v>
      </c>
      <c r="N22" s="30">
        <f t="shared" si="7"/>
        <v>25.224496877312998</v>
      </c>
      <c r="O22" s="30">
        <f t="shared" si="8"/>
        <v>1.0472968276637311</v>
      </c>
      <c r="P22" s="30">
        <f t="shared" si="9"/>
        <v>1.2339482179050156</v>
      </c>
      <c r="Q22" s="30">
        <f t="shared" si="10"/>
        <v>5.274450170875018</v>
      </c>
    </row>
    <row r="23" spans="1:17" x14ac:dyDescent="0.5">
      <c r="A23" s="23" t="str">
        <f>'raw data'!A671</f>
        <v>2002-04</v>
      </c>
      <c r="B23" s="32">
        <f>'raw data'!U671</f>
        <v>580433.69999999995</v>
      </c>
      <c r="C23" s="20">
        <f>'raw data'!V671</f>
        <v>245823.3</v>
      </c>
      <c r="D23" s="20">
        <f t="shared" si="1"/>
        <v>6131253.5</v>
      </c>
      <c r="E23" s="18">
        <f>'raw data'!AH671</f>
        <v>6377076.7999999998</v>
      </c>
      <c r="F23" s="18">
        <f>SUM('raw data'!AI671:AK671)</f>
        <v>5163764.9000000004</v>
      </c>
      <c r="G23" s="20">
        <f>'raw data'!AO671</f>
        <v>6082899.9000000004</v>
      </c>
      <c r="H23" s="20">
        <f t="shared" si="2"/>
        <v>294176.89999999944</v>
      </c>
      <c r="I23" s="20">
        <f t="shared" si="3"/>
        <v>1213311.8999999994</v>
      </c>
      <c r="J23" s="30">
        <f t="shared" si="4"/>
        <v>21.006002685668935</v>
      </c>
      <c r="K23" s="30">
        <f t="shared" si="0"/>
        <v>3.8547959779941805E-2</v>
      </c>
      <c r="L23" s="30">
        <f t="shared" si="5"/>
        <v>24.941710163357175</v>
      </c>
      <c r="M23" s="30">
        <f t="shared" si="6"/>
        <v>25.941710163357175</v>
      </c>
      <c r="N23" s="30">
        <f t="shared" si="7"/>
        <v>24.74500952513452</v>
      </c>
      <c r="O23" s="30">
        <f t="shared" si="8"/>
        <v>1.0483612922842935</v>
      </c>
      <c r="P23" s="30">
        <f t="shared" si="9"/>
        <v>1.2349665260709293</v>
      </c>
      <c r="Q23" s="30">
        <f t="shared" si="10"/>
        <v>5.2559253725278738</v>
      </c>
    </row>
    <row r="24" spans="1:17" x14ac:dyDescent="0.5">
      <c r="A24" s="23" t="str">
        <f>'raw data'!A672</f>
        <v>2002-05</v>
      </c>
      <c r="B24" s="32">
        <f>'raw data'!U672</f>
        <v>580831</v>
      </c>
      <c r="C24" s="20">
        <f>'raw data'!V672</f>
        <v>244887</v>
      </c>
      <c r="D24" s="20">
        <f t="shared" si="1"/>
        <v>6150780.5999999996</v>
      </c>
      <c r="E24" s="18">
        <f>'raw data'!AH672</f>
        <v>6395667.5999999996</v>
      </c>
      <c r="F24" s="18">
        <f>SUM('raw data'!AI672:AK672)</f>
        <v>5187745.5</v>
      </c>
      <c r="G24" s="20">
        <f>'raw data'!AO672</f>
        <v>6105385.9000000004</v>
      </c>
      <c r="H24" s="20">
        <f t="shared" si="2"/>
        <v>290281.69999999925</v>
      </c>
      <c r="I24" s="20">
        <f t="shared" si="3"/>
        <v>1207922.0999999996</v>
      </c>
      <c r="J24" s="30">
        <f t="shared" si="4"/>
        <v>21.184242119834863</v>
      </c>
      <c r="K24" s="30">
        <f t="shared" si="0"/>
        <v>3.8289513357448408E-2</v>
      </c>
      <c r="L24" s="30">
        <f t="shared" si="5"/>
        <v>25.116811427311372</v>
      </c>
      <c r="M24" s="30">
        <f t="shared" si="6"/>
        <v>26.116811427311372</v>
      </c>
      <c r="N24" s="30">
        <f t="shared" si="7"/>
        <v>24.931441440337789</v>
      </c>
      <c r="O24" s="30">
        <f t="shared" si="8"/>
        <v>1.0475451846540935</v>
      </c>
      <c r="P24" s="30">
        <f t="shared" si="9"/>
        <v>1.2328414337210643</v>
      </c>
      <c r="Q24" s="30">
        <f t="shared" si="10"/>
        <v>5.2947682636156763</v>
      </c>
    </row>
    <row r="25" spans="1:17" x14ac:dyDescent="0.5">
      <c r="A25" s="23" t="str">
        <f>'raw data'!A673</f>
        <v>2002-06</v>
      </c>
      <c r="B25" s="32">
        <f>'raw data'!U673</f>
        <v>579127.4</v>
      </c>
      <c r="C25" s="20">
        <f>'raw data'!V673</f>
        <v>243277.3</v>
      </c>
      <c r="D25" s="20">
        <f t="shared" si="1"/>
        <v>6187707.7999999998</v>
      </c>
      <c r="E25" s="18">
        <f>'raw data'!AH673</f>
        <v>6430985.0999999996</v>
      </c>
      <c r="F25" s="18">
        <f>SUM('raw data'!AI673:AK673)</f>
        <v>5192114.4000000004</v>
      </c>
      <c r="G25" s="20">
        <f>'raw data'!AO673</f>
        <v>6128023.2999999998</v>
      </c>
      <c r="H25" s="20">
        <f t="shared" si="2"/>
        <v>302961.79999999981</v>
      </c>
      <c r="I25" s="20">
        <f t="shared" si="3"/>
        <v>1238870.6999999993</v>
      </c>
      <c r="J25" s="30">
        <f t="shared" si="4"/>
        <v>21.342371030918219</v>
      </c>
      <c r="K25" s="30">
        <f t="shared" si="0"/>
        <v>3.7828932304632461E-2</v>
      </c>
      <c r="L25" s="30">
        <f t="shared" si="5"/>
        <v>25.434793135241144</v>
      </c>
      <c r="M25" s="30">
        <f t="shared" si="6"/>
        <v>26.434793135241144</v>
      </c>
      <c r="N25" s="30">
        <f t="shared" si="7"/>
        <v>25.189457873792581</v>
      </c>
      <c r="O25" s="30">
        <f t="shared" si="8"/>
        <v>1.0494387480543685</v>
      </c>
      <c r="P25" s="30">
        <f t="shared" si="9"/>
        <v>1.2386062025135653</v>
      </c>
      <c r="Q25" s="30">
        <f t="shared" si="10"/>
        <v>5.191005889476604</v>
      </c>
    </row>
    <row r="26" spans="1:17" x14ac:dyDescent="0.5">
      <c r="A26" s="23" t="str">
        <f>'raw data'!A674</f>
        <v>2002-07</v>
      </c>
      <c r="B26" s="32">
        <f>'raw data'!U674</f>
        <v>578372.5</v>
      </c>
      <c r="C26" s="20">
        <f>'raw data'!V674</f>
        <v>239896.9</v>
      </c>
      <c r="D26" s="20">
        <f t="shared" si="1"/>
        <v>6233360</v>
      </c>
      <c r="E26" s="18">
        <f>'raw data'!AH674</f>
        <v>6473256.9000000004</v>
      </c>
      <c r="F26" s="18">
        <f>SUM('raw data'!AI674:AK674)</f>
        <v>5238084.7</v>
      </c>
      <c r="G26" s="20">
        <f>'raw data'!AO674</f>
        <v>6187739</v>
      </c>
      <c r="H26" s="20">
        <f t="shared" si="2"/>
        <v>285517.90000000037</v>
      </c>
      <c r="I26" s="20">
        <f t="shared" si="3"/>
        <v>1235172.2000000002</v>
      </c>
      <c r="J26" s="30">
        <f t="shared" si="4"/>
        <v>21.834732753945552</v>
      </c>
      <c r="K26" s="30">
        <f t="shared" si="0"/>
        <v>3.7059690926216755E-2</v>
      </c>
      <c r="L26" s="30">
        <f t="shared" si="5"/>
        <v>25.983495409903171</v>
      </c>
      <c r="M26" s="30">
        <f t="shared" si="6"/>
        <v>26.983495409903174</v>
      </c>
      <c r="N26" s="30">
        <f t="shared" si="7"/>
        <v>25.793326216387122</v>
      </c>
      <c r="O26" s="30">
        <f t="shared" si="8"/>
        <v>1.0461425247574276</v>
      </c>
      <c r="P26" s="30">
        <f t="shared" si="9"/>
        <v>1.2358060762171335</v>
      </c>
      <c r="Q26" s="30">
        <f t="shared" si="10"/>
        <v>5.2407728250360552</v>
      </c>
    </row>
    <row r="27" spans="1:17" x14ac:dyDescent="0.5">
      <c r="A27" s="23" t="str">
        <f>'raw data'!A675</f>
        <v>2002-08</v>
      </c>
      <c r="B27" s="32">
        <f>'raw data'!U675</f>
        <v>590682.6</v>
      </c>
      <c r="C27" s="20">
        <f>'raw data'!V675</f>
        <v>249804.6</v>
      </c>
      <c r="D27" s="20">
        <f t="shared" si="1"/>
        <v>6341618</v>
      </c>
      <c r="E27" s="18">
        <f>'raw data'!AH675</f>
        <v>6591422.5999999996</v>
      </c>
      <c r="F27" s="18">
        <f>SUM('raw data'!AI675:AK675)</f>
        <v>5276239.1000000006</v>
      </c>
      <c r="G27" s="20">
        <f>'raw data'!AO675</f>
        <v>6297552.0999999996</v>
      </c>
      <c r="H27" s="20">
        <f t="shared" si="2"/>
        <v>293870.5</v>
      </c>
      <c r="I27" s="20">
        <f t="shared" si="3"/>
        <v>1315183.4999999991</v>
      </c>
      <c r="J27" s="30">
        <f t="shared" si="4"/>
        <v>21.121464936994755</v>
      </c>
      <c r="K27" s="30">
        <f t="shared" si="0"/>
        <v>3.7898434853805313E-2</v>
      </c>
      <c r="L27" s="30">
        <f t="shared" si="5"/>
        <v>25.386313942977832</v>
      </c>
      <c r="M27" s="30">
        <f t="shared" si="6"/>
        <v>26.386313942977829</v>
      </c>
      <c r="N27" s="30">
        <f t="shared" si="7"/>
        <v>25.209912467584662</v>
      </c>
      <c r="O27" s="30">
        <f t="shared" si="8"/>
        <v>1.046664242761882</v>
      </c>
      <c r="P27" s="30">
        <f t="shared" si="9"/>
        <v>1.2492653337109001</v>
      </c>
      <c r="Q27" s="30">
        <f t="shared" si="10"/>
        <v>5.011789305446734</v>
      </c>
    </row>
    <row r="28" spans="1:17" x14ac:dyDescent="0.5">
      <c r="A28" s="23" t="str">
        <f>'raw data'!A676</f>
        <v>2002-09</v>
      </c>
      <c r="B28" s="32">
        <f>'raw data'!U676</f>
        <v>598723.69999999995</v>
      </c>
      <c r="C28" s="20">
        <f>'raw data'!V676</f>
        <v>255537.5</v>
      </c>
      <c r="D28" s="20">
        <f t="shared" si="1"/>
        <v>6407455.5999999996</v>
      </c>
      <c r="E28" s="18">
        <f>'raw data'!AH676</f>
        <v>6662993.0999999996</v>
      </c>
      <c r="F28" s="18">
        <f>SUM('raw data'!AI676:AK676)</f>
        <v>5303230.0999999996</v>
      </c>
      <c r="G28" s="20">
        <f>'raw data'!AO676</f>
        <v>6352250.7000000002</v>
      </c>
      <c r="H28" s="20">
        <f t="shared" si="2"/>
        <v>310742.39999999944</v>
      </c>
      <c r="I28" s="20">
        <f t="shared" si="3"/>
        <v>1359763</v>
      </c>
      <c r="J28" s="30">
        <f t="shared" si="4"/>
        <v>20.753236217776255</v>
      </c>
      <c r="K28" s="30">
        <f t="shared" si="0"/>
        <v>3.8351758161058278E-2</v>
      </c>
      <c r="L28" s="30">
        <f t="shared" si="5"/>
        <v>25.074423910384972</v>
      </c>
      <c r="M28" s="30">
        <f t="shared" si="6"/>
        <v>26.074423910384972</v>
      </c>
      <c r="N28" s="30">
        <f t="shared" si="7"/>
        <v>24.8583894731693</v>
      </c>
      <c r="O28" s="30">
        <f t="shared" si="8"/>
        <v>1.0489184723140728</v>
      </c>
      <c r="P28" s="30">
        <f t="shared" si="9"/>
        <v>1.2564027911970104</v>
      </c>
      <c r="Q28" s="30">
        <f t="shared" si="10"/>
        <v>4.9001135491993821</v>
      </c>
    </row>
    <row r="29" spans="1:17" x14ac:dyDescent="0.5">
      <c r="A29" s="23" t="str">
        <f>'raw data'!A677</f>
        <v>2002-10</v>
      </c>
      <c r="B29" s="32">
        <f>'raw data'!U677</f>
        <v>606254.69999999995</v>
      </c>
      <c r="C29" s="20">
        <f>'raw data'!V677</f>
        <v>255850</v>
      </c>
      <c r="D29" s="20">
        <f t="shared" si="1"/>
        <v>6499163.4000000004</v>
      </c>
      <c r="E29" s="18">
        <f>'raw data'!AH677</f>
        <v>6755013.4000000004</v>
      </c>
      <c r="F29" s="18">
        <f>SUM('raw data'!AI677:AK677)</f>
        <v>5358484.5999999996</v>
      </c>
      <c r="G29" s="20">
        <f>'raw data'!AO677</f>
        <v>6425969.5999999996</v>
      </c>
      <c r="H29" s="20">
        <f t="shared" si="2"/>
        <v>329043.80000000075</v>
      </c>
      <c r="I29" s="20">
        <f t="shared" si="3"/>
        <v>1396528.8000000007</v>
      </c>
      <c r="J29" s="30">
        <f t="shared" si="4"/>
        <v>20.943852257181941</v>
      </c>
      <c r="K29" s="30">
        <f t="shared" si="0"/>
        <v>3.7875572534023391E-2</v>
      </c>
      <c r="L29" s="30">
        <f t="shared" si="5"/>
        <v>25.402241156927889</v>
      </c>
      <c r="M29" s="30">
        <f t="shared" si="6"/>
        <v>26.402241156927889</v>
      </c>
      <c r="N29" s="30">
        <f t="shared" si="7"/>
        <v>25.116160250146567</v>
      </c>
      <c r="O29" s="30">
        <f t="shared" si="8"/>
        <v>1.0512053153815109</v>
      </c>
      <c r="P29" s="30">
        <f t="shared" si="9"/>
        <v>1.2606201014368879</v>
      </c>
      <c r="Q29" s="30">
        <f t="shared" si="10"/>
        <v>4.8370025738101479</v>
      </c>
    </row>
    <row r="30" spans="1:17" x14ac:dyDescent="0.5">
      <c r="A30" s="23" t="str">
        <f>'raw data'!A678</f>
        <v>2002-11</v>
      </c>
      <c r="B30" s="32">
        <f>'raw data'!U678</f>
        <v>605519.5</v>
      </c>
      <c r="C30" s="20">
        <f>'raw data'!V678</f>
        <v>252094.5</v>
      </c>
      <c r="D30" s="20">
        <f t="shared" si="1"/>
        <v>6589977.7999999998</v>
      </c>
      <c r="E30" s="18">
        <f>'raw data'!AH678</f>
        <v>6842072.2999999998</v>
      </c>
      <c r="F30" s="18">
        <f>SUM('raw data'!AI678:AK678)</f>
        <v>5378393</v>
      </c>
      <c r="G30" s="20">
        <f>'raw data'!AO678</f>
        <v>6518168</v>
      </c>
      <c r="H30" s="20">
        <f t="shared" si="2"/>
        <v>323904.29999999981</v>
      </c>
      <c r="I30" s="20">
        <f t="shared" si="3"/>
        <v>1463679.2999999998</v>
      </c>
      <c r="J30" s="30">
        <f t="shared" si="4"/>
        <v>21.334828804277763</v>
      </c>
      <c r="K30" s="30">
        <f t="shared" si="0"/>
        <v>3.6844758275939297E-2</v>
      </c>
      <c r="L30" s="30">
        <f t="shared" si="5"/>
        <v>26.140902717036667</v>
      </c>
      <c r="M30" s="30">
        <f t="shared" si="6"/>
        <v>27.140902717036667</v>
      </c>
      <c r="N30" s="30">
        <f t="shared" si="7"/>
        <v>25.856050012991162</v>
      </c>
      <c r="O30" s="30">
        <f t="shared" si="8"/>
        <v>1.0496925363077478</v>
      </c>
      <c r="P30" s="30">
        <f t="shared" si="9"/>
        <v>1.2721406375473119</v>
      </c>
      <c r="Q30" s="30">
        <f t="shared" si="10"/>
        <v>4.674570652191365</v>
      </c>
    </row>
    <row r="31" spans="1:17" s="42" customFormat="1" x14ac:dyDescent="0.5">
      <c r="A31" s="36" t="str">
        <f>'raw data'!A679</f>
        <v>2002-12</v>
      </c>
      <c r="B31" s="37">
        <f>'raw data'!U679</f>
        <v>610947.6</v>
      </c>
      <c r="C31" s="38">
        <f>'raw data'!V679</f>
        <v>254992</v>
      </c>
      <c r="D31" s="38">
        <f t="shared" si="1"/>
        <v>6679435.7000000002</v>
      </c>
      <c r="E31" s="39">
        <f>'raw data'!AH679</f>
        <v>6934427.7000000002</v>
      </c>
      <c r="F31" s="39">
        <f>SUM('raw data'!AI679:AK679)</f>
        <v>5344775.7</v>
      </c>
      <c r="G31" s="38">
        <f>'raw data'!AO679</f>
        <v>6607436.9000000004</v>
      </c>
      <c r="H31" s="38">
        <f t="shared" si="2"/>
        <v>326990.79999999981</v>
      </c>
      <c r="I31" s="38">
        <f t="shared" si="3"/>
        <v>1589652</v>
      </c>
      <c r="J31" s="40">
        <f t="shared" si="4"/>
        <v>20.960562292150343</v>
      </c>
      <c r="K31" s="40">
        <f t="shared" si="0"/>
        <v>3.6771888183360829E-2</v>
      </c>
      <c r="L31" s="40">
        <f t="shared" si="5"/>
        <v>26.194687284306958</v>
      </c>
      <c r="M31" s="40">
        <f t="shared" si="6"/>
        <v>27.194687284306958</v>
      </c>
      <c r="N31" s="40">
        <f t="shared" si="7"/>
        <v>25.912330190751085</v>
      </c>
      <c r="O31" s="40">
        <f t="shared" si="8"/>
        <v>1.049488297042988</v>
      </c>
      <c r="P31" s="40">
        <f t="shared" si="9"/>
        <v>1.2974216485829331</v>
      </c>
      <c r="Q31" s="40">
        <f t="shared" si="10"/>
        <v>4.362230035252999</v>
      </c>
    </row>
    <row r="32" spans="1:17" x14ac:dyDescent="0.5">
      <c r="A32" s="23" t="str">
        <f>'raw data'!A680</f>
        <v>2003-01</v>
      </c>
      <c r="B32" s="32">
        <f>'raw data'!U680</f>
        <v>610198.19999999995</v>
      </c>
      <c r="C32" s="20">
        <f>'raw data'!V680</f>
        <v>251182.2</v>
      </c>
      <c r="D32" s="20">
        <f t="shared" si="1"/>
        <v>6661770.7000000002</v>
      </c>
      <c r="E32" s="18">
        <f>'raw data'!AH680</f>
        <v>6912952.9000000004</v>
      </c>
      <c r="F32" s="18">
        <f>SUM('raw data'!AI680:AK680)</f>
        <v>5379785</v>
      </c>
      <c r="G32" s="20">
        <f>'raw data'!AO680</f>
        <v>6599094.5999999996</v>
      </c>
      <c r="H32" s="20">
        <f t="shared" si="2"/>
        <v>313858.30000000075</v>
      </c>
      <c r="I32" s="20">
        <f t="shared" si="3"/>
        <v>1533167.9000000004</v>
      </c>
      <c r="J32" s="30">
        <f t="shared" si="4"/>
        <v>21.417859227286009</v>
      </c>
      <c r="K32" s="30">
        <f t="shared" si="0"/>
        <v>3.6335008155487361E-2</v>
      </c>
      <c r="L32" s="30">
        <f t="shared" si="5"/>
        <v>26.521667140426352</v>
      </c>
      <c r="M32" s="30">
        <f t="shared" si="6"/>
        <v>27.521667140426352</v>
      </c>
      <c r="N32" s="30">
        <f t="shared" si="7"/>
        <v>26.272142691639772</v>
      </c>
      <c r="O32" s="30">
        <f t="shared" si="8"/>
        <v>1.0475608123575013</v>
      </c>
      <c r="P32" s="30">
        <f t="shared" si="9"/>
        <v>1.2849868349757472</v>
      </c>
      <c r="Q32" s="30">
        <f t="shared" si="10"/>
        <v>4.5089340182507076</v>
      </c>
    </row>
    <row r="33" spans="1:20" x14ac:dyDescent="0.5">
      <c r="A33" s="23" t="str">
        <f>'raw data'!A681</f>
        <v>2003-02</v>
      </c>
      <c r="B33" s="32">
        <f>'raw data'!U681</f>
        <v>608572.69999999995</v>
      </c>
      <c r="C33" s="20">
        <f>'raw data'!V681</f>
        <v>247057.2</v>
      </c>
      <c r="D33" s="20">
        <f t="shared" si="1"/>
        <v>6751721.5</v>
      </c>
      <c r="E33" s="18">
        <f>'raw data'!AH681</f>
        <v>6998778.7000000002</v>
      </c>
      <c r="F33" s="18">
        <f>SUM('raw data'!AI681:AK681)</f>
        <v>5438014.7000000002</v>
      </c>
      <c r="G33" s="20">
        <f>'raw data'!AO681</f>
        <v>6670175.2999999998</v>
      </c>
      <c r="H33" s="20">
        <f t="shared" si="2"/>
        <v>328603.40000000037</v>
      </c>
      <c r="I33" s="20">
        <f t="shared" si="3"/>
        <v>1560764</v>
      </c>
      <c r="J33" s="30">
        <f t="shared" si="4"/>
        <v>22.011156525695263</v>
      </c>
      <c r="K33" s="30">
        <f t="shared" si="0"/>
        <v>3.5300044563489341E-2</v>
      </c>
      <c r="L33" s="30">
        <f t="shared" si="5"/>
        <v>27.328576135405079</v>
      </c>
      <c r="M33" s="30">
        <f t="shared" si="6"/>
        <v>28.328576135405079</v>
      </c>
      <c r="N33" s="30">
        <f t="shared" si="7"/>
        <v>26.9985060139919</v>
      </c>
      <c r="O33" s="30">
        <f t="shared" si="8"/>
        <v>1.0492645822966602</v>
      </c>
      <c r="P33" s="30">
        <f t="shared" si="9"/>
        <v>1.2870098898408642</v>
      </c>
      <c r="Q33" s="30">
        <f t="shared" si="10"/>
        <v>4.4842004941169842</v>
      </c>
    </row>
    <row r="34" spans="1:20" x14ac:dyDescent="0.5">
      <c r="A34" s="23" t="str">
        <f>'raw data'!A682</f>
        <v>2003-03</v>
      </c>
      <c r="B34" s="32">
        <f>'raw data'!U682</f>
        <v>603353.1</v>
      </c>
      <c r="C34" s="20">
        <f>'raw data'!V682</f>
        <v>243718.5</v>
      </c>
      <c r="D34" s="20">
        <f t="shared" si="1"/>
        <v>6799158.0999999996</v>
      </c>
      <c r="E34" s="18">
        <f>'raw data'!AH682</f>
        <v>7042876.5999999996</v>
      </c>
      <c r="F34" s="18">
        <f>SUM('raw data'!AI682:AK682)</f>
        <v>5463388.5</v>
      </c>
      <c r="G34" s="20">
        <f>'raw data'!AO682</f>
        <v>6714315.4000000004</v>
      </c>
      <c r="H34" s="20">
        <f t="shared" si="2"/>
        <v>328561.19999999925</v>
      </c>
      <c r="I34" s="20">
        <f t="shared" si="3"/>
        <v>1579488.0999999996</v>
      </c>
      <c r="J34" s="30">
        <f t="shared" si="4"/>
        <v>22.416798478572616</v>
      </c>
      <c r="K34" s="30">
        <f t="shared" si="0"/>
        <v>3.4604965249568624E-2</v>
      </c>
      <c r="L34" s="30">
        <f t="shared" si="5"/>
        <v>27.897587175368301</v>
      </c>
      <c r="M34" s="30">
        <f t="shared" si="6"/>
        <v>28.897587175368301</v>
      </c>
      <c r="N34" s="30">
        <f t="shared" si="7"/>
        <v>27.549469572478085</v>
      </c>
      <c r="O34" s="30">
        <f t="shared" si="8"/>
        <v>1.0489344304558583</v>
      </c>
      <c r="P34" s="30">
        <f t="shared" si="9"/>
        <v>1.2891041155136596</v>
      </c>
      <c r="Q34" s="30">
        <f t="shared" si="10"/>
        <v>4.4589614825208255</v>
      </c>
    </row>
    <row r="35" spans="1:20" x14ac:dyDescent="0.5">
      <c r="A35" s="23" t="str">
        <f>'raw data'!A683</f>
        <v>2003-04</v>
      </c>
      <c r="B35" s="32">
        <f>'raw data'!U683</f>
        <v>602293.1</v>
      </c>
      <c r="C35" s="20">
        <f>'raw data'!V683</f>
        <v>239855.9</v>
      </c>
      <c r="D35" s="20">
        <f t="shared" si="1"/>
        <v>6828500.5999999996</v>
      </c>
      <c r="E35" s="18">
        <f>'raw data'!AH683</f>
        <v>7068356.5</v>
      </c>
      <c r="F35" s="18">
        <f>SUM('raw data'!AI683:AK683)</f>
        <v>5453323.7999999998</v>
      </c>
      <c r="G35" s="20">
        <f>'raw data'!AO683</f>
        <v>6720037.2999999998</v>
      </c>
      <c r="H35" s="20">
        <f t="shared" si="2"/>
        <v>348319.20000000019</v>
      </c>
      <c r="I35" s="20">
        <f t="shared" si="3"/>
        <v>1615032.7000000002</v>
      </c>
      <c r="J35" s="30">
        <f t="shared" si="4"/>
        <v>22.735833473347956</v>
      </c>
      <c r="K35" s="30">
        <f t="shared" si="0"/>
        <v>3.3933758151558996E-2</v>
      </c>
      <c r="L35" s="30">
        <f t="shared" si="5"/>
        <v>28.469179203013141</v>
      </c>
      <c r="M35" s="30">
        <f t="shared" si="6"/>
        <v>29.469179203013145</v>
      </c>
      <c r="N35" s="30">
        <f t="shared" si="7"/>
        <v>28.016977276773261</v>
      </c>
      <c r="O35" s="30">
        <f t="shared" si="8"/>
        <v>1.0518329265821189</v>
      </c>
      <c r="P35" s="30">
        <f t="shared" si="9"/>
        <v>1.2961556583161264</v>
      </c>
      <c r="Q35" s="30">
        <f t="shared" si="10"/>
        <v>4.3766027152267561</v>
      </c>
    </row>
    <row r="36" spans="1:20" x14ac:dyDescent="0.5">
      <c r="A36" s="23" t="str">
        <f>'raw data'!A684</f>
        <v>2003-05</v>
      </c>
      <c r="B36" s="32">
        <f>'raw data'!U684</f>
        <v>613210</v>
      </c>
      <c r="C36" s="20">
        <f>'raw data'!V684</f>
        <v>248238</v>
      </c>
      <c r="D36" s="20">
        <f t="shared" si="1"/>
        <v>6948343.7999999998</v>
      </c>
      <c r="E36" s="18">
        <f>'raw data'!AH684</f>
        <v>7196581.7999999998</v>
      </c>
      <c r="F36" s="18">
        <f>SUM('raw data'!AI684:AK684)</f>
        <v>5501537.7999999998</v>
      </c>
      <c r="G36" s="20">
        <f>'raw data'!AO684</f>
        <v>6833941.0999999996</v>
      </c>
      <c r="H36" s="20">
        <f t="shared" si="2"/>
        <v>362640.70000000019</v>
      </c>
      <c r="I36" s="20">
        <f t="shared" si="3"/>
        <v>1695044</v>
      </c>
      <c r="J36" s="30">
        <f t="shared" si="4"/>
        <v>22.162351453041033</v>
      </c>
      <c r="K36" s="30">
        <f t="shared" si="0"/>
        <v>3.4493875967615627E-2</v>
      </c>
      <c r="L36" s="30">
        <f t="shared" si="5"/>
        <v>27.990653324632007</v>
      </c>
      <c r="M36" s="30">
        <f t="shared" si="6"/>
        <v>28.990653324632007</v>
      </c>
      <c r="N36" s="30">
        <f t="shared" si="7"/>
        <v>27.529794390866829</v>
      </c>
      <c r="O36" s="30">
        <f t="shared" si="8"/>
        <v>1.0530646510839843</v>
      </c>
      <c r="P36" s="30">
        <f t="shared" si="9"/>
        <v>1.3081036723950166</v>
      </c>
      <c r="Q36" s="30">
        <f t="shared" si="10"/>
        <v>4.2456607616085478</v>
      </c>
    </row>
    <row r="37" spans="1:20" x14ac:dyDescent="0.5">
      <c r="A37" s="23" t="str">
        <f>'raw data'!A685</f>
        <v>2003-06</v>
      </c>
      <c r="B37" s="32">
        <f>'raw data'!U685</f>
        <v>613366.6</v>
      </c>
      <c r="C37" s="20">
        <f>'raw data'!V685</f>
        <v>245189.6</v>
      </c>
      <c r="D37" s="20">
        <f t="shared" si="1"/>
        <v>7035389.8000000007</v>
      </c>
      <c r="E37" s="18">
        <f>'raw data'!AH685</f>
        <v>7280579.4000000004</v>
      </c>
      <c r="F37" s="18">
        <f>SUM('raw data'!AI685:AK685)</f>
        <v>5543478</v>
      </c>
      <c r="G37" s="20">
        <f>'raw data'!AO685</f>
        <v>6910782.9000000004</v>
      </c>
      <c r="H37" s="20">
        <f t="shared" si="2"/>
        <v>369796.5</v>
      </c>
      <c r="I37" s="20">
        <f t="shared" si="3"/>
        <v>1737101.4000000004</v>
      </c>
      <c r="J37" s="30">
        <f t="shared" si="4"/>
        <v>22.608944261909965</v>
      </c>
      <c r="K37" s="30">
        <f t="shared" si="0"/>
        <v>3.3677209811076296E-2</v>
      </c>
      <c r="L37" s="30">
        <f t="shared" si="5"/>
        <v>28.693671346582402</v>
      </c>
      <c r="M37" s="30">
        <f t="shared" si="6"/>
        <v>29.693671346582402</v>
      </c>
      <c r="N37" s="30">
        <f t="shared" si="7"/>
        <v>28.18546504419437</v>
      </c>
      <c r="O37" s="30">
        <f t="shared" si="8"/>
        <v>1.0535100733666514</v>
      </c>
      <c r="P37" s="30">
        <f t="shared" si="9"/>
        <v>1.3133594829816229</v>
      </c>
      <c r="Q37" s="30">
        <f t="shared" si="10"/>
        <v>4.1912230339576029</v>
      </c>
    </row>
    <row r="38" spans="1:20" x14ac:dyDescent="0.5">
      <c r="A38" s="23" t="str">
        <f>'raw data'!A686</f>
        <v>2003-07</v>
      </c>
      <c r="B38" s="32">
        <f>'raw data'!U686</f>
        <v>617939.4</v>
      </c>
      <c r="C38" s="20">
        <f>'raw data'!V686</f>
        <v>245820.79999999999</v>
      </c>
      <c r="D38" s="20">
        <f t="shared" si="1"/>
        <v>7059945.4000000004</v>
      </c>
      <c r="E38" s="18">
        <f>'raw data'!AH686</f>
        <v>7305766.2000000002</v>
      </c>
      <c r="F38" s="18">
        <f>SUM('raw data'!AI686:AK686)</f>
        <v>5589842.6999999993</v>
      </c>
      <c r="G38" s="20">
        <f>'raw data'!AO686</f>
        <v>6950692.0999999996</v>
      </c>
      <c r="H38" s="20">
        <f t="shared" si="2"/>
        <v>355074.10000000056</v>
      </c>
      <c r="I38" s="20">
        <f t="shared" si="3"/>
        <v>1715923.5000000009</v>
      </c>
      <c r="J38" s="30">
        <f t="shared" si="4"/>
        <v>22.739502515653676</v>
      </c>
      <c r="K38" s="30">
        <f t="shared" si="0"/>
        <v>3.3647504350741472E-2</v>
      </c>
      <c r="L38" s="30">
        <f t="shared" si="5"/>
        <v>28.719886193519834</v>
      </c>
      <c r="M38" s="30">
        <f t="shared" si="6"/>
        <v>29.719886193519834</v>
      </c>
      <c r="N38" s="30">
        <f t="shared" si="7"/>
        <v>28.275443331076946</v>
      </c>
      <c r="O38" s="30">
        <f t="shared" si="8"/>
        <v>1.0510847114059334</v>
      </c>
      <c r="P38" s="30">
        <f t="shared" si="9"/>
        <v>1.3069716970747676</v>
      </c>
      <c r="Q38" s="30">
        <f t="shared" si="10"/>
        <v>4.2576293173908955</v>
      </c>
    </row>
    <row r="39" spans="1:20" x14ac:dyDescent="0.5">
      <c r="A39" s="23" t="str">
        <f>'raw data'!A687</f>
        <v>2003-08</v>
      </c>
      <c r="B39" s="32">
        <f>'raw data'!U687</f>
        <v>618795.1</v>
      </c>
      <c r="C39" s="20">
        <f>'raw data'!V687</f>
        <v>245567.6</v>
      </c>
      <c r="D39" s="20">
        <f t="shared" si="1"/>
        <v>7067359.4000000004</v>
      </c>
      <c r="E39" s="18">
        <f>'raw data'!AH687</f>
        <v>7312927</v>
      </c>
      <c r="F39" s="18">
        <f>SUM('raw data'!AI687:AK687)</f>
        <v>5621517.7000000002</v>
      </c>
      <c r="G39" s="20">
        <f>'raw data'!AO687</f>
        <v>6956933.4000000004</v>
      </c>
      <c r="H39" s="20">
        <f t="shared" si="2"/>
        <v>355993.59999999963</v>
      </c>
      <c r="I39" s="20">
        <f t="shared" si="3"/>
        <v>1691409.2999999998</v>
      </c>
      <c r="J39" s="30">
        <f t="shared" si="4"/>
        <v>22.891935662522254</v>
      </c>
      <c r="K39" s="30">
        <f t="shared" si="0"/>
        <v>3.3579933178602771E-2</v>
      </c>
      <c r="L39" s="30">
        <f t="shared" si="5"/>
        <v>28.779689991676427</v>
      </c>
      <c r="M39" s="30">
        <f t="shared" si="6"/>
        <v>29.779689991676424</v>
      </c>
      <c r="N39" s="30">
        <f t="shared" si="7"/>
        <v>28.330013405677295</v>
      </c>
      <c r="O39" s="30">
        <f t="shared" si="8"/>
        <v>1.0511710518890407</v>
      </c>
      <c r="P39" s="30">
        <f t="shared" si="9"/>
        <v>1.3008812548966981</v>
      </c>
      <c r="Q39" s="30">
        <f t="shared" si="10"/>
        <v>4.3235702913540806</v>
      </c>
    </row>
    <row r="40" spans="1:20" x14ac:dyDescent="0.5">
      <c r="A40" s="23" t="str">
        <f>'raw data'!A688</f>
        <v>2003-09</v>
      </c>
      <c r="B40" s="32">
        <f>'raw data'!U688</f>
        <v>618248.5</v>
      </c>
      <c r="C40" s="20">
        <f>'raw data'!V688</f>
        <v>244047.2</v>
      </c>
      <c r="D40" s="20">
        <f t="shared" si="1"/>
        <v>7032531.2999999998</v>
      </c>
      <c r="E40" s="18">
        <f>'raw data'!AH688</f>
        <v>7276578.5</v>
      </c>
      <c r="F40" s="18">
        <f>SUM('raw data'!AI688:AK688)</f>
        <v>5607037.4000000004</v>
      </c>
      <c r="G40" s="20">
        <f>'raw data'!AO688</f>
        <v>6910878.0999999996</v>
      </c>
      <c r="H40" s="20">
        <f t="shared" si="2"/>
        <v>365700.40000000037</v>
      </c>
      <c r="I40" s="20">
        <f t="shared" si="3"/>
        <v>1669541.0999999996</v>
      </c>
      <c r="J40" s="30">
        <f t="shared" si="4"/>
        <v>22.975217089153247</v>
      </c>
      <c r="K40" s="30">
        <f t="shared" si="0"/>
        <v>3.3538729775264571E-2</v>
      </c>
      <c r="L40" s="30">
        <f t="shared" si="5"/>
        <v>28.816275294287333</v>
      </c>
      <c r="M40" s="30">
        <f t="shared" si="6"/>
        <v>29.816275294287333</v>
      </c>
      <c r="N40" s="30">
        <f t="shared" si="7"/>
        <v>28.317793033478768</v>
      </c>
      <c r="O40" s="30">
        <f t="shared" si="8"/>
        <v>1.0529166329818493</v>
      </c>
      <c r="P40" s="30">
        <f t="shared" si="9"/>
        <v>1.2977581529953768</v>
      </c>
      <c r="Q40" s="30">
        <f t="shared" si="10"/>
        <v>4.3584302896167104</v>
      </c>
    </row>
    <row r="41" spans="1:20" x14ac:dyDescent="0.5">
      <c r="A41" s="23" t="str">
        <f>'raw data'!A689</f>
        <v>2003-10</v>
      </c>
      <c r="B41" s="32">
        <f>'raw data'!U689</f>
        <v>617352.5</v>
      </c>
      <c r="C41" s="20">
        <f>'raw data'!V689</f>
        <v>241731.9</v>
      </c>
      <c r="D41" s="20">
        <f t="shared" si="1"/>
        <v>7015983.5</v>
      </c>
      <c r="E41" s="18">
        <f>'raw data'!AH689</f>
        <v>7257715.4000000004</v>
      </c>
      <c r="F41" s="18">
        <f>SUM('raw data'!AI689:AK689)</f>
        <v>5569042.5999999996</v>
      </c>
      <c r="G41" s="20">
        <f>'raw data'!AO689</f>
        <v>6887707.2000000002</v>
      </c>
      <c r="H41" s="20">
        <f t="shared" si="2"/>
        <v>370008.20000000019</v>
      </c>
      <c r="I41" s="20">
        <f t="shared" si="3"/>
        <v>1688672.8000000007</v>
      </c>
      <c r="J41" s="30">
        <f t="shared" si="4"/>
        <v>23.038095509943041</v>
      </c>
      <c r="K41" s="30">
        <f t="shared" si="0"/>
        <v>3.3306886076023313E-2</v>
      </c>
      <c r="L41" s="30">
        <f t="shared" si="5"/>
        <v>29.023821431925203</v>
      </c>
      <c r="M41" s="30">
        <f t="shared" si="6"/>
        <v>30.023821431925207</v>
      </c>
      <c r="N41" s="30">
        <f t="shared" si="7"/>
        <v>28.49316618948513</v>
      </c>
      <c r="O41" s="30">
        <f t="shared" si="8"/>
        <v>1.0537200826423052</v>
      </c>
      <c r="P41" s="30">
        <f t="shared" si="9"/>
        <v>1.3032249744327689</v>
      </c>
      <c r="Q41" s="30">
        <f t="shared" si="10"/>
        <v>4.2978813894556707</v>
      </c>
    </row>
    <row r="42" spans="1:20" x14ac:dyDescent="0.5">
      <c r="A42" s="23" t="str">
        <f>'raw data'!A690</f>
        <v>2003-11</v>
      </c>
      <c r="B42" s="32">
        <f>'raw data'!U690</f>
        <v>646436.80000000005</v>
      </c>
      <c r="C42" s="20">
        <f>'raw data'!V690</f>
        <v>271378.3</v>
      </c>
      <c r="D42" s="20">
        <f t="shared" si="1"/>
        <v>7006895</v>
      </c>
      <c r="E42" s="18">
        <f>'raw data'!AH690</f>
        <v>7278273.2999999998</v>
      </c>
      <c r="F42" s="18">
        <f>SUM('raw data'!AI690:AK690)</f>
        <v>5603547</v>
      </c>
      <c r="G42" s="20">
        <f>'raw data'!AO690</f>
        <v>6909239.4000000004</v>
      </c>
      <c r="H42" s="20">
        <f t="shared" si="2"/>
        <v>369033.89999999944</v>
      </c>
      <c r="I42" s="20">
        <f t="shared" si="3"/>
        <v>1674726.2999999998</v>
      </c>
      <c r="J42" s="30">
        <f t="shared" si="4"/>
        <v>20.648471156315743</v>
      </c>
      <c r="K42" s="30">
        <f t="shared" si="0"/>
        <v>3.728608267568078E-2</v>
      </c>
      <c r="L42" s="30">
        <f t="shared" si="5"/>
        <v>25.819658388308866</v>
      </c>
      <c r="M42" s="30">
        <f t="shared" si="6"/>
        <v>26.819658388308866</v>
      </c>
      <c r="N42" s="30">
        <f t="shared" si="7"/>
        <v>25.459807950746249</v>
      </c>
      <c r="O42" s="30">
        <f t="shared" si="8"/>
        <v>1.0534116533869124</v>
      </c>
      <c r="P42" s="30">
        <f t="shared" si="9"/>
        <v>1.2988689663886106</v>
      </c>
      <c r="Q42" s="30">
        <f t="shared" si="10"/>
        <v>4.3459479319098291</v>
      </c>
    </row>
    <row r="43" spans="1:20" s="42" customFormat="1" x14ac:dyDescent="0.5">
      <c r="A43" s="36" t="str">
        <f>'raw data'!A691</f>
        <v>2003-12</v>
      </c>
      <c r="B43" s="37">
        <f>'raw data'!U691</f>
        <v>664772.1</v>
      </c>
      <c r="C43" s="38">
        <f>'raw data'!V691</f>
        <v>280989.7</v>
      </c>
      <c r="D43" s="38">
        <f t="shared" si="1"/>
        <v>7033550.5</v>
      </c>
      <c r="E43" s="39">
        <f>'raw data'!AH691</f>
        <v>7314540.2000000002</v>
      </c>
      <c r="F43" s="39">
        <f>SUM('raw data'!AI691:AK691)</f>
        <v>5631953.5999999996</v>
      </c>
      <c r="G43" s="38">
        <f>'raw data'!AO691</f>
        <v>6930551.9000000004</v>
      </c>
      <c r="H43" s="38">
        <f t="shared" si="2"/>
        <v>383988.29999999981</v>
      </c>
      <c r="I43" s="38">
        <f t="shared" si="3"/>
        <v>1682586.6000000006</v>
      </c>
      <c r="J43" s="40">
        <f t="shared" si="4"/>
        <v>20.043274184071514</v>
      </c>
      <c r="K43" s="40">
        <f t="shared" si="0"/>
        <v>3.8415223967187988E-2</v>
      </c>
      <c r="L43" s="40">
        <f t="shared" si="5"/>
        <v>25.031346344723666</v>
      </c>
      <c r="M43" s="40">
        <f t="shared" si="6"/>
        <v>26.031346344723666</v>
      </c>
      <c r="N43" s="40">
        <f t="shared" si="7"/>
        <v>24.664789848168812</v>
      </c>
      <c r="O43" s="40">
        <f t="shared" si="8"/>
        <v>1.0554051546746226</v>
      </c>
      <c r="P43" s="40">
        <f t="shared" si="9"/>
        <v>1.2987571843631667</v>
      </c>
      <c r="Q43" s="40">
        <f t="shared" si="10"/>
        <v>4.3471998410066961</v>
      </c>
    </row>
    <row r="44" spans="1:20" s="28" customFormat="1" x14ac:dyDescent="0.5">
      <c r="A44" s="23" t="str">
        <f>'raw data'!A692</f>
        <v>2004-01</v>
      </c>
      <c r="B44" s="32">
        <f>'raw data'!U692</f>
        <v>671934.4</v>
      </c>
      <c r="C44" s="20">
        <f>'raw data'!V692</f>
        <v>283276.59999999998</v>
      </c>
      <c r="D44" s="20">
        <f t="shared" si="1"/>
        <v>7118876.4000000004</v>
      </c>
      <c r="E44" s="18">
        <f>'raw data'!AH692</f>
        <v>7402153</v>
      </c>
      <c r="F44" s="18">
        <f>SUM('raw data'!AI692:AK692)</f>
        <v>5684357.3999999994</v>
      </c>
      <c r="G44" s="20">
        <f>'raw data'!AO692</f>
        <v>7023084</v>
      </c>
      <c r="H44" s="20">
        <f t="shared" si="2"/>
        <v>379069</v>
      </c>
      <c r="I44" s="20">
        <f t="shared" si="3"/>
        <v>1717795.6000000006</v>
      </c>
      <c r="J44" s="30">
        <f t="shared" si="4"/>
        <v>20.066455895050986</v>
      </c>
      <c r="K44" s="30">
        <f t="shared" si="0"/>
        <v>3.8269487269447143E-2</v>
      </c>
      <c r="L44" s="30">
        <f t="shared" si="5"/>
        <v>25.130478126326004</v>
      </c>
      <c r="M44" s="30">
        <f t="shared" si="6"/>
        <v>26.130478126326004</v>
      </c>
      <c r="N44" s="30">
        <f t="shared" si="7"/>
        <v>24.792319591522915</v>
      </c>
      <c r="O44" s="30">
        <f t="shared" si="8"/>
        <v>1.0539747210769514</v>
      </c>
      <c r="P44" s="30">
        <f t="shared" si="9"/>
        <v>1.3021969730474725</v>
      </c>
      <c r="Q44" s="30">
        <f t="shared" si="10"/>
        <v>4.3090999883804555</v>
      </c>
      <c r="S44" s="43" t="s">
        <v>1066</v>
      </c>
      <c r="T44" s="43" t="s">
        <v>1057</v>
      </c>
    </row>
    <row r="45" spans="1:20" s="28" customFormat="1" x14ac:dyDescent="0.5">
      <c r="A45" s="23" t="str">
        <f>'raw data'!A693</f>
        <v>2004-02</v>
      </c>
      <c r="B45" s="32">
        <f>'raw data'!U693</f>
        <v>671297.8</v>
      </c>
      <c r="C45" s="20">
        <f>'raw data'!V693</f>
        <v>281560.2</v>
      </c>
      <c r="D45" s="20">
        <f t="shared" si="1"/>
        <v>7239054.5999999996</v>
      </c>
      <c r="E45" s="18">
        <f>'raw data'!AH693</f>
        <v>7520614.7999999998</v>
      </c>
      <c r="F45" s="18">
        <f>SUM('raw data'!AI693:AK693)</f>
        <v>5749278.8999999994</v>
      </c>
      <c r="G45" s="20">
        <f>'raw data'!AO693</f>
        <v>7130441.0999999996</v>
      </c>
      <c r="H45" s="20">
        <f t="shared" si="2"/>
        <v>390173.70000000019</v>
      </c>
      <c r="I45" s="20">
        <f t="shared" si="3"/>
        <v>1771335.9000000004</v>
      </c>
      <c r="J45" s="30">
        <f t="shared" si="4"/>
        <v>20.419359341270532</v>
      </c>
      <c r="K45" s="30">
        <f t="shared" si="0"/>
        <v>3.7438455164596388E-2</v>
      </c>
      <c r="L45" s="30">
        <f t="shared" si="5"/>
        <v>25.710503828310959</v>
      </c>
      <c r="M45" s="30">
        <f t="shared" si="6"/>
        <v>26.710503828310959</v>
      </c>
      <c r="N45" s="30">
        <f t="shared" si="7"/>
        <v>25.324747957985537</v>
      </c>
      <c r="O45" s="30">
        <f t="shared" si="8"/>
        <v>1.0547194338369894</v>
      </c>
      <c r="P45" s="30">
        <f t="shared" si="9"/>
        <v>1.3080970554411615</v>
      </c>
      <c r="Q45" s="30">
        <f t="shared" si="10"/>
        <v>4.2457304681737655</v>
      </c>
      <c r="R45" s="28">
        <v>2004</v>
      </c>
      <c r="S45" s="44">
        <f>AVERAGE(P44:P55)</f>
        <v>1.2835543311677646</v>
      </c>
      <c r="T45" s="44">
        <f>AVERAGE(Q44:Q55)</f>
        <v>4.5341846569264055</v>
      </c>
    </row>
    <row r="46" spans="1:20" s="28" customFormat="1" x14ac:dyDescent="0.5">
      <c r="A46" s="23" t="str">
        <f>'raw data'!A694</f>
        <v>2004-03</v>
      </c>
      <c r="B46" s="32">
        <f>'raw data'!U694</f>
        <v>669655.6</v>
      </c>
      <c r="C46" s="20">
        <f>'raw data'!V694</f>
        <v>279474.5</v>
      </c>
      <c r="D46" s="20">
        <f t="shared" si="1"/>
        <v>7272080.7999999998</v>
      </c>
      <c r="E46" s="18">
        <f>'raw data'!AH694</f>
        <v>7551555.2999999998</v>
      </c>
      <c r="F46" s="18">
        <f>SUM('raw data'!AI694:AK694)</f>
        <v>5828558.7999999998</v>
      </c>
      <c r="G46" s="20">
        <f>'raw data'!AO694</f>
        <v>7160907.0999999996</v>
      </c>
      <c r="H46" s="20">
        <f t="shared" si="2"/>
        <v>390648.20000000019</v>
      </c>
      <c r="I46" s="20">
        <f t="shared" si="3"/>
        <v>1722996.5</v>
      </c>
      <c r="J46" s="30">
        <f t="shared" si="4"/>
        <v>20.855422587749509</v>
      </c>
      <c r="K46" s="30">
        <f t="shared" si="0"/>
        <v>3.7008866239779774E-2</v>
      </c>
      <c r="L46" s="30">
        <f t="shared" si="5"/>
        <v>26.020552143397698</v>
      </c>
      <c r="M46" s="30">
        <f t="shared" si="6"/>
        <v>27.020552143397698</v>
      </c>
      <c r="N46" s="30">
        <f t="shared" si="7"/>
        <v>25.622756637904352</v>
      </c>
      <c r="O46" s="30">
        <f t="shared" si="8"/>
        <v>1.0545528931662862</v>
      </c>
      <c r="P46" s="30">
        <f t="shared" si="9"/>
        <v>1.2956127851022108</v>
      </c>
      <c r="Q46" s="30">
        <f t="shared" si="10"/>
        <v>4.3828036214815294</v>
      </c>
      <c r="R46" s="28">
        <v>2005</v>
      </c>
      <c r="S46" s="44">
        <f>AVERAGE(P56:P67)</f>
        <v>1.2587810397542991</v>
      </c>
      <c r="T46" s="44">
        <f>AVERAGE(Q56:Q67)</f>
        <v>4.8672366547156711</v>
      </c>
    </row>
    <row r="47" spans="1:20" s="28" customFormat="1" x14ac:dyDescent="0.5">
      <c r="A47" s="23" t="str">
        <f>'raw data'!A695</f>
        <v>2004-04</v>
      </c>
      <c r="B47" s="32">
        <f>'raw data'!U695</f>
        <v>672082.9</v>
      </c>
      <c r="C47" s="20">
        <f>'raw data'!V695</f>
        <v>281049.09999999998</v>
      </c>
      <c r="D47" s="20">
        <f t="shared" si="1"/>
        <v>7357249.4000000004</v>
      </c>
      <c r="E47" s="18">
        <f>'raw data'!AH695</f>
        <v>7638298.5</v>
      </c>
      <c r="F47" s="18">
        <f>SUM('raw data'!AI695:AK695)</f>
        <v>5891009</v>
      </c>
      <c r="G47" s="20">
        <f>'raw data'!AO695</f>
        <v>7202602.0999999996</v>
      </c>
      <c r="H47" s="20">
        <f t="shared" si="2"/>
        <v>435696.40000000037</v>
      </c>
      <c r="I47" s="20">
        <f t="shared" si="3"/>
        <v>1747289.5</v>
      </c>
      <c r="J47" s="30">
        <f t="shared" si="4"/>
        <v>20.960782297470445</v>
      </c>
      <c r="K47" s="30">
        <f t="shared" si="0"/>
        <v>3.6794725945837277E-2</v>
      </c>
      <c r="L47" s="30">
        <f t="shared" si="5"/>
        <v>26.177808076951681</v>
      </c>
      <c r="M47" s="30">
        <f t="shared" si="6"/>
        <v>27.177808076951681</v>
      </c>
      <c r="N47" s="30">
        <f t="shared" si="7"/>
        <v>25.627557960512949</v>
      </c>
      <c r="O47" s="30">
        <f t="shared" si="8"/>
        <v>1.0604915270829691</v>
      </c>
      <c r="P47" s="30">
        <f t="shared" si="9"/>
        <v>1.2966027551477175</v>
      </c>
      <c r="Q47" s="30">
        <f t="shared" si="10"/>
        <v>4.3715128489011121</v>
      </c>
      <c r="R47" s="28">
        <v>2006</v>
      </c>
      <c r="S47" s="44">
        <f>AVERAGE(P68:P79)</f>
        <v>1.2443974014274488</v>
      </c>
      <c r="T47" s="44">
        <f>AVERAGE(Q68:Q79)</f>
        <v>5.0934117590147832</v>
      </c>
    </row>
    <row r="48" spans="1:20" s="28" customFormat="1" x14ac:dyDescent="0.5">
      <c r="A48" s="23" t="str">
        <f>'raw data'!A696</f>
        <v>2004-05</v>
      </c>
      <c r="B48" s="32">
        <f>'raw data'!U696</f>
        <v>677176.8</v>
      </c>
      <c r="C48" s="20">
        <f>'raw data'!V696</f>
        <v>284903.90000000002</v>
      </c>
      <c r="D48" s="20">
        <f t="shared" si="1"/>
        <v>7379888.3999999994</v>
      </c>
      <c r="E48" s="18">
        <f>'raw data'!AH696</f>
        <v>7664792.2999999998</v>
      </c>
      <c r="F48" s="18">
        <f>SUM('raw data'!AI696:AK696)</f>
        <v>6000669.6999999993</v>
      </c>
      <c r="G48" s="20">
        <f>'raw data'!AO696</f>
        <v>7233687.2000000002</v>
      </c>
      <c r="H48" s="20">
        <f t="shared" si="2"/>
        <v>431105.09999999963</v>
      </c>
      <c r="I48" s="20">
        <f t="shared" si="3"/>
        <v>1664122.6000000006</v>
      </c>
      <c r="J48" s="30">
        <f t="shared" si="4"/>
        <v>21.062083390223858</v>
      </c>
      <c r="K48" s="30">
        <f t="shared" si="0"/>
        <v>3.7170465793313151E-2</v>
      </c>
      <c r="L48" s="30">
        <f t="shared" si="5"/>
        <v>25.903079599822952</v>
      </c>
      <c r="M48" s="30">
        <f t="shared" si="6"/>
        <v>26.903079599822956</v>
      </c>
      <c r="N48" s="30">
        <f t="shared" si="7"/>
        <v>25.389919899306395</v>
      </c>
      <c r="O48" s="30">
        <f t="shared" si="8"/>
        <v>1.0595968678324934</v>
      </c>
      <c r="P48" s="30">
        <f t="shared" si="9"/>
        <v>1.2773228128187093</v>
      </c>
      <c r="Q48" s="30">
        <f t="shared" si="10"/>
        <v>4.6059060191839212</v>
      </c>
    </row>
    <row r="49" spans="1:20" s="28" customFormat="1" x14ac:dyDescent="0.5">
      <c r="A49" s="23" t="str">
        <f>'raw data'!A697</f>
        <v>2004-06</v>
      </c>
      <c r="B49" s="32">
        <f>'raw data'!U697</f>
        <v>679977.5</v>
      </c>
      <c r="C49" s="20">
        <f>'raw data'!V697</f>
        <v>287433.59999999998</v>
      </c>
      <c r="D49" s="20">
        <f t="shared" si="1"/>
        <v>7454905.4000000004</v>
      </c>
      <c r="E49" s="18">
        <f>'raw data'!AH697</f>
        <v>7742339</v>
      </c>
      <c r="F49" s="18">
        <f>SUM('raw data'!AI697:AK697)</f>
        <v>6060581.5</v>
      </c>
      <c r="G49" s="20">
        <f>'raw data'!AO697</f>
        <v>7331544.0999999996</v>
      </c>
      <c r="H49" s="20">
        <f t="shared" si="2"/>
        <v>410794.90000000037</v>
      </c>
      <c r="I49" s="20">
        <f t="shared" si="3"/>
        <v>1681757.5</v>
      </c>
      <c r="J49" s="30">
        <f t="shared" si="4"/>
        <v>21.085153231911651</v>
      </c>
      <c r="K49" s="30">
        <f t="shared" si="0"/>
        <v>3.7124905019012985E-2</v>
      </c>
      <c r="L49" s="30">
        <f t="shared" si="5"/>
        <v>25.936095849615359</v>
      </c>
      <c r="M49" s="30">
        <f t="shared" si="6"/>
        <v>26.936095849615356</v>
      </c>
      <c r="N49" s="30">
        <f t="shared" si="7"/>
        <v>25.506913944646694</v>
      </c>
      <c r="O49" s="30">
        <f t="shared" si="8"/>
        <v>1.0560311572019325</v>
      </c>
      <c r="P49" s="30">
        <f t="shared" si="9"/>
        <v>1.2774911120327315</v>
      </c>
      <c r="Q49" s="30">
        <f t="shared" si="10"/>
        <v>4.6037190260783731</v>
      </c>
    </row>
    <row r="50" spans="1:20" s="28" customFormat="1" x14ac:dyDescent="0.5">
      <c r="A50" s="23" t="str">
        <f>'raw data'!A698</f>
        <v>2004-07</v>
      </c>
      <c r="B50" s="32">
        <f>'raw data'!U698</f>
        <v>680087</v>
      </c>
      <c r="C50" s="20">
        <f>'raw data'!V698</f>
        <v>287878.59999999998</v>
      </c>
      <c r="D50" s="20">
        <f t="shared" si="1"/>
        <v>7557867.1000000006</v>
      </c>
      <c r="E50" s="18">
        <f>'raw data'!AH698</f>
        <v>7845745.7000000002</v>
      </c>
      <c r="F50" s="18">
        <f>SUM('raw data'!AI698:AK698)</f>
        <v>6156965.2999999998</v>
      </c>
      <c r="G50" s="20">
        <f>'raw data'!AO698</f>
        <v>7433368.7999999998</v>
      </c>
      <c r="H50" s="20">
        <f t="shared" si="2"/>
        <v>412376.90000000037</v>
      </c>
      <c r="I50" s="20">
        <f t="shared" si="3"/>
        <v>1688780.4000000004</v>
      </c>
      <c r="J50" s="30">
        <f t="shared" si="4"/>
        <v>21.387367105439587</v>
      </c>
      <c r="K50" s="30">
        <f t="shared" si="0"/>
        <v>3.66923184879673E-2</v>
      </c>
      <c r="L50" s="30">
        <f t="shared" si="5"/>
        <v>26.253660744494386</v>
      </c>
      <c r="M50" s="30">
        <f t="shared" si="6"/>
        <v>27.253660744494383</v>
      </c>
      <c r="N50" s="30">
        <f t="shared" si="7"/>
        <v>25.821192683304702</v>
      </c>
      <c r="O50" s="30">
        <f t="shared" si="8"/>
        <v>1.0554764483096817</v>
      </c>
      <c r="P50" s="30">
        <f t="shared" si="9"/>
        <v>1.2742877891483326</v>
      </c>
      <c r="Q50" s="30">
        <f t="shared" si="10"/>
        <v>4.6458057542591078</v>
      </c>
      <c r="S50" s="43" t="s">
        <v>1065</v>
      </c>
      <c r="T50" s="43" t="s">
        <v>1056</v>
      </c>
    </row>
    <row r="51" spans="1:20" s="28" customFormat="1" x14ac:dyDescent="0.5">
      <c r="A51" s="23" t="str">
        <f>'raw data'!A699</f>
        <v>2004-08</v>
      </c>
      <c r="B51" s="32">
        <f>'raw data'!U699</f>
        <v>683613.5</v>
      </c>
      <c r="C51" s="20">
        <f>'raw data'!V699</f>
        <v>290661.3</v>
      </c>
      <c r="D51" s="20">
        <f t="shared" si="1"/>
        <v>7586471.1000000006</v>
      </c>
      <c r="E51" s="18">
        <f>'raw data'!AH699</f>
        <v>7877132.4000000004</v>
      </c>
      <c r="F51" s="18">
        <f>SUM('raw data'!AI699:AK699)</f>
        <v>6169053.8000000007</v>
      </c>
      <c r="G51" s="20">
        <f>'raw data'!AO699</f>
        <v>7445370.7999999998</v>
      </c>
      <c r="H51" s="20">
        <f t="shared" si="2"/>
        <v>431761.60000000056</v>
      </c>
      <c r="I51" s="20">
        <f t="shared" si="3"/>
        <v>1708078.5999999996</v>
      </c>
      <c r="J51" s="30">
        <f t="shared" si="4"/>
        <v>21.224200813799431</v>
      </c>
      <c r="K51" s="30">
        <f t="shared" si="0"/>
        <v>3.68993797793725E-2</v>
      </c>
      <c r="L51" s="30">
        <f t="shared" si="5"/>
        <v>26.100726515707461</v>
      </c>
      <c r="M51" s="30">
        <f t="shared" si="6"/>
        <v>27.100726515707461</v>
      </c>
      <c r="N51" s="30">
        <f t="shared" si="7"/>
        <v>25.61528074084854</v>
      </c>
      <c r="O51" s="30">
        <f t="shared" si="8"/>
        <v>1.0579906107564181</v>
      </c>
      <c r="P51" s="30">
        <f t="shared" si="9"/>
        <v>1.2768785384883496</v>
      </c>
      <c r="Q51" s="30">
        <f t="shared" si="10"/>
        <v>4.6116919912233563</v>
      </c>
      <c r="S51" s="44">
        <f>AVERAGE(J8:J55)</f>
        <v>21.292135886211181</v>
      </c>
      <c r="T51" s="44">
        <f>AVERAGE(K8:K55)</f>
        <v>3.6700477498276866E-2</v>
      </c>
    </row>
    <row r="52" spans="1:20" s="28" customFormat="1" x14ac:dyDescent="0.5">
      <c r="A52" s="23" t="str">
        <f>'raw data'!A700</f>
        <v>2004-09</v>
      </c>
      <c r="B52" s="32">
        <f>'raw data'!U700</f>
        <v>686419.5</v>
      </c>
      <c r="C52" s="20">
        <f>'raw data'!V700</f>
        <v>294299.2</v>
      </c>
      <c r="D52" s="20">
        <f t="shared" si="1"/>
        <v>7666584.0999999996</v>
      </c>
      <c r="E52" s="18">
        <f>'raw data'!AH700</f>
        <v>7960883.2999999998</v>
      </c>
      <c r="F52" s="18">
        <f>SUM('raw data'!AI700:AK700)</f>
        <v>6202452.8000000007</v>
      </c>
      <c r="G52" s="20">
        <f>'raw data'!AO700</f>
        <v>7498189.2999999998</v>
      </c>
      <c r="H52" s="20">
        <f t="shared" si="2"/>
        <v>462694</v>
      </c>
      <c r="I52" s="20">
        <f t="shared" si="3"/>
        <v>1758430.4999999991</v>
      </c>
      <c r="J52" s="30">
        <f t="shared" si="4"/>
        <v>21.075330140211051</v>
      </c>
      <c r="K52" s="30">
        <f t="shared" si="0"/>
        <v>3.696815904838098E-2</v>
      </c>
      <c r="L52" s="30">
        <f t="shared" si="5"/>
        <v>26.050305607354691</v>
      </c>
      <c r="M52" s="30">
        <f t="shared" si="6"/>
        <v>27.050305607354691</v>
      </c>
      <c r="N52" s="30">
        <f t="shared" si="7"/>
        <v>25.47811648825413</v>
      </c>
      <c r="O52" s="30">
        <f t="shared" si="8"/>
        <v>1.061707431152745</v>
      </c>
      <c r="P52" s="30">
        <f t="shared" si="9"/>
        <v>1.2835056640817966</v>
      </c>
      <c r="Q52" s="30">
        <f t="shared" si="10"/>
        <v>4.5272663889758533</v>
      </c>
    </row>
    <row r="53" spans="1:20" s="28" customFormat="1" x14ac:dyDescent="0.5">
      <c r="A53" s="23" t="str">
        <f>'raw data'!A701</f>
        <v>2004-10</v>
      </c>
      <c r="B53" s="32">
        <f>'raw data'!U701</f>
        <v>684346.8</v>
      </c>
      <c r="C53" s="20">
        <f>'raw data'!V701</f>
        <v>291309</v>
      </c>
      <c r="D53" s="20">
        <f t="shared" si="1"/>
        <v>7682430.5999999996</v>
      </c>
      <c r="E53" s="18">
        <f>'raw data'!AH701</f>
        <v>7973739.5999999996</v>
      </c>
      <c r="F53" s="18">
        <f>SUM('raw data'!AI701:AK701)</f>
        <v>6241305.5999999996</v>
      </c>
      <c r="G53" s="20">
        <f>'raw data'!AO701</f>
        <v>7493249</v>
      </c>
      <c r="H53" s="20">
        <f t="shared" si="2"/>
        <v>480490.59999999963</v>
      </c>
      <c r="I53" s="20">
        <f t="shared" si="3"/>
        <v>1732434</v>
      </c>
      <c r="J53" s="30">
        <f t="shared" si="4"/>
        <v>21.425035271824761</v>
      </c>
      <c r="K53" s="30">
        <f t="shared" si="0"/>
        <v>3.6533548198639444E-2</v>
      </c>
      <c r="L53" s="30">
        <f t="shared" si="5"/>
        <v>26.372101788822178</v>
      </c>
      <c r="M53" s="30">
        <f t="shared" si="6"/>
        <v>27.372101788822178</v>
      </c>
      <c r="N53" s="30">
        <f t="shared" si="7"/>
        <v>25.722682787006239</v>
      </c>
      <c r="O53" s="30">
        <f t="shared" si="8"/>
        <v>1.0641231327025167</v>
      </c>
      <c r="P53" s="30">
        <f t="shared" si="9"/>
        <v>1.2775755764947643</v>
      </c>
      <c r="Q53" s="30">
        <f t="shared" si="10"/>
        <v>4.6026224375647207</v>
      </c>
    </row>
    <row r="54" spans="1:20" s="28" customFormat="1" x14ac:dyDescent="0.5">
      <c r="A54" s="23" t="str">
        <f>'raw data'!A702</f>
        <v>2004-11</v>
      </c>
      <c r="B54" s="32">
        <f>'raw data'!U702</f>
        <v>680706.3</v>
      </c>
      <c r="C54" s="20">
        <f>'raw data'!V702</f>
        <v>287768.8</v>
      </c>
      <c r="D54" s="20">
        <f t="shared" si="1"/>
        <v>7721897.7000000002</v>
      </c>
      <c r="E54" s="18">
        <f>'raw data'!AH702</f>
        <v>8009666.5</v>
      </c>
      <c r="F54" s="18">
        <f>SUM('raw data'!AI702:AK702)</f>
        <v>6313141.4000000004</v>
      </c>
      <c r="G54" s="20">
        <f>'raw data'!AO702</f>
        <v>7537779.5</v>
      </c>
      <c r="H54" s="20">
        <f t="shared" si="2"/>
        <v>471887</v>
      </c>
      <c r="I54" s="20">
        <f t="shared" si="3"/>
        <v>1696525.0999999996</v>
      </c>
      <c r="J54" s="30">
        <f t="shared" si="4"/>
        <v>21.938241393785567</v>
      </c>
      <c r="K54" s="30">
        <f t="shared" si="0"/>
        <v>3.5927688125342049E-2</v>
      </c>
      <c r="L54" s="30">
        <f t="shared" si="5"/>
        <v>26.833686278707074</v>
      </c>
      <c r="M54" s="30">
        <f t="shared" si="6"/>
        <v>27.833686278707074</v>
      </c>
      <c r="N54" s="30">
        <f t="shared" si="7"/>
        <v>26.193873345546844</v>
      </c>
      <c r="O54" s="30">
        <f t="shared" si="8"/>
        <v>1.0626029190692032</v>
      </c>
      <c r="P54" s="30">
        <f t="shared" si="9"/>
        <v>1.2687291464753188</v>
      </c>
      <c r="Q54" s="30">
        <f t="shared" si="10"/>
        <v>4.721218978723039</v>
      </c>
    </row>
    <row r="55" spans="1:20" s="41" customFormat="1" x14ac:dyDescent="0.5">
      <c r="A55" s="36" t="str">
        <f>'raw data'!A703</f>
        <v>2004-12</v>
      </c>
      <c r="B55" s="37">
        <f>'raw data'!U703</f>
        <v>691415</v>
      </c>
      <c r="C55" s="38">
        <f>'raw data'!V703</f>
        <v>296868.7</v>
      </c>
      <c r="D55" s="38">
        <f t="shared" si="1"/>
        <v>7742069.0999999996</v>
      </c>
      <c r="E55" s="39">
        <f>'raw data'!AH703</f>
        <v>8038937.7999999998</v>
      </c>
      <c r="F55" s="39">
        <f>SUM('raw data'!AI703:AK703)</f>
        <v>6358149.6999999993</v>
      </c>
      <c r="G55" s="38">
        <f>'raw data'!AO703</f>
        <v>7548653.0999999996</v>
      </c>
      <c r="H55" s="38">
        <f t="shared" si="2"/>
        <v>490284.70000000019</v>
      </c>
      <c r="I55" s="38">
        <f t="shared" si="3"/>
        <v>1680788.1000000006</v>
      </c>
      <c r="J55" s="40">
        <f t="shared" si="4"/>
        <v>21.417379804607219</v>
      </c>
      <c r="K55" s="40">
        <f t="shared" si="0"/>
        <v>3.6928846495117802E-2</v>
      </c>
      <c r="L55" s="40">
        <f t="shared" si="5"/>
        <v>26.079101973363979</v>
      </c>
      <c r="M55" s="40">
        <f t="shared" si="6"/>
        <v>27.079101973363979</v>
      </c>
      <c r="N55" s="40">
        <f t="shared" si="7"/>
        <v>25.427581621100504</v>
      </c>
      <c r="O55" s="40">
        <f t="shared" si="8"/>
        <v>1.0649499577613388</v>
      </c>
      <c r="P55" s="40">
        <f t="shared" si="9"/>
        <v>1.2643517657346131</v>
      </c>
      <c r="Q55" s="40">
        <f t="shared" si="10"/>
        <v>4.7828383601716347</v>
      </c>
    </row>
    <row r="56" spans="1:20" x14ac:dyDescent="0.5">
      <c r="A56" s="23" t="str">
        <f>'raw data'!A704</f>
        <v>2005-01</v>
      </c>
      <c r="B56" s="32">
        <f>'raw data'!U704</f>
        <v>693794.9</v>
      </c>
      <c r="C56" s="20">
        <f>'raw data'!V704</f>
        <v>303790.40000000002</v>
      </c>
      <c r="D56" s="20">
        <f t="shared" si="1"/>
        <v>7792052.6999999993</v>
      </c>
      <c r="E56" s="18">
        <f>'raw data'!AH704</f>
        <v>8095843.0999999996</v>
      </c>
      <c r="F56" s="18">
        <f>SUM('raw data'!AI704:AK704)</f>
        <v>6424894.4000000004</v>
      </c>
      <c r="G56" s="20">
        <f>'raw data'!AO704</f>
        <v>7607596.5</v>
      </c>
      <c r="H56" s="20">
        <f t="shared" si="2"/>
        <v>488246.59999999963</v>
      </c>
      <c r="I56" s="20">
        <f t="shared" si="3"/>
        <v>1670948.6999999993</v>
      </c>
      <c r="J56" s="30">
        <f t="shared" si="4"/>
        <v>21.149102802458536</v>
      </c>
      <c r="K56" s="30">
        <f t="shared" si="0"/>
        <v>3.752424500420469E-2</v>
      </c>
      <c r="L56" s="30">
        <f t="shared" si="5"/>
        <v>25.649436914398869</v>
      </c>
      <c r="M56" s="30">
        <f t="shared" si="6"/>
        <v>26.649436914398873</v>
      </c>
      <c r="N56" s="30">
        <f t="shared" si="7"/>
        <v>25.042254462287154</v>
      </c>
      <c r="O56" s="30">
        <f t="shared" si="8"/>
        <v>1.0641788244158321</v>
      </c>
      <c r="P56" s="30">
        <f t="shared" si="9"/>
        <v>1.2600741111013434</v>
      </c>
      <c r="Q56" s="30">
        <f t="shared" si="10"/>
        <v>4.8450578404950448</v>
      </c>
    </row>
    <row r="57" spans="1:20" x14ac:dyDescent="0.5">
      <c r="A57" s="23" t="str">
        <f>'raw data'!A705</f>
        <v>2005-02</v>
      </c>
      <c r="B57" s="32">
        <f>'raw data'!U705</f>
        <v>690746.4</v>
      </c>
      <c r="C57" s="20">
        <f>'raw data'!V705</f>
        <v>299128.90000000002</v>
      </c>
      <c r="D57" s="20">
        <f t="shared" si="1"/>
        <v>7874900.5999999996</v>
      </c>
      <c r="E57" s="18">
        <f>'raw data'!AH705</f>
        <v>8174029.5</v>
      </c>
      <c r="F57" s="18">
        <f>SUM('raw data'!AI705:AK705)</f>
        <v>6462188.8000000007</v>
      </c>
      <c r="G57" s="20">
        <f>'raw data'!AO705</f>
        <v>7661914</v>
      </c>
      <c r="H57" s="20">
        <f t="shared" si="2"/>
        <v>512115.5</v>
      </c>
      <c r="I57" s="20">
        <f t="shared" si="3"/>
        <v>1711840.6999999993</v>
      </c>
      <c r="J57" s="30">
        <f t="shared" si="4"/>
        <v>21.603358284672595</v>
      </c>
      <c r="K57" s="30">
        <f t="shared" si="0"/>
        <v>3.6595035532964497E-2</v>
      </c>
      <c r="L57" s="30">
        <f t="shared" si="5"/>
        <v>26.326110917400488</v>
      </c>
      <c r="M57" s="30">
        <f t="shared" si="6"/>
        <v>27.326110917400491</v>
      </c>
      <c r="N57" s="30">
        <f t="shared" si="7"/>
        <v>25.614088107167177</v>
      </c>
      <c r="O57" s="30">
        <f t="shared" si="8"/>
        <v>1.066839108348123</v>
      </c>
      <c r="P57" s="30">
        <f t="shared" si="9"/>
        <v>1.2649010657194044</v>
      </c>
      <c r="Q57" s="30">
        <f t="shared" si="10"/>
        <v>4.7749942503411695</v>
      </c>
    </row>
    <row r="58" spans="1:20" x14ac:dyDescent="0.5">
      <c r="A58" s="23" t="str">
        <f>'raw data'!A706</f>
        <v>2005-03</v>
      </c>
      <c r="B58" s="32">
        <f>'raw data'!U706</f>
        <v>693057.9</v>
      </c>
      <c r="C58" s="20">
        <f>'raw data'!V706</f>
        <v>299727.2</v>
      </c>
      <c r="D58" s="20">
        <f t="shared" si="1"/>
        <v>7968888.7000000002</v>
      </c>
      <c r="E58" s="18">
        <f>'raw data'!AH706</f>
        <v>8268615.9000000004</v>
      </c>
      <c r="F58" s="18">
        <f>SUM('raw data'!AI706:AK706)</f>
        <v>6499953.9000000004</v>
      </c>
      <c r="G58" s="20">
        <f>'raw data'!AO706</f>
        <v>7746512.2000000002</v>
      </c>
      <c r="H58" s="20">
        <f t="shared" si="2"/>
        <v>522103.70000000019</v>
      </c>
      <c r="I58" s="20">
        <f t="shared" si="3"/>
        <v>1768662</v>
      </c>
      <c r="J58" s="30">
        <f t="shared" si="4"/>
        <v>21.686233014554567</v>
      </c>
      <c r="K58" s="30">
        <f t="shared" si="0"/>
        <v>3.6248775324053933E-2</v>
      </c>
      <c r="L58" s="30">
        <f t="shared" si="5"/>
        <v>26.587138904977593</v>
      </c>
      <c r="M58" s="30">
        <f t="shared" si="6"/>
        <v>27.587138904977593</v>
      </c>
      <c r="N58" s="30">
        <f t="shared" si="7"/>
        <v>25.845209243605517</v>
      </c>
      <c r="O58" s="30">
        <f t="shared" si="8"/>
        <v>1.0673985513119053</v>
      </c>
      <c r="P58" s="30">
        <f t="shared" si="9"/>
        <v>1.2721037759975498</v>
      </c>
      <c r="Q58" s="30">
        <f t="shared" si="10"/>
        <v>4.675068441567694</v>
      </c>
    </row>
    <row r="59" spans="1:20" x14ac:dyDescent="0.5">
      <c r="A59" s="23" t="str">
        <f>'raw data'!A707</f>
        <v>2005-04</v>
      </c>
      <c r="B59" s="32">
        <f>'raw data'!U707</f>
        <v>693525.3</v>
      </c>
      <c r="C59" s="20">
        <f>'raw data'!V707</f>
        <v>301125.59999999998</v>
      </c>
      <c r="D59" s="20">
        <f t="shared" si="1"/>
        <v>7999630.4000000004</v>
      </c>
      <c r="E59" s="18">
        <f>'raw data'!AH707</f>
        <v>8300756</v>
      </c>
      <c r="F59" s="18">
        <f>SUM('raw data'!AI707:AK707)</f>
        <v>6572787.5</v>
      </c>
      <c r="G59" s="20">
        <f>'raw data'!AO707</f>
        <v>7765176.5999999996</v>
      </c>
      <c r="H59" s="20">
        <f t="shared" si="2"/>
        <v>535579.40000000037</v>
      </c>
      <c r="I59" s="20">
        <f t="shared" si="3"/>
        <v>1727968.5</v>
      </c>
      <c r="J59" s="30">
        <f t="shared" si="4"/>
        <v>21.827395279577694</v>
      </c>
      <c r="K59" s="30">
        <f t="shared" si="0"/>
        <v>3.6276888514732875E-2</v>
      </c>
      <c r="L59" s="30">
        <f t="shared" si="5"/>
        <v>26.565759935389089</v>
      </c>
      <c r="M59" s="30">
        <f t="shared" si="6"/>
        <v>27.565759935389089</v>
      </c>
      <c r="N59" s="30">
        <f t="shared" si="7"/>
        <v>25.787168543624322</v>
      </c>
      <c r="O59" s="30">
        <f t="shared" si="8"/>
        <v>1.0689719535805535</v>
      </c>
      <c r="P59" s="30">
        <f t="shared" si="9"/>
        <v>1.2628973628007905</v>
      </c>
      <c r="Q59" s="30">
        <f t="shared" si="10"/>
        <v>4.8037658093883078</v>
      </c>
    </row>
    <row r="60" spans="1:20" x14ac:dyDescent="0.5">
      <c r="A60" s="23" t="str">
        <f>'raw data'!A708</f>
        <v>2005-05</v>
      </c>
      <c r="B60" s="32">
        <f>'raw data'!U708</f>
        <v>691829.1</v>
      </c>
      <c r="C60" s="20">
        <f>'raw data'!V708</f>
        <v>298997.3</v>
      </c>
      <c r="D60" s="20">
        <f t="shared" si="1"/>
        <v>8081607.6000000006</v>
      </c>
      <c r="E60" s="18">
        <f>'raw data'!AH708</f>
        <v>8380604.9000000004</v>
      </c>
      <c r="F60" s="18">
        <f>SUM('raw data'!AI708:AK708)</f>
        <v>6603902.7000000002</v>
      </c>
      <c r="G60" s="20">
        <f>'raw data'!AO708</f>
        <v>7834926.4000000004</v>
      </c>
      <c r="H60" s="20">
        <f t="shared" si="2"/>
        <v>545678.5</v>
      </c>
      <c r="I60" s="20">
        <f t="shared" si="3"/>
        <v>1776702.2000000002</v>
      </c>
      <c r="J60" s="30">
        <f t="shared" si="4"/>
        <v>22.086830549974866</v>
      </c>
      <c r="K60" s="30">
        <f t="shared" si="0"/>
        <v>3.5677293413510038E-2</v>
      </c>
      <c r="L60" s="30">
        <f t="shared" si="5"/>
        <v>27.02903203473744</v>
      </c>
      <c r="M60" s="30">
        <f t="shared" si="6"/>
        <v>28.02903203473744</v>
      </c>
      <c r="N60" s="30">
        <f t="shared" si="7"/>
        <v>26.20400384886419</v>
      </c>
      <c r="O60" s="30">
        <f t="shared" si="8"/>
        <v>1.0696469209972412</v>
      </c>
      <c r="P60" s="30">
        <f t="shared" si="9"/>
        <v>1.269038215841672</v>
      </c>
      <c r="Q60" s="30">
        <f t="shared" si="10"/>
        <v>4.7169440663719557</v>
      </c>
    </row>
    <row r="61" spans="1:20" x14ac:dyDescent="0.5">
      <c r="A61" s="23" t="str">
        <f>'raw data'!A709</f>
        <v>2005-06</v>
      </c>
      <c r="B61" s="32">
        <f>'raw data'!U709</f>
        <v>692900.4</v>
      </c>
      <c r="C61" s="20">
        <f>'raw data'!V709</f>
        <v>301594.90000000002</v>
      </c>
      <c r="D61" s="20">
        <f t="shared" si="1"/>
        <v>8126343.4000000004</v>
      </c>
      <c r="E61" s="18">
        <f>'raw data'!AH709</f>
        <v>8427938.3000000007</v>
      </c>
      <c r="F61" s="18">
        <f>SUM('raw data'!AI709:AK709)</f>
        <v>6690853.8000000007</v>
      </c>
      <c r="G61" s="20">
        <f>'raw data'!AO709</f>
        <v>7877526.2999999998</v>
      </c>
      <c r="H61" s="20">
        <f t="shared" si="2"/>
        <v>550412.00000000093</v>
      </c>
      <c r="I61" s="20">
        <f t="shared" si="3"/>
        <v>1737084.5</v>
      </c>
      <c r="J61" s="30">
        <f t="shared" si="4"/>
        <v>22.184903657190489</v>
      </c>
      <c r="K61" s="30">
        <f t="shared" si="0"/>
        <v>3.5785133832790396E-2</v>
      </c>
      <c r="L61" s="30">
        <f t="shared" si="5"/>
        <v>26.944565044037546</v>
      </c>
      <c r="M61" s="30">
        <f t="shared" si="6"/>
        <v>27.944565044037549</v>
      </c>
      <c r="N61" s="30">
        <f t="shared" si="7"/>
        <v>26.119560708752037</v>
      </c>
      <c r="O61" s="30">
        <f t="shared" si="8"/>
        <v>1.0698711726294079</v>
      </c>
      <c r="P61" s="30">
        <f t="shared" si="9"/>
        <v>1.2596207527356225</v>
      </c>
      <c r="Q61" s="30">
        <f t="shared" si="10"/>
        <v>4.851772207972612</v>
      </c>
    </row>
    <row r="62" spans="1:20" x14ac:dyDescent="0.5">
      <c r="A62" s="23" t="str">
        <f>'raw data'!A710</f>
        <v>2005-07</v>
      </c>
      <c r="B62" s="32">
        <f>'raw data'!U710</f>
        <v>697638.40000000002</v>
      </c>
      <c r="C62" s="20">
        <f>'raw data'!V710</f>
        <v>302440.09999999998</v>
      </c>
      <c r="D62" s="20">
        <f t="shared" si="1"/>
        <v>8171457.0999999996</v>
      </c>
      <c r="E62" s="18">
        <f>'raw data'!AH710</f>
        <v>8473897.1999999993</v>
      </c>
      <c r="F62" s="18">
        <f>SUM('raw data'!AI710:AK710)</f>
        <v>6730293.6999999993</v>
      </c>
      <c r="G62" s="20">
        <f>'raw data'!AO710</f>
        <v>7939848.9000000004</v>
      </c>
      <c r="H62" s="20">
        <f t="shared" si="2"/>
        <v>534048.29999999888</v>
      </c>
      <c r="I62" s="20">
        <f t="shared" si="3"/>
        <v>1743603.5</v>
      </c>
      <c r="J62" s="30">
        <f t="shared" si="4"/>
        <v>22.253311316852493</v>
      </c>
      <c r="K62" s="30">
        <f t="shared" si="0"/>
        <v>3.5690791717416633E-2</v>
      </c>
      <c r="L62" s="30">
        <f t="shared" si="5"/>
        <v>27.018431418320521</v>
      </c>
      <c r="M62" s="30">
        <f t="shared" si="6"/>
        <v>28.018431418320521</v>
      </c>
      <c r="N62" s="30">
        <f t="shared" si="7"/>
        <v>26.252632835394515</v>
      </c>
      <c r="O62" s="30">
        <f t="shared" si="8"/>
        <v>1.0672617711906329</v>
      </c>
      <c r="P62" s="30">
        <f t="shared" si="9"/>
        <v>1.259067966082966</v>
      </c>
      <c r="Q62" s="30">
        <f t="shared" si="10"/>
        <v>4.8599909325715389</v>
      </c>
    </row>
    <row r="63" spans="1:20" x14ac:dyDescent="0.5">
      <c r="A63" s="23" t="str">
        <f>'raw data'!A711</f>
        <v>2005-08</v>
      </c>
      <c r="B63" s="32">
        <f>'raw data'!U711</f>
        <v>705855.3</v>
      </c>
      <c r="C63" s="20">
        <f>'raw data'!V711</f>
        <v>302007.90000000002</v>
      </c>
      <c r="D63" s="20">
        <f t="shared" si="1"/>
        <v>8269716.7999999989</v>
      </c>
      <c r="E63" s="18">
        <f>'raw data'!AH711</f>
        <v>8571724.6999999993</v>
      </c>
      <c r="F63" s="18">
        <f>SUM('raw data'!AI711:AK711)</f>
        <v>6832019.5999999996</v>
      </c>
      <c r="G63" s="20">
        <f>'raw data'!AO711</f>
        <v>8032491.9000000004</v>
      </c>
      <c r="H63" s="20">
        <f t="shared" si="2"/>
        <v>539232.79999999888</v>
      </c>
      <c r="I63" s="20">
        <f t="shared" si="3"/>
        <v>1739705.0999999996</v>
      </c>
      <c r="J63" s="30">
        <f t="shared" si="4"/>
        <v>22.621989689673679</v>
      </c>
      <c r="K63" s="30">
        <f t="shared" si="0"/>
        <v>3.5233037757267223E-2</v>
      </c>
      <c r="L63" s="30">
        <f t="shared" si="5"/>
        <v>27.38245191599292</v>
      </c>
      <c r="M63" s="30">
        <f t="shared" si="6"/>
        <v>28.38245191599292</v>
      </c>
      <c r="N63" s="30">
        <f t="shared" si="7"/>
        <v>26.596959549733633</v>
      </c>
      <c r="O63" s="30">
        <f t="shared" si="8"/>
        <v>1.0671314464693078</v>
      </c>
      <c r="P63" s="30">
        <f t="shared" si="9"/>
        <v>1.2546399457050739</v>
      </c>
      <c r="Q63" s="30">
        <f t="shared" si="10"/>
        <v>4.9271136240274291</v>
      </c>
    </row>
    <row r="64" spans="1:20" x14ac:dyDescent="0.5">
      <c r="A64" s="23" t="str">
        <f>'raw data'!A712</f>
        <v>2005-09</v>
      </c>
      <c r="B64" s="32">
        <f>'raw data'!U712</f>
        <v>711058.5</v>
      </c>
      <c r="C64" s="20">
        <f>'raw data'!V712</f>
        <v>304130.3</v>
      </c>
      <c r="D64" s="20">
        <f t="shared" si="1"/>
        <v>8329633.8999999994</v>
      </c>
      <c r="E64" s="18">
        <f>'raw data'!AH712</f>
        <v>8633764.1999999993</v>
      </c>
      <c r="F64" s="18">
        <f>SUM('raw data'!AI712:AK712)</f>
        <v>6892137.5</v>
      </c>
      <c r="G64" s="20">
        <f>'raw data'!AO712</f>
        <v>8075420.7000000002</v>
      </c>
      <c r="H64" s="20">
        <f t="shared" si="2"/>
        <v>558343.49999999907</v>
      </c>
      <c r="I64" s="20">
        <f t="shared" si="3"/>
        <v>1741626.6999999993</v>
      </c>
      <c r="J64" s="30">
        <f t="shared" si="4"/>
        <v>22.661791672845489</v>
      </c>
      <c r="K64" s="30">
        <f t="shared" si="0"/>
        <v>3.5225689856111658E-2</v>
      </c>
      <c r="L64" s="30">
        <f t="shared" si="5"/>
        <v>27.388372352245074</v>
      </c>
      <c r="M64" s="30">
        <f t="shared" si="6"/>
        <v>28.388372352245071</v>
      </c>
      <c r="N64" s="30">
        <f t="shared" si="7"/>
        <v>26.552502989672519</v>
      </c>
      <c r="O64" s="30">
        <f t="shared" si="8"/>
        <v>1.069141103695068</v>
      </c>
      <c r="P64" s="30">
        <f t="shared" si="9"/>
        <v>1.2526976137664112</v>
      </c>
      <c r="Q64" s="30">
        <f t="shared" si="10"/>
        <v>4.9572989435681043</v>
      </c>
    </row>
    <row r="65" spans="1:17" x14ac:dyDescent="0.5">
      <c r="A65" s="23" t="str">
        <f>'raw data'!A713</f>
        <v>2005-10</v>
      </c>
      <c r="B65" s="32">
        <f>'raw data'!U713</f>
        <v>702515.5</v>
      </c>
      <c r="C65" s="20">
        <f>'raw data'!V713</f>
        <v>296316.59999999998</v>
      </c>
      <c r="D65" s="20">
        <f t="shared" si="1"/>
        <v>8376140.3000000007</v>
      </c>
      <c r="E65" s="18">
        <f>'raw data'!AH713</f>
        <v>8672456.9000000004</v>
      </c>
      <c r="F65" s="18">
        <f>SUM('raw data'!AI713:AK713)</f>
        <v>6932267.9000000004</v>
      </c>
      <c r="G65" s="20">
        <f>'raw data'!AO713</f>
        <v>8114409.2000000002</v>
      </c>
      <c r="H65" s="20">
        <f t="shared" si="2"/>
        <v>558047.70000000019</v>
      </c>
      <c r="I65" s="20">
        <f t="shared" si="3"/>
        <v>1740189</v>
      </c>
      <c r="J65" s="30">
        <f t="shared" si="4"/>
        <v>23.394801033759165</v>
      </c>
      <c r="K65" s="30">
        <f t="shared" si="0"/>
        <v>3.4167549451874467E-2</v>
      </c>
      <c r="L65" s="30">
        <f t="shared" si="5"/>
        <v>28.267536479562743</v>
      </c>
      <c r="M65" s="30">
        <f t="shared" si="6"/>
        <v>29.267536479562743</v>
      </c>
      <c r="N65" s="30">
        <f t="shared" si="7"/>
        <v>27.384254543957379</v>
      </c>
      <c r="O65" s="30">
        <f t="shared" si="8"/>
        <v>1.0687724375546652</v>
      </c>
      <c r="P65" s="30">
        <f t="shared" si="9"/>
        <v>1.2510273730188644</v>
      </c>
      <c r="Q65" s="30">
        <f t="shared" si="10"/>
        <v>4.9836293069316033</v>
      </c>
    </row>
    <row r="66" spans="1:17" x14ac:dyDescent="0.5">
      <c r="A66" s="23" t="str">
        <f>'raw data'!A714</f>
        <v>2005-11</v>
      </c>
      <c r="B66" s="32">
        <f>'raw data'!U714</f>
        <v>704577.7</v>
      </c>
      <c r="C66" s="20">
        <f>'raw data'!V714</f>
        <v>300495.2</v>
      </c>
      <c r="D66" s="20">
        <f t="shared" si="1"/>
        <v>8392816.1000000015</v>
      </c>
      <c r="E66" s="18">
        <f>'raw data'!AH714</f>
        <v>8693311.3000000007</v>
      </c>
      <c r="F66" s="18">
        <f>SUM('raw data'!AI714:AK714)</f>
        <v>6960314.5</v>
      </c>
      <c r="G66" s="20">
        <f>'raw data'!AO714</f>
        <v>8137540.0999999996</v>
      </c>
      <c r="H66" s="20">
        <f t="shared" si="2"/>
        <v>555771.20000000112</v>
      </c>
      <c r="I66" s="20">
        <f t="shared" si="3"/>
        <v>1732996.8000000007</v>
      </c>
      <c r="J66" s="30">
        <f t="shared" si="4"/>
        <v>23.162814247948052</v>
      </c>
      <c r="K66" s="30">
        <f t="shared" ref="K66:K129" si="11">C66/E66</f>
        <v>3.4566253252658739E-2</v>
      </c>
      <c r="L66" s="30">
        <f t="shared" si="5"/>
        <v>27.929950628163116</v>
      </c>
      <c r="M66" s="30">
        <f t="shared" si="6"/>
        <v>28.929950628163112</v>
      </c>
      <c r="N66" s="30">
        <f t="shared" si="7"/>
        <v>27.080432898761774</v>
      </c>
      <c r="O66" s="30">
        <f t="shared" si="8"/>
        <v>1.0682971995431396</v>
      </c>
      <c r="P66" s="30">
        <f t="shared" si="9"/>
        <v>1.2489825423836811</v>
      </c>
      <c r="Q66" s="30">
        <f t="shared" si="10"/>
        <v>5.0163458466859243</v>
      </c>
    </row>
    <row r="67" spans="1:17" x14ac:dyDescent="0.5">
      <c r="A67" s="23" t="str">
        <f>'raw data'!A715</f>
        <v>2005-12</v>
      </c>
      <c r="B67" s="32">
        <f>'raw data'!U715</f>
        <v>703290.3</v>
      </c>
      <c r="C67" s="20">
        <f>'raw data'!V715</f>
        <v>303347.40000000002</v>
      </c>
      <c r="D67" s="20">
        <f t="shared" ref="D67:D130" si="12">E67-C67</f>
        <v>8475083.5999999996</v>
      </c>
      <c r="E67" s="18">
        <f>'raw data'!AH715</f>
        <v>8778431</v>
      </c>
      <c r="F67" s="18">
        <f>SUM('raw data'!AI715:AK715)</f>
        <v>7020937.5999999996</v>
      </c>
      <c r="G67" s="20">
        <f>'raw data'!AO715</f>
        <v>8201224.7000000002</v>
      </c>
      <c r="H67" s="20">
        <f t="shared" ref="H67:H130" si="13">E67-G67</f>
        <v>577206.29999999981</v>
      </c>
      <c r="I67" s="20">
        <f t="shared" ref="I67:I130" si="14">E67-F67</f>
        <v>1757493.4000000004</v>
      </c>
      <c r="J67" s="30">
        <f t="shared" ref="J67:J130" si="15">F67/C67</f>
        <v>23.144874820090756</v>
      </c>
      <c r="K67" s="30">
        <f t="shared" si="11"/>
        <v>3.4555992978699726E-2</v>
      </c>
      <c r="L67" s="30">
        <f t="shared" ref="L67:L130" si="16">D67/C67</f>
        <v>27.938540432520597</v>
      </c>
      <c r="M67" s="30">
        <f t="shared" ref="M67:M130" si="17">E67/C67</f>
        <v>28.9385404325206</v>
      </c>
      <c r="N67" s="30">
        <f t="shared" ref="N67:N130" si="18">G67/C67</f>
        <v>27.035750759690043</v>
      </c>
      <c r="O67" s="30">
        <f t="shared" ref="O67:O130" si="19">E67/G67</f>
        <v>1.0703805006098661</v>
      </c>
      <c r="P67" s="30">
        <f t="shared" ref="P67:P130" si="20">E67/F67</f>
        <v>1.2503217518982082</v>
      </c>
      <c r="Q67" s="30">
        <f t="shared" ref="Q67:Q130" si="21">E67/I67</f>
        <v>4.9948585866666688</v>
      </c>
    </row>
    <row r="68" spans="1:17" x14ac:dyDescent="0.5">
      <c r="A68" s="23" t="str">
        <f>'raw data'!A716</f>
        <v>2006-01</v>
      </c>
      <c r="B68" s="32">
        <f>'raw data'!U716</f>
        <v>702211.3</v>
      </c>
      <c r="C68" s="20">
        <f>'raw data'!V716</f>
        <v>302023.09999999998</v>
      </c>
      <c r="D68" s="20">
        <f t="shared" si="12"/>
        <v>8542746.0999999996</v>
      </c>
      <c r="E68" s="18">
        <f>'raw data'!AH716</f>
        <v>8844769.1999999993</v>
      </c>
      <c r="F68" s="18">
        <f>SUM('raw data'!AI716:AK716)</f>
        <v>7083958.1999999993</v>
      </c>
      <c r="G68" s="20">
        <f>'raw data'!AO716</f>
        <v>8262996.4000000004</v>
      </c>
      <c r="H68" s="20">
        <f t="shared" si="13"/>
        <v>581772.79999999888</v>
      </c>
      <c r="I68" s="20">
        <f t="shared" si="14"/>
        <v>1760811</v>
      </c>
      <c r="J68" s="30">
        <f t="shared" si="15"/>
        <v>23.455021155666568</v>
      </c>
      <c r="K68" s="30">
        <f t="shared" si="11"/>
        <v>3.4147086619286796E-2</v>
      </c>
      <c r="L68" s="30">
        <f t="shared" si="16"/>
        <v>28.28507521444552</v>
      </c>
      <c r="M68" s="30">
        <f t="shared" si="17"/>
        <v>29.285075214445516</v>
      </c>
      <c r="N68" s="30">
        <f t="shared" si="18"/>
        <v>27.358822553639111</v>
      </c>
      <c r="O68" s="30">
        <f t="shared" si="19"/>
        <v>1.0704070015085567</v>
      </c>
      <c r="P68" s="30">
        <f t="shared" si="20"/>
        <v>1.2485631549886897</v>
      </c>
      <c r="Q68" s="30">
        <f t="shared" si="21"/>
        <v>5.0231224134787889</v>
      </c>
    </row>
    <row r="69" spans="1:17" x14ac:dyDescent="0.5">
      <c r="A69" s="23" t="str">
        <f>'raw data'!A717</f>
        <v>2006-02</v>
      </c>
      <c r="B69" s="32">
        <f>'raw data'!U717</f>
        <v>699866.3</v>
      </c>
      <c r="C69" s="20">
        <f>'raw data'!V717</f>
        <v>296137.59999999998</v>
      </c>
      <c r="D69" s="20">
        <f t="shared" si="12"/>
        <v>8619053.5</v>
      </c>
      <c r="E69" s="18">
        <f>'raw data'!AH717</f>
        <v>8915191.0999999996</v>
      </c>
      <c r="F69" s="18">
        <f>SUM('raw data'!AI717:AK717)</f>
        <v>7149026</v>
      </c>
      <c r="G69" s="20">
        <f>'raw data'!AO717</f>
        <v>8331480.7999999998</v>
      </c>
      <c r="H69" s="20">
        <f t="shared" si="13"/>
        <v>583710.29999999981</v>
      </c>
      <c r="I69" s="20">
        <f t="shared" si="14"/>
        <v>1766165.0999999996</v>
      </c>
      <c r="J69" s="30">
        <f t="shared" si="15"/>
        <v>24.140892612083032</v>
      </c>
      <c r="K69" s="30">
        <f t="shared" si="11"/>
        <v>3.3217190375201266E-2</v>
      </c>
      <c r="L69" s="30">
        <f t="shared" si="16"/>
        <v>29.104894143803424</v>
      </c>
      <c r="M69" s="30">
        <f t="shared" si="17"/>
        <v>30.104894143803421</v>
      </c>
      <c r="N69" s="30">
        <f t="shared" si="18"/>
        <v>28.133816171941692</v>
      </c>
      <c r="O69" s="30">
        <f t="shared" si="19"/>
        <v>1.0700608107984837</v>
      </c>
      <c r="P69" s="30">
        <f t="shared" si="20"/>
        <v>1.2470497519522239</v>
      </c>
      <c r="Q69" s="30">
        <f t="shared" si="21"/>
        <v>5.0477676747207845</v>
      </c>
    </row>
    <row r="70" spans="1:17" x14ac:dyDescent="0.5">
      <c r="A70" s="23" t="str">
        <f>'raw data'!A718</f>
        <v>2006-03</v>
      </c>
      <c r="B70" s="32">
        <f>'raw data'!U718</f>
        <v>706845.4</v>
      </c>
      <c r="C70" s="20">
        <f>'raw data'!V718</f>
        <v>292044.7</v>
      </c>
      <c r="D70" s="20">
        <f t="shared" si="12"/>
        <v>8683700.4000000004</v>
      </c>
      <c r="E70" s="18">
        <f>'raw data'!AH718</f>
        <v>8975745.0999999996</v>
      </c>
      <c r="F70" s="18">
        <f>SUM('raw data'!AI718:AK718)</f>
        <v>7222694.0999999996</v>
      </c>
      <c r="G70" s="20">
        <f>'raw data'!AO718</f>
        <v>8379266.9000000004</v>
      </c>
      <c r="H70" s="20">
        <f t="shared" si="13"/>
        <v>596478.19999999925</v>
      </c>
      <c r="I70" s="20">
        <f t="shared" si="14"/>
        <v>1753051</v>
      </c>
      <c r="J70" s="30">
        <f t="shared" si="15"/>
        <v>24.731467819823472</v>
      </c>
      <c r="K70" s="30">
        <f t="shared" si="11"/>
        <v>3.2537098229315803E-2</v>
      </c>
      <c r="L70" s="30">
        <f t="shared" si="16"/>
        <v>29.734148231417997</v>
      </c>
      <c r="M70" s="30">
        <f t="shared" si="17"/>
        <v>30.734148231417997</v>
      </c>
      <c r="N70" s="30">
        <f t="shared" si="18"/>
        <v>28.691727328042592</v>
      </c>
      <c r="O70" s="30">
        <f t="shared" si="19"/>
        <v>1.0711850102304294</v>
      </c>
      <c r="P70" s="30">
        <f t="shared" si="20"/>
        <v>1.2427142802572797</v>
      </c>
      <c r="Q70" s="30">
        <f t="shared" si="21"/>
        <v>5.1200707224148072</v>
      </c>
    </row>
    <row r="71" spans="1:17" x14ac:dyDescent="0.5">
      <c r="A71" s="23" t="str">
        <f>'raw data'!A719</f>
        <v>2006-04</v>
      </c>
      <c r="B71" s="32">
        <f>'raw data'!U719</f>
        <v>712830.9</v>
      </c>
      <c r="C71" s="20">
        <f>'raw data'!V719</f>
        <v>294895</v>
      </c>
      <c r="D71" s="20">
        <f t="shared" si="12"/>
        <v>8809583.0999999996</v>
      </c>
      <c r="E71" s="18">
        <f>'raw data'!AH719</f>
        <v>9104478.0999999996</v>
      </c>
      <c r="F71" s="18">
        <f>SUM('raw data'!AI719:AK719)</f>
        <v>7320927.7000000002</v>
      </c>
      <c r="G71" s="20">
        <f>'raw data'!AO719</f>
        <v>8499401.1999999993</v>
      </c>
      <c r="H71" s="20">
        <f t="shared" si="13"/>
        <v>605076.90000000037</v>
      </c>
      <c r="I71" s="20">
        <f t="shared" si="14"/>
        <v>1783550.3999999994</v>
      </c>
      <c r="J71" s="30">
        <f t="shared" si="15"/>
        <v>24.825540277047764</v>
      </c>
      <c r="K71" s="30">
        <f t="shared" si="11"/>
        <v>3.2390104821055039E-2</v>
      </c>
      <c r="L71" s="30">
        <f t="shared" si="16"/>
        <v>29.873626545041454</v>
      </c>
      <c r="M71" s="30">
        <f t="shared" si="17"/>
        <v>30.873626545041454</v>
      </c>
      <c r="N71" s="30">
        <f t="shared" si="18"/>
        <v>28.821788094067376</v>
      </c>
      <c r="O71" s="30">
        <f t="shared" si="19"/>
        <v>1.0711905328107114</v>
      </c>
      <c r="P71" s="30">
        <f t="shared" si="20"/>
        <v>1.2436235506054785</v>
      </c>
      <c r="Q71" s="30">
        <f t="shared" si="21"/>
        <v>5.1046934810476916</v>
      </c>
    </row>
    <row r="72" spans="1:17" x14ac:dyDescent="0.5">
      <c r="A72" s="23" t="str">
        <f>'raw data'!A720</f>
        <v>2006-05</v>
      </c>
      <c r="B72" s="32">
        <f>'raw data'!U720</f>
        <v>722830.5</v>
      </c>
      <c r="C72" s="20">
        <f>'raw data'!V720</f>
        <v>301413.3</v>
      </c>
      <c r="D72" s="20">
        <f t="shared" si="12"/>
        <v>8926609.1999999993</v>
      </c>
      <c r="E72" s="18">
        <f>'raw data'!AH720</f>
        <v>9228022.5</v>
      </c>
      <c r="F72" s="18">
        <f>SUM('raw data'!AI720:AK720)</f>
        <v>7355917.7999999998</v>
      </c>
      <c r="G72" s="20">
        <f>'raw data'!AO720</f>
        <v>8607656.8000000007</v>
      </c>
      <c r="H72" s="20">
        <f t="shared" si="13"/>
        <v>620365.69999999925</v>
      </c>
      <c r="I72" s="20">
        <f t="shared" si="14"/>
        <v>1872104.7000000002</v>
      </c>
      <c r="J72" s="30">
        <f t="shared" si="15"/>
        <v>24.404755198260993</v>
      </c>
      <c r="K72" s="30">
        <f t="shared" si="11"/>
        <v>3.2662826732379552E-2</v>
      </c>
      <c r="L72" s="30">
        <f t="shared" si="16"/>
        <v>29.61584376004642</v>
      </c>
      <c r="M72" s="30">
        <f t="shared" si="17"/>
        <v>30.615843760046424</v>
      </c>
      <c r="N72" s="30">
        <f t="shared" si="18"/>
        <v>28.557654224282739</v>
      </c>
      <c r="O72" s="30">
        <f t="shared" si="19"/>
        <v>1.0720713795187558</v>
      </c>
      <c r="P72" s="30">
        <f t="shared" si="20"/>
        <v>1.2545032110065177</v>
      </c>
      <c r="Q72" s="30">
        <f t="shared" si="21"/>
        <v>4.9292235097748538</v>
      </c>
    </row>
    <row r="73" spans="1:17" x14ac:dyDescent="0.5">
      <c r="A73" s="23" t="str">
        <f>'raw data'!A721</f>
        <v>2006-06</v>
      </c>
      <c r="B73" s="32">
        <f>'raw data'!U721</f>
        <v>714884.3</v>
      </c>
      <c r="C73" s="20">
        <f>'raw data'!V721</f>
        <v>298233</v>
      </c>
      <c r="D73" s="20">
        <f t="shared" si="12"/>
        <v>8945920.5</v>
      </c>
      <c r="E73" s="18">
        <f>'raw data'!AH721</f>
        <v>9244153.5</v>
      </c>
      <c r="F73" s="18">
        <f>SUM('raw data'!AI721:AK721)</f>
        <v>7411512.5</v>
      </c>
      <c r="G73" s="20">
        <f>'raw data'!AO721</f>
        <v>8636067.6999999993</v>
      </c>
      <c r="H73" s="20">
        <f t="shared" si="13"/>
        <v>608085.80000000075</v>
      </c>
      <c r="I73" s="20">
        <f t="shared" si="14"/>
        <v>1832641</v>
      </c>
      <c r="J73" s="30">
        <f t="shared" si="15"/>
        <v>24.851416509910038</v>
      </c>
      <c r="K73" s="30">
        <f t="shared" si="11"/>
        <v>3.2261796604740496E-2</v>
      </c>
      <c r="L73" s="30">
        <f t="shared" si="16"/>
        <v>29.996413877739887</v>
      </c>
      <c r="M73" s="30">
        <f t="shared" si="17"/>
        <v>30.996413877739887</v>
      </c>
      <c r="N73" s="30">
        <f t="shared" si="18"/>
        <v>28.957451723987617</v>
      </c>
      <c r="O73" s="30">
        <f t="shared" si="19"/>
        <v>1.0704123475085774</v>
      </c>
      <c r="P73" s="30">
        <f t="shared" si="20"/>
        <v>1.2472695013332298</v>
      </c>
      <c r="Q73" s="30">
        <f t="shared" si="21"/>
        <v>5.0441704076248435</v>
      </c>
    </row>
    <row r="74" spans="1:17" x14ac:dyDescent="0.5">
      <c r="A74" s="23" t="str">
        <f>'raw data'!A722</f>
        <v>2006-07</v>
      </c>
      <c r="B74" s="32">
        <f>'raw data'!U722</f>
        <v>710374.3</v>
      </c>
      <c r="C74" s="20">
        <f>'raw data'!V722</f>
        <v>299822.7</v>
      </c>
      <c r="D74" s="20">
        <f t="shared" si="12"/>
        <v>8991250.1000000015</v>
      </c>
      <c r="E74" s="18">
        <f>'raw data'!AH722</f>
        <v>9291072.8000000007</v>
      </c>
      <c r="F74" s="18">
        <f>SUM('raw data'!AI722:AK722)</f>
        <v>7484105.0999999996</v>
      </c>
      <c r="G74" s="20">
        <f>'raw data'!AO722</f>
        <v>8693672</v>
      </c>
      <c r="H74" s="20">
        <f t="shared" si="13"/>
        <v>597400.80000000075</v>
      </c>
      <c r="I74" s="20">
        <f t="shared" si="14"/>
        <v>1806967.7000000011</v>
      </c>
      <c r="J74" s="30">
        <f t="shared" si="15"/>
        <v>24.961769405718776</v>
      </c>
      <c r="K74" s="30">
        <f t="shared" si="11"/>
        <v>3.2269976401433427E-2</v>
      </c>
      <c r="L74" s="30">
        <f t="shared" si="16"/>
        <v>29.988556903796816</v>
      </c>
      <c r="M74" s="30">
        <f t="shared" si="17"/>
        <v>30.988556903796812</v>
      </c>
      <c r="N74" s="30">
        <f t="shared" si="18"/>
        <v>28.996043328273675</v>
      </c>
      <c r="O74" s="30">
        <f t="shared" si="19"/>
        <v>1.0687167401760729</v>
      </c>
      <c r="P74" s="30">
        <f t="shared" si="20"/>
        <v>1.2414407168066095</v>
      </c>
      <c r="Q74" s="30">
        <f t="shared" si="21"/>
        <v>5.1418034755131456</v>
      </c>
    </row>
    <row r="75" spans="1:17" x14ac:dyDescent="0.5">
      <c r="A75" s="23" t="str">
        <f>'raw data'!A723</f>
        <v>2006-08</v>
      </c>
      <c r="B75" s="32">
        <f>'raw data'!U723</f>
        <v>717998.1</v>
      </c>
      <c r="C75" s="20">
        <f>'raw data'!V723</f>
        <v>303684.8</v>
      </c>
      <c r="D75" s="20">
        <f t="shared" si="12"/>
        <v>9027679.2999999989</v>
      </c>
      <c r="E75" s="18">
        <f>'raw data'!AH723</f>
        <v>9331364.0999999996</v>
      </c>
      <c r="F75" s="18">
        <f>SUM('raw data'!AI723:AK723)</f>
        <v>7517249.6999999993</v>
      </c>
      <c r="G75" s="20">
        <f>'raw data'!AO723</f>
        <v>8733797</v>
      </c>
      <c r="H75" s="20">
        <f t="shared" si="13"/>
        <v>597567.09999999963</v>
      </c>
      <c r="I75" s="20">
        <f t="shared" si="14"/>
        <v>1814114.4000000004</v>
      </c>
      <c r="J75" s="30">
        <f t="shared" si="15"/>
        <v>24.753460495882571</v>
      </c>
      <c r="K75" s="30">
        <f t="shared" si="11"/>
        <v>3.2544523688664125E-2</v>
      </c>
      <c r="L75" s="30">
        <f t="shared" si="16"/>
        <v>29.727135832942576</v>
      </c>
      <c r="M75" s="30">
        <f t="shared" si="17"/>
        <v>30.727135832942576</v>
      </c>
      <c r="N75" s="30">
        <f t="shared" si="18"/>
        <v>28.759414366474715</v>
      </c>
      <c r="O75" s="30">
        <f t="shared" si="19"/>
        <v>1.0684200812086655</v>
      </c>
      <c r="P75" s="30">
        <f t="shared" si="20"/>
        <v>1.2413268778340569</v>
      </c>
      <c r="Q75" s="30">
        <f t="shared" si="21"/>
        <v>5.1437572514721221</v>
      </c>
    </row>
    <row r="76" spans="1:17" x14ac:dyDescent="0.5">
      <c r="A76" s="23" t="str">
        <f>'raw data'!A724</f>
        <v>2006-09</v>
      </c>
      <c r="B76" s="32">
        <f>'raw data'!U724</f>
        <v>719058</v>
      </c>
      <c r="C76" s="20">
        <f>'raw data'!V724</f>
        <v>303867.40000000002</v>
      </c>
      <c r="D76" s="20">
        <f t="shared" si="12"/>
        <v>9076885.1999999993</v>
      </c>
      <c r="E76" s="18">
        <f>'raw data'!AH724</f>
        <v>9380752.5999999996</v>
      </c>
      <c r="F76" s="18">
        <f>SUM('raw data'!AI724:AK724)</f>
        <v>7594698.5</v>
      </c>
      <c r="G76" s="20">
        <f>'raw data'!AO724</f>
        <v>8742159.5</v>
      </c>
      <c r="H76" s="20">
        <f t="shared" si="13"/>
        <v>638593.09999999963</v>
      </c>
      <c r="I76" s="20">
        <f t="shared" si="14"/>
        <v>1786054.0999999996</v>
      </c>
      <c r="J76" s="30">
        <f t="shared" si="15"/>
        <v>24.993462609019591</v>
      </c>
      <c r="K76" s="30">
        <f t="shared" si="11"/>
        <v>3.2392646193440816E-2</v>
      </c>
      <c r="L76" s="30">
        <f t="shared" si="16"/>
        <v>29.871204347685861</v>
      </c>
      <c r="M76" s="30">
        <f t="shared" si="17"/>
        <v>30.871204347685861</v>
      </c>
      <c r="N76" s="30">
        <f t="shared" si="18"/>
        <v>28.769652486578025</v>
      </c>
      <c r="O76" s="30">
        <f t="shared" si="19"/>
        <v>1.0730475233264731</v>
      </c>
      <c r="P76" s="30">
        <f t="shared" si="20"/>
        <v>1.2351711657809721</v>
      </c>
      <c r="Q76" s="30">
        <f t="shared" si="21"/>
        <v>5.2522219791662534</v>
      </c>
    </row>
    <row r="77" spans="1:17" x14ac:dyDescent="0.5">
      <c r="A77" s="23" t="str">
        <f>'raw data'!A725</f>
        <v>2006-10</v>
      </c>
      <c r="B77" s="32">
        <f>'raw data'!U725</f>
        <v>723677.9</v>
      </c>
      <c r="C77" s="20">
        <f>'raw data'!V725</f>
        <v>300691</v>
      </c>
      <c r="D77" s="20">
        <f t="shared" si="12"/>
        <v>9286929.3000000007</v>
      </c>
      <c r="E77" s="18">
        <f>'raw data'!AH725</f>
        <v>9587620.3000000007</v>
      </c>
      <c r="F77" s="18">
        <f>SUM('raw data'!AI725:AK725)</f>
        <v>7717815.1999999993</v>
      </c>
      <c r="G77" s="20">
        <f>'raw data'!AO725</f>
        <v>8910431.1999999993</v>
      </c>
      <c r="H77" s="20">
        <f t="shared" si="13"/>
        <v>677189.10000000149</v>
      </c>
      <c r="I77" s="20">
        <f t="shared" si="14"/>
        <v>1869805.1000000015</v>
      </c>
      <c r="J77" s="30">
        <f t="shared" si="15"/>
        <v>25.66693116854179</v>
      </c>
      <c r="K77" s="30">
        <f t="shared" si="11"/>
        <v>3.1362422644125774E-2</v>
      </c>
      <c r="L77" s="30">
        <f t="shared" si="16"/>
        <v>30.885291877708347</v>
      </c>
      <c r="M77" s="30">
        <f t="shared" si="17"/>
        <v>31.885291877708347</v>
      </c>
      <c r="N77" s="30">
        <f t="shared" si="18"/>
        <v>29.633182236914305</v>
      </c>
      <c r="O77" s="30">
        <f t="shared" si="19"/>
        <v>1.075999587988514</v>
      </c>
      <c r="P77" s="30">
        <f t="shared" si="20"/>
        <v>1.2422712971930192</v>
      </c>
      <c r="Q77" s="30">
        <f t="shared" si="21"/>
        <v>5.127604101625348</v>
      </c>
    </row>
    <row r="78" spans="1:17" x14ac:dyDescent="0.5">
      <c r="A78" s="23" t="str">
        <f>'raw data'!A726</f>
        <v>2006-11</v>
      </c>
      <c r="B78" s="32">
        <f>'raw data'!U726</f>
        <v>728725.6</v>
      </c>
      <c r="C78" s="20">
        <f>'raw data'!V726</f>
        <v>303833.7</v>
      </c>
      <c r="D78" s="20">
        <f t="shared" si="12"/>
        <v>9332079</v>
      </c>
      <c r="E78" s="18">
        <f>'raw data'!AH726</f>
        <v>9635912.6999999993</v>
      </c>
      <c r="F78" s="18">
        <f>SUM('raw data'!AI726:AK726)</f>
        <v>7776178.4000000004</v>
      </c>
      <c r="G78" s="20">
        <f>'raw data'!AO726</f>
        <v>8966739.4000000004</v>
      </c>
      <c r="H78" s="20">
        <f t="shared" si="13"/>
        <v>669173.29999999888</v>
      </c>
      <c r="I78" s="20">
        <f t="shared" si="14"/>
        <v>1859734.2999999989</v>
      </c>
      <c r="J78" s="30">
        <f t="shared" si="15"/>
        <v>25.593534884379185</v>
      </c>
      <c r="K78" s="30">
        <f t="shared" si="11"/>
        <v>3.1531387784366295E-2</v>
      </c>
      <c r="L78" s="30">
        <f t="shared" si="16"/>
        <v>30.714430295256911</v>
      </c>
      <c r="M78" s="30">
        <f t="shared" si="17"/>
        <v>31.714430295256907</v>
      </c>
      <c r="N78" s="30">
        <f t="shared" si="18"/>
        <v>29.511997517062788</v>
      </c>
      <c r="O78" s="30">
        <f t="shared" si="19"/>
        <v>1.0746283872150895</v>
      </c>
      <c r="P78" s="30">
        <f t="shared" si="20"/>
        <v>1.2391578747730374</v>
      </c>
      <c r="Q78" s="30">
        <f t="shared" si="21"/>
        <v>5.1813383772079726</v>
      </c>
    </row>
    <row r="79" spans="1:17" x14ac:dyDescent="0.5">
      <c r="A79" s="23" t="str">
        <f>'raw data'!A727</f>
        <v>2006-12</v>
      </c>
      <c r="B79" s="32">
        <f>'raw data'!U727</f>
        <v>737624</v>
      </c>
      <c r="C79" s="20">
        <f>'raw data'!V727</f>
        <v>313037.59999999998</v>
      </c>
      <c r="D79" s="20">
        <f t="shared" si="12"/>
        <v>9450678.7000000011</v>
      </c>
      <c r="E79" s="18">
        <f>'raw data'!AH727</f>
        <v>9763716.3000000007</v>
      </c>
      <c r="F79" s="18">
        <f>SUM('raw data'!AI727:AK727)</f>
        <v>7812989.1999999993</v>
      </c>
      <c r="G79" s="20">
        <f>'raw data'!AO727</f>
        <v>9059248</v>
      </c>
      <c r="H79" s="20">
        <f t="shared" si="13"/>
        <v>704468.30000000075</v>
      </c>
      <c r="I79" s="20">
        <f t="shared" si="14"/>
        <v>1950727.1000000015</v>
      </c>
      <c r="J79" s="30">
        <f t="shared" si="15"/>
        <v>24.958628612026157</v>
      </c>
      <c r="K79" s="30">
        <f t="shared" si="11"/>
        <v>3.2061316652553698E-2</v>
      </c>
      <c r="L79" s="30">
        <f t="shared" si="16"/>
        <v>30.190234974967868</v>
      </c>
      <c r="M79" s="30">
        <f t="shared" si="17"/>
        <v>31.190234974967868</v>
      </c>
      <c r="N79" s="30">
        <f t="shared" si="18"/>
        <v>28.939807869725556</v>
      </c>
      <c r="O79" s="30">
        <f t="shared" si="19"/>
        <v>1.0777623374478766</v>
      </c>
      <c r="P79" s="30">
        <f t="shared" si="20"/>
        <v>1.2496774345982715</v>
      </c>
      <c r="Q79" s="30">
        <f t="shared" si="21"/>
        <v>5.0051677141307946</v>
      </c>
    </row>
    <row r="80" spans="1:17" x14ac:dyDescent="0.5">
      <c r="A80" s="23" t="str">
        <f>'raw data'!A728</f>
        <v>2007-01</v>
      </c>
      <c r="B80" s="32">
        <f>'raw data'!U728</f>
        <v>739564.3</v>
      </c>
      <c r="C80" s="20">
        <f>'raw data'!V728</f>
        <v>315161.8</v>
      </c>
      <c r="D80" s="20">
        <f t="shared" si="12"/>
        <v>9517440</v>
      </c>
      <c r="E80" s="18">
        <f>'raw data'!AH728</f>
        <v>9832601.8000000007</v>
      </c>
      <c r="F80" s="18">
        <f>SUM('raw data'!AI728:AK728)</f>
        <v>7858399.4000000004</v>
      </c>
      <c r="G80" s="20">
        <f>'raw data'!AO728</f>
        <v>9110020</v>
      </c>
      <c r="H80" s="20">
        <f t="shared" si="13"/>
        <v>722581.80000000075</v>
      </c>
      <c r="I80" s="20">
        <f t="shared" si="14"/>
        <v>1974202.4000000004</v>
      </c>
      <c r="J80" s="30">
        <f t="shared" si="15"/>
        <v>24.934492060903324</v>
      </c>
      <c r="K80" s="30">
        <f t="shared" si="11"/>
        <v>3.2052737048702609E-2</v>
      </c>
      <c r="L80" s="30">
        <f t="shared" si="16"/>
        <v>30.198583711604645</v>
      </c>
      <c r="M80" s="30">
        <f t="shared" si="17"/>
        <v>31.198583711604645</v>
      </c>
      <c r="N80" s="30">
        <f t="shared" si="18"/>
        <v>28.905850899442765</v>
      </c>
      <c r="O80" s="30">
        <f t="shared" si="19"/>
        <v>1.0793172572617844</v>
      </c>
      <c r="P80" s="30">
        <f t="shared" si="20"/>
        <v>1.2512219473090156</v>
      </c>
      <c r="Q80" s="30">
        <f t="shared" si="21"/>
        <v>4.9805439401755356</v>
      </c>
    </row>
    <row r="81" spans="1:17" x14ac:dyDescent="0.5">
      <c r="A81" s="23" t="str">
        <f>'raw data'!A729</f>
        <v>2007-02</v>
      </c>
      <c r="B81" s="32">
        <f>'raw data'!U729</f>
        <v>737524.3</v>
      </c>
      <c r="C81" s="20">
        <f>'raw data'!V729</f>
        <v>310191.90000000002</v>
      </c>
      <c r="D81" s="20">
        <f t="shared" si="12"/>
        <v>9576660.9000000004</v>
      </c>
      <c r="E81" s="18">
        <f>'raw data'!AH729</f>
        <v>9886852.8000000007</v>
      </c>
      <c r="F81" s="18">
        <f>SUM('raw data'!AI729:AK729)</f>
        <v>7909205.9000000004</v>
      </c>
      <c r="G81" s="20">
        <f>'raw data'!AO729</f>
        <v>9176240.9000000004</v>
      </c>
      <c r="H81" s="20">
        <f t="shared" si="13"/>
        <v>710611.90000000037</v>
      </c>
      <c r="I81" s="20">
        <f t="shared" si="14"/>
        <v>1977646.9000000004</v>
      </c>
      <c r="J81" s="30">
        <f t="shared" si="15"/>
        <v>25.49778346887846</v>
      </c>
      <c r="K81" s="30">
        <f t="shared" si="11"/>
        <v>3.1374180062638334E-2</v>
      </c>
      <c r="L81" s="30">
        <f t="shared" si="16"/>
        <v>30.873342920946676</v>
      </c>
      <c r="M81" s="30">
        <f t="shared" si="17"/>
        <v>31.87334292094668</v>
      </c>
      <c r="N81" s="30">
        <f t="shared" si="18"/>
        <v>29.582464596915649</v>
      </c>
      <c r="O81" s="30">
        <f t="shared" si="19"/>
        <v>1.0774404146255576</v>
      </c>
      <c r="P81" s="30">
        <f t="shared" si="20"/>
        <v>1.2500436737903107</v>
      </c>
      <c r="Q81" s="30">
        <f t="shared" si="21"/>
        <v>4.9993013414073051</v>
      </c>
    </row>
    <row r="82" spans="1:17" x14ac:dyDescent="0.5">
      <c r="A82" s="23" t="str">
        <f>'raw data'!A730</f>
        <v>2007-03</v>
      </c>
      <c r="B82" s="32">
        <f>'raw data'!U730</f>
        <v>731407.3</v>
      </c>
      <c r="C82" s="20">
        <f>'raw data'!V730</f>
        <v>302917.40000000002</v>
      </c>
      <c r="D82" s="20">
        <f t="shared" si="12"/>
        <v>9554022.6999999993</v>
      </c>
      <c r="E82" s="18">
        <f>'raw data'!AH730</f>
        <v>9856940.0999999996</v>
      </c>
      <c r="F82" s="18">
        <f>SUM('raw data'!AI730:AK730)</f>
        <v>7929432.7000000002</v>
      </c>
      <c r="G82" s="20">
        <f>'raw data'!AO730</f>
        <v>9157037.1999999993</v>
      </c>
      <c r="H82" s="20">
        <f t="shared" si="13"/>
        <v>699902.90000000037</v>
      </c>
      <c r="I82" s="20">
        <f t="shared" si="14"/>
        <v>1927507.3999999994</v>
      </c>
      <c r="J82" s="30">
        <f t="shared" si="15"/>
        <v>26.176880892282846</v>
      </c>
      <c r="K82" s="30">
        <f t="shared" si="11"/>
        <v>3.0731382855821558E-2</v>
      </c>
      <c r="L82" s="30">
        <f t="shared" si="16"/>
        <v>31.540026092921696</v>
      </c>
      <c r="M82" s="30">
        <f t="shared" si="17"/>
        <v>32.5400260929217</v>
      </c>
      <c r="N82" s="30">
        <f t="shared" si="18"/>
        <v>30.229485661767857</v>
      </c>
      <c r="O82" s="30">
        <f t="shared" si="19"/>
        <v>1.0764333358829208</v>
      </c>
      <c r="P82" s="30">
        <f t="shared" si="20"/>
        <v>1.2430826356594211</v>
      </c>
      <c r="Q82" s="30">
        <f t="shared" si="21"/>
        <v>5.1138273710388882</v>
      </c>
    </row>
    <row r="83" spans="1:17" x14ac:dyDescent="0.5">
      <c r="A83" s="23" t="str">
        <f>'raw data'!A731</f>
        <v>2007-04</v>
      </c>
      <c r="B83" s="32">
        <f>'raw data'!U731</f>
        <v>736608.9</v>
      </c>
      <c r="C83" s="20">
        <f>'raw data'!V731</f>
        <v>307739</v>
      </c>
      <c r="D83" s="20">
        <f t="shared" si="12"/>
        <v>9637646.6999999993</v>
      </c>
      <c r="E83" s="18">
        <f>'raw data'!AH731</f>
        <v>9945385.6999999993</v>
      </c>
      <c r="F83" s="18">
        <f>SUM('raw data'!AI731:AK731)</f>
        <v>8016066.4000000004</v>
      </c>
      <c r="G83" s="20">
        <f>'raw data'!AO731</f>
        <v>9250471.9000000004</v>
      </c>
      <c r="H83" s="20">
        <f t="shared" si="13"/>
        <v>694913.79999999888</v>
      </c>
      <c r="I83" s="20">
        <f t="shared" si="14"/>
        <v>1929319.2999999989</v>
      </c>
      <c r="J83" s="30">
        <f t="shared" si="15"/>
        <v>26.04826297609338</v>
      </c>
      <c r="K83" s="30">
        <f t="shared" si="11"/>
        <v>3.0942892441064403E-2</v>
      </c>
      <c r="L83" s="30">
        <f t="shared" si="16"/>
        <v>31.317599329301775</v>
      </c>
      <c r="M83" s="30">
        <f t="shared" si="17"/>
        <v>32.317599329301778</v>
      </c>
      <c r="N83" s="30">
        <f t="shared" si="18"/>
        <v>30.059472150101222</v>
      </c>
      <c r="O83" s="30">
        <f t="shared" si="19"/>
        <v>1.0751219837768491</v>
      </c>
      <c r="P83" s="30">
        <f t="shared" si="20"/>
        <v>1.2406815517396412</v>
      </c>
      <c r="Q83" s="30">
        <f t="shared" si="21"/>
        <v>5.1548676779421658</v>
      </c>
    </row>
    <row r="84" spans="1:17" x14ac:dyDescent="0.5">
      <c r="A84" s="23" t="str">
        <f>'raw data'!A732</f>
        <v>2007-05</v>
      </c>
      <c r="B84" s="32">
        <f>'raw data'!U732</f>
        <v>741959.1</v>
      </c>
      <c r="C84" s="20">
        <f>'raw data'!V732</f>
        <v>310624.5</v>
      </c>
      <c r="D84" s="20">
        <f t="shared" si="12"/>
        <v>9685511.5</v>
      </c>
      <c r="E84" s="18">
        <f>'raw data'!AH732</f>
        <v>9996136</v>
      </c>
      <c r="F84" s="18">
        <f>SUM('raw data'!AI732:AK732)</f>
        <v>8065368</v>
      </c>
      <c r="G84" s="20">
        <f>'raw data'!AO732</f>
        <v>9286165.1999999993</v>
      </c>
      <c r="H84" s="20">
        <f t="shared" si="13"/>
        <v>709970.80000000075</v>
      </c>
      <c r="I84" s="20">
        <f t="shared" si="14"/>
        <v>1930768</v>
      </c>
      <c r="J84" s="30">
        <f t="shared" si="15"/>
        <v>25.96500919920998</v>
      </c>
      <c r="K84" s="30">
        <f t="shared" si="11"/>
        <v>3.1074457170250584E-2</v>
      </c>
      <c r="L84" s="30">
        <f t="shared" si="16"/>
        <v>31.18077131713693</v>
      </c>
      <c r="M84" s="30">
        <f t="shared" si="17"/>
        <v>32.18077131713693</v>
      </c>
      <c r="N84" s="30">
        <f t="shared" si="18"/>
        <v>29.895147356374011</v>
      </c>
      <c r="O84" s="30">
        <f t="shared" si="19"/>
        <v>1.0764546812068345</v>
      </c>
      <c r="P84" s="30">
        <f t="shared" si="20"/>
        <v>1.239389944761355</v>
      </c>
      <c r="Q84" s="30">
        <f t="shared" si="21"/>
        <v>5.1772848938867853</v>
      </c>
    </row>
    <row r="85" spans="1:17" x14ac:dyDescent="0.5">
      <c r="A85" s="23" t="str">
        <f>'raw data'!A733</f>
        <v>2007-06</v>
      </c>
      <c r="B85" s="32">
        <f>'raw data'!U733</f>
        <v>750650</v>
      </c>
      <c r="C85" s="20">
        <f>'raw data'!V733</f>
        <v>315310.59999999998</v>
      </c>
      <c r="D85" s="20">
        <f t="shared" si="12"/>
        <v>9747761.2000000011</v>
      </c>
      <c r="E85" s="18">
        <f>'raw data'!AH733</f>
        <v>10063071.800000001</v>
      </c>
      <c r="F85" s="18">
        <f>SUM('raw data'!AI733:AK733)</f>
        <v>8050370.0999999996</v>
      </c>
      <c r="G85" s="20">
        <f>'raw data'!AO733</f>
        <v>9378141.5999999996</v>
      </c>
      <c r="H85" s="20">
        <f t="shared" si="13"/>
        <v>684930.20000000112</v>
      </c>
      <c r="I85" s="20">
        <f t="shared" si="14"/>
        <v>2012701.7000000011</v>
      </c>
      <c r="J85" s="30">
        <f t="shared" si="15"/>
        <v>25.53155555189074</v>
      </c>
      <c r="K85" s="30">
        <f t="shared" si="11"/>
        <v>3.133343438928856E-2</v>
      </c>
      <c r="L85" s="30">
        <f t="shared" si="16"/>
        <v>30.914790685755577</v>
      </c>
      <c r="M85" s="30">
        <f t="shared" si="17"/>
        <v>31.914790685755573</v>
      </c>
      <c r="N85" s="30">
        <f t="shared" si="18"/>
        <v>29.742550995748321</v>
      </c>
      <c r="O85" s="30">
        <f t="shared" si="19"/>
        <v>1.0730347470974422</v>
      </c>
      <c r="P85" s="30">
        <f t="shared" si="20"/>
        <v>1.2500135614883099</v>
      </c>
      <c r="Q85" s="30">
        <f t="shared" si="21"/>
        <v>4.9997830279568971</v>
      </c>
    </row>
    <row r="86" spans="1:17" x14ac:dyDescent="0.5">
      <c r="A86" s="23" t="str">
        <f>'raw data'!A734</f>
        <v>2007-07</v>
      </c>
      <c r="B86" s="32">
        <f>'raw data'!U734</f>
        <v>761069.9</v>
      </c>
      <c r="C86" s="20">
        <f>'raw data'!V734</f>
        <v>316382.5</v>
      </c>
      <c r="D86" s="20">
        <f t="shared" si="12"/>
        <v>9843839.6999999993</v>
      </c>
      <c r="E86" s="18">
        <f>'raw data'!AH734</f>
        <v>10160222.199999999</v>
      </c>
      <c r="F86" s="18">
        <f>SUM('raw data'!AI734:AK734)</f>
        <v>8099896.5</v>
      </c>
      <c r="G86" s="20">
        <f>'raw data'!AO734</f>
        <v>9472269.3000000007</v>
      </c>
      <c r="H86" s="20">
        <f t="shared" si="13"/>
        <v>687952.89999999851</v>
      </c>
      <c r="I86" s="20">
        <f t="shared" si="14"/>
        <v>2060325.6999999993</v>
      </c>
      <c r="J86" s="30">
        <f t="shared" si="15"/>
        <v>25.601594588828394</v>
      </c>
      <c r="K86" s="30">
        <f t="shared" si="11"/>
        <v>3.1139328822946413E-2</v>
      </c>
      <c r="L86" s="30">
        <f t="shared" si="16"/>
        <v>31.113730057762357</v>
      </c>
      <c r="M86" s="30">
        <f t="shared" si="17"/>
        <v>32.113730057762361</v>
      </c>
      <c r="N86" s="30">
        <f t="shared" si="18"/>
        <v>29.93929594715258</v>
      </c>
      <c r="O86" s="30">
        <f t="shared" si="19"/>
        <v>1.0726280976829912</v>
      </c>
      <c r="P86" s="30">
        <f t="shared" si="20"/>
        <v>1.2543644477432518</v>
      </c>
      <c r="Q86" s="30">
        <f t="shared" si="21"/>
        <v>4.9313670163896912</v>
      </c>
    </row>
    <row r="87" spans="1:17" x14ac:dyDescent="0.5">
      <c r="A87" s="23" t="str">
        <f>'raw data'!A735</f>
        <v>2007-08</v>
      </c>
      <c r="B87" s="32">
        <f>'raw data'!U735</f>
        <v>764820.4</v>
      </c>
      <c r="C87" s="20">
        <f>'raw data'!V735</f>
        <v>317510</v>
      </c>
      <c r="D87" s="20">
        <f t="shared" si="12"/>
        <v>9994307.1999999993</v>
      </c>
      <c r="E87" s="18">
        <f>'raw data'!AH735</f>
        <v>10311817.199999999</v>
      </c>
      <c r="F87" s="18">
        <f>SUM('raw data'!AI735:AK735)</f>
        <v>8190913.3000000007</v>
      </c>
      <c r="G87" s="20">
        <f>'raw data'!AO735</f>
        <v>9619976.1999999993</v>
      </c>
      <c r="H87" s="20">
        <f t="shared" si="13"/>
        <v>691841</v>
      </c>
      <c r="I87" s="20">
        <f t="shared" si="14"/>
        <v>2120903.8999999985</v>
      </c>
      <c r="J87" s="30">
        <f t="shared" si="15"/>
        <v>25.797339611350825</v>
      </c>
      <c r="K87" s="30">
        <f t="shared" si="11"/>
        <v>3.0790887177480224E-2</v>
      </c>
      <c r="L87" s="30">
        <f t="shared" si="16"/>
        <v>31.477141507354098</v>
      </c>
      <c r="M87" s="30">
        <f t="shared" si="17"/>
        <v>32.477141507354098</v>
      </c>
      <c r="N87" s="30">
        <f t="shared" si="18"/>
        <v>30.298183364303483</v>
      </c>
      <c r="O87" s="30">
        <f t="shared" si="19"/>
        <v>1.0719171217908003</v>
      </c>
      <c r="P87" s="30">
        <f t="shared" si="20"/>
        <v>1.2589337504036331</v>
      </c>
      <c r="Q87" s="30">
        <f t="shared" si="21"/>
        <v>4.8619917196625488</v>
      </c>
    </row>
    <row r="88" spans="1:17" x14ac:dyDescent="0.5">
      <c r="A88" s="23" t="str">
        <f>'raw data'!A736</f>
        <v>2007-09</v>
      </c>
      <c r="B88" s="32">
        <f>'raw data'!U736</f>
        <v>773912.7</v>
      </c>
      <c r="C88" s="20">
        <f>'raw data'!V736</f>
        <v>322053.7</v>
      </c>
      <c r="D88" s="20">
        <f t="shared" si="12"/>
        <v>10150770.800000001</v>
      </c>
      <c r="E88" s="18">
        <f>'raw data'!AH736</f>
        <v>10472824.5</v>
      </c>
      <c r="F88" s="18">
        <f>SUM('raw data'!AI736:AK736)</f>
        <v>8294215.9000000004</v>
      </c>
      <c r="G88" s="20">
        <f>'raw data'!AO736</f>
        <v>9731788.4000000004</v>
      </c>
      <c r="H88" s="20">
        <f t="shared" si="13"/>
        <v>741036.09999999963</v>
      </c>
      <c r="I88" s="20">
        <f t="shared" si="14"/>
        <v>2178608.5999999996</v>
      </c>
      <c r="J88" s="30">
        <f t="shared" si="15"/>
        <v>25.754139449414804</v>
      </c>
      <c r="K88" s="30">
        <f t="shared" si="11"/>
        <v>3.0751369890710954E-2</v>
      </c>
      <c r="L88" s="30">
        <f t="shared" si="16"/>
        <v>31.518876510345947</v>
      </c>
      <c r="M88" s="30">
        <f t="shared" si="17"/>
        <v>32.518876510345947</v>
      </c>
      <c r="N88" s="30">
        <f t="shared" si="18"/>
        <v>30.217905895817996</v>
      </c>
      <c r="O88" s="30">
        <f t="shared" si="19"/>
        <v>1.0761459322317366</v>
      </c>
      <c r="P88" s="30">
        <f t="shared" si="20"/>
        <v>1.2626660104181757</v>
      </c>
      <c r="Q88" s="30">
        <f t="shared" si="21"/>
        <v>4.8071161107139675</v>
      </c>
    </row>
    <row r="89" spans="1:17" x14ac:dyDescent="0.5">
      <c r="A89" s="23" t="str">
        <f>'raw data'!A737</f>
        <v>2007-10</v>
      </c>
      <c r="B89" s="32">
        <f>'raw data'!U737</f>
        <v>772998.2</v>
      </c>
      <c r="C89" s="20">
        <f>'raw data'!V737</f>
        <v>321043.90000000002</v>
      </c>
      <c r="D89" s="20">
        <f t="shared" si="12"/>
        <v>10281889.799999999</v>
      </c>
      <c r="E89" s="18">
        <f>'raw data'!AH737</f>
        <v>10602933.699999999</v>
      </c>
      <c r="F89" s="18">
        <f>SUM('raw data'!AI737:AK737)</f>
        <v>8513340.8000000007</v>
      </c>
      <c r="G89" s="20">
        <f>'raw data'!AO737</f>
        <v>9846482.5999999996</v>
      </c>
      <c r="H89" s="20">
        <f t="shared" si="13"/>
        <v>756451.09999999963</v>
      </c>
      <c r="I89" s="20">
        <f t="shared" si="14"/>
        <v>2089592.8999999985</v>
      </c>
      <c r="J89" s="30">
        <f t="shared" si="15"/>
        <v>26.517684341611847</v>
      </c>
      <c r="K89" s="30">
        <f t="shared" si="11"/>
        <v>3.027878029643815E-2</v>
      </c>
      <c r="L89" s="30">
        <f t="shared" si="16"/>
        <v>32.026429407317806</v>
      </c>
      <c r="M89" s="30">
        <f t="shared" si="17"/>
        <v>33.026429407317814</v>
      </c>
      <c r="N89" s="30">
        <f t="shared" si="18"/>
        <v>30.670206161836433</v>
      </c>
      <c r="O89" s="30">
        <f t="shared" si="19"/>
        <v>1.0768244997457264</v>
      </c>
      <c r="P89" s="30">
        <f t="shared" si="20"/>
        <v>1.2454492248213531</v>
      </c>
      <c r="Q89" s="30">
        <f t="shared" si="21"/>
        <v>5.0741623882814721</v>
      </c>
    </row>
    <row r="90" spans="1:17" x14ac:dyDescent="0.5">
      <c r="A90" s="23" t="str">
        <f>'raw data'!A738</f>
        <v>2007-11</v>
      </c>
      <c r="B90" s="32">
        <f>'raw data'!U738</f>
        <v>784795.3</v>
      </c>
      <c r="C90" s="20">
        <f>'raw data'!V738</f>
        <v>330278.59999999998</v>
      </c>
      <c r="D90" s="20">
        <f t="shared" si="12"/>
        <v>10436521.700000001</v>
      </c>
      <c r="E90" s="18">
        <f>'raw data'!AH738</f>
        <v>10766800.300000001</v>
      </c>
      <c r="F90" s="18">
        <f>SUM('raw data'!AI738:AK738)</f>
        <v>8686903.9000000004</v>
      </c>
      <c r="G90" s="20">
        <f>'raw data'!AO738</f>
        <v>10009484.699999999</v>
      </c>
      <c r="H90" s="20">
        <f t="shared" si="13"/>
        <v>757315.60000000149</v>
      </c>
      <c r="I90" s="20">
        <f t="shared" si="14"/>
        <v>2079896.4000000004</v>
      </c>
      <c r="J90" s="30">
        <f t="shared" si="15"/>
        <v>26.301746162179448</v>
      </c>
      <c r="K90" s="30">
        <f t="shared" si="11"/>
        <v>3.0675650220799579E-2</v>
      </c>
      <c r="L90" s="30">
        <f t="shared" si="16"/>
        <v>31.599145993715613</v>
      </c>
      <c r="M90" s="30">
        <f t="shared" si="17"/>
        <v>32.599145993715616</v>
      </c>
      <c r="N90" s="30">
        <f t="shared" si="18"/>
        <v>30.306186050201255</v>
      </c>
      <c r="O90" s="30">
        <f t="shared" si="19"/>
        <v>1.0756597989504897</v>
      </c>
      <c r="P90" s="30">
        <f t="shared" si="20"/>
        <v>1.2394289638682432</v>
      </c>
      <c r="Q90" s="30">
        <f t="shared" si="21"/>
        <v>5.1766041327827672</v>
      </c>
    </row>
    <row r="91" spans="1:17" x14ac:dyDescent="0.5">
      <c r="A91" s="23" t="str">
        <f>'raw data'!A739</f>
        <v>2007-12</v>
      </c>
      <c r="B91" s="32">
        <f>'raw data'!U739</f>
        <v>798352.3</v>
      </c>
      <c r="C91" s="20">
        <f>'raw data'!V739</f>
        <v>341428.8</v>
      </c>
      <c r="D91" s="20">
        <f t="shared" si="12"/>
        <v>10489433.899999999</v>
      </c>
      <c r="E91" s="18">
        <f>'raw data'!AH739</f>
        <v>10830862.699999999</v>
      </c>
      <c r="F91" s="18">
        <f>SUM('raw data'!AI739:AK739)</f>
        <v>8686075.6999999993</v>
      </c>
      <c r="G91" s="20">
        <f>'raw data'!AO739</f>
        <v>10048651.4</v>
      </c>
      <c r="H91" s="20">
        <f t="shared" si="13"/>
        <v>782211.29999999888</v>
      </c>
      <c r="I91" s="20">
        <f t="shared" si="14"/>
        <v>2144787</v>
      </c>
      <c r="J91" s="30">
        <f t="shared" si="15"/>
        <v>25.440372048286495</v>
      </c>
      <c r="K91" s="30">
        <f t="shared" si="11"/>
        <v>3.1523693860508455E-2</v>
      </c>
      <c r="L91" s="30">
        <f t="shared" si="16"/>
        <v>30.722170771768518</v>
      </c>
      <c r="M91" s="30">
        <f t="shared" si="17"/>
        <v>31.722170771768521</v>
      </c>
      <c r="N91" s="30">
        <f t="shared" si="18"/>
        <v>29.431176866157749</v>
      </c>
      <c r="O91" s="30">
        <f t="shared" si="19"/>
        <v>1.0778424157494406</v>
      </c>
      <c r="P91" s="30">
        <f t="shared" si="20"/>
        <v>1.2469224393243545</v>
      </c>
      <c r="Q91" s="30">
        <f t="shared" si="21"/>
        <v>5.0498546941957407</v>
      </c>
    </row>
    <row r="92" spans="1:17" x14ac:dyDescent="0.5">
      <c r="A92" s="23" t="str">
        <f>'raw data'!A740</f>
        <v>2008-01</v>
      </c>
      <c r="B92" s="32">
        <f>'raw data'!U740</f>
        <v>799693.1</v>
      </c>
      <c r="C92" s="20">
        <f>'raw data'!V740</f>
        <v>338148.5</v>
      </c>
      <c r="D92" s="20">
        <f t="shared" si="12"/>
        <v>10610113.6</v>
      </c>
      <c r="E92" s="18">
        <f>'raw data'!AH740</f>
        <v>10948262.1</v>
      </c>
      <c r="F92" s="18">
        <f>SUM('raw data'!AI740:AK740)</f>
        <v>8752297.6999999993</v>
      </c>
      <c r="G92" s="20">
        <f>'raw data'!AO740</f>
        <v>10117637.5</v>
      </c>
      <c r="H92" s="20">
        <f t="shared" si="13"/>
        <v>830624.59999999963</v>
      </c>
      <c r="I92" s="20">
        <f t="shared" si="14"/>
        <v>2195964.4000000004</v>
      </c>
      <c r="J92" s="30">
        <f t="shared" si="15"/>
        <v>25.883000220317403</v>
      </c>
      <c r="K92" s="30">
        <f t="shared" si="11"/>
        <v>3.0886043548409386E-2</v>
      </c>
      <c r="L92" s="30">
        <f t="shared" si="16"/>
        <v>31.377083145422795</v>
      </c>
      <c r="M92" s="30">
        <f t="shared" si="17"/>
        <v>32.377083145422795</v>
      </c>
      <c r="N92" s="30">
        <f t="shared" si="18"/>
        <v>29.920693127427743</v>
      </c>
      <c r="O92" s="30">
        <f t="shared" si="19"/>
        <v>1.0820966950041448</v>
      </c>
      <c r="P92" s="30">
        <f t="shared" si="20"/>
        <v>1.2509014747064648</v>
      </c>
      <c r="Q92" s="30">
        <f t="shared" si="21"/>
        <v>4.9856282278528727</v>
      </c>
    </row>
    <row r="93" spans="1:17" x14ac:dyDescent="0.5">
      <c r="A93" s="23" t="str">
        <f>'raw data'!A741</f>
        <v>2008-02</v>
      </c>
      <c r="B93" s="32">
        <f>'raw data'!U741</f>
        <v>796780.4</v>
      </c>
      <c r="C93" s="20">
        <f>'raw data'!V741</f>
        <v>331411.8</v>
      </c>
      <c r="D93" s="20">
        <f t="shared" si="12"/>
        <v>10657879.299999999</v>
      </c>
      <c r="E93" s="18">
        <f>'raw data'!AH741</f>
        <v>10989291.1</v>
      </c>
      <c r="F93" s="18">
        <f>SUM('raw data'!AI741:AK741)</f>
        <v>8850263.0999999996</v>
      </c>
      <c r="G93" s="20">
        <f>'raw data'!AO741</f>
        <v>10180902.9</v>
      </c>
      <c r="H93" s="20">
        <f t="shared" si="13"/>
        <v>808388.19999999925</v>
      </c>
      <c r="I93" s="20">
        <f t="shared" si="14"/>
        <v>2139028</v>
      </c>
      <c r="J93" s="30">
        <f t="shared" si="15"/>
        <v>26.704731394597296</v>
      </c>
      <c r="K93" s="30">
        <f t="shared" si="11"/>
        <v>3.0157705077081813E-2</v>
      </c>
      <c r="L93" s="30">
        <f t="shared" si="16"/>
        <v>32.159021797051281</v>
      </c>
      <c r="M93" s="30">
        <f t="shared" si="17"/>
        <v>33.159021797051281</v>
      </c>
      <c r="N93" s="30">
        <f t="shared" si="18"/>
        <v>30.719796036230456</v>
      </c>
      <c r="O93" s="30">
        <f t="shared" si="19"/>
        <v>1.0794024074230193</v>
      </c>
      <c r="P93" s="30">
        <f t="shared" si="20"/>
        <v>1.2416908939125211</v>
      </c>
      <c r="Q93" s="30">
        <f t="shared" si="21"/>
        <v>5.1375162456966432</v>
      </c>
    </row>
    <row r="94" spans="1:17" x14ac:dyDescent="0.5">
      <c r="A94" s="23" t="str">
        <f>'raw data'!A742</f>
        <v>2008-03</v>
      </c>
      <c r="B94" s="32">
        <f>'raw data'!U742</f>
        <v>798355.3</v>
      </c>
      <c r="C94" s="20">
        <f>'raw data'!V742</f>
        <v>328294.40000000002</v>
      </c>
      <c r="D94" s="20">
        <f t="shared" si="12"/>
        <v>10787591.5</v>
      </c>
      <c r="E94" s="18">
        <f>'raw data'!AH742</f>
        <v>11115885.9</v>
      </c>
      <c r="F94" s="18">
        <f>SUM('raw data'!AI742:AK742)</f>
        <v>8924230.0999999996</v>
      </c>
      <c r="G94" s="20">
        <f>'raw data'!AO742</f>
        <v>10320359.5</v>
      </c>
      <c r="H94" s="20">
        <f t="shared" si="13"/>
        <v>795526.40000000037</v>
      </c>
      <c r="I94" s="20">
        <f t="shared" si="14"/>
        <v>2191655.8000000007</v>
      </c>
      <c r="J94" s="30">
        <f t="shared" si="15"/>
        <v>27.183619641395037</v>
      </c>
      <c r="K94" s="30">
        <f t="shared" si="11"/>
        <v>2.9533804408697645E-2</v>
      </c>
      <c r="L94" s="30">
        <f t="shared" si="16"/>
        <v>32.859505066184497</v>
      </c>
      <c r="M94" s="30">
        <f t="shared" si="17"/>
        <v>33.859505066184497</v>
      </c>
      <c r="N94" s="30">
        <f t="shared" si="18"/>
        <v>31.436294679409698</v>
      </c>
      <c r="O94" s="30">
        <f t="shared" si="19"/>
        <v>1.0770832062584641</v>
      </c>
      <c r="P94" s="30">
        <f t="shared" si="20"/>
        <v>1.2455848600317916</v>
      </c>
      <c r="Q94" s="30">
        <f t="shared" si="21"/>
        <v>5.0719122500896336</v>
      </c>
    </row>
    <row r="95" spans="1:17" x14ac:dyDescent="0.5">
      <c r="A95" s="23" t="str">
        <f>'raw data'!A743</f>
        <v>2008-04</v>
      </c>
      <c r="B95" s="32">
        <f>'raw data'!U743</f>
        <v>803640.4</v>
      </c>
      <c r="C95" s="20">
        <f>'raw data'!V743</f>
        <v>329319.59999999998</v>
      </c>
      <c r="D95" s="20">
        <f t="shared" si="12"/>
        <v>10729237.300000001</v>
      </c>
      <c r="E95" s="18">
        <f>'raw data'!AH743</f>
        <v>11058556.9</v>
      </c>
      <c r="F95" s="18">
        <f>SUM('raw data'!AI743:AK743)</f>
        <v>8945061.9000000004</v>
      </c>
      <c r="G95" s="20">
        <f>'raw data'!AO743</f>
        <v>10269726.800000001</v>
      </c>
      <c r="H95" s="20">
        <f t="shared" si="13"/>
        <v>788830.09999999963</v>
      </c>
      <c r="I95" s="20">
        <f t="shared" si="14"/>
        <v>2113495</v>
      </c>
      <c r="J95" s="30">
        <f t="shared" si="15"/>
        <v>27.162251806451852</v>
      </c>
      <c r="K95" s="30">
        <f t="shared" si="11"/>
        <v>2.9779617989757774E-2</v>
      </c>
      <c r="L95" s="30">
        <f t="shared" si="16"/>
        <v>32.580014369020255</v>
      </c>
      <c r="M95" s="30">
        <f t="shared" si="17"/>
        <v>33.580014369020247</v>
      </c>
      <c r="N95" s="30">
        <f t="shared" si="18"/>
        <v>31.184681385499076</v>
      </c>
      <c r="O95" s="30">
        <f t="shared" si="19"/>
        <v>1.0768112059222452</v>
      </c>
      <c r="P95" s="30">
        <f t="shared" si="20"/>
        <v>1.2362750558495297</v>
      </c>
      <c r="Q95" s="30">
        <f t="shared" si="21"/>
        <v>5.2323553639824087</v>
      </c>
    </row>
    <row r="96" spans="1:17" x14ac:dyDescent="0.5">
      <c r="A96" s="23" t="str">
        <f>'raw data'!A744</f>
        <v>2008-05</v>
      </c>
      <c r="B96" s="32">
        <f>'raw data'!U744</f>
        <v>808640.2</v>
      </c>
      <c r="C96" s="20">
        <f>'raw data'!V744</f>
        <v>330340.09999999998</v>
      </c>
      <c r="D96" s="20">
        <f t="shared" si="12"/>
        <v>10685944.700000001</v>
      </c>
      <c r="E96" s="18">
        <f>'raw data'!AH744</f>
        <v>11016284.800000001</v>
      </c>
      <c r="F96" s="18">
        <f>SUM('raw data'!AI744:AK744)</f>
        <v>8927221.5999999996</v>
      </c>
      <c r="G96" s="20">
        <f>'raw data'!AO744</f>
        <v>10216543.199999999</v>
      </c>
      <c r="H96" s="20">
        <f t="shared" si="13"/>
        <v>799741.60000000149</v>
      </c>
      <c r="I96" s="20">
        <f t="shared" si="14"/>
        <v>2089063.2000000011</v>
      </c>
      <c r="J96" s="30">
        <f t="shared" si="15"/>
        <v>27.024335223001991</v>
      </c>
      <c r="K96" s="30">
        <f t="shared" si="11"/>
        <v>2.9986525039730268E-2</v>
      </c>
      <c r="L96" s="30">
        <f t="shared" si="16"/>
        <v>32.348312239416295</v>
      </c>
      <c r="M96" s="30">
        <f t="shared" si="17"/>
        <v>33.348312239416288</v>
      </c>
      <c r="N96" s="30">
        <f t="shared" si="18"/>
        <v>30.927347905991432</v>
      </c>
      <c r="O96" s="30">
        <f t="shared" si="19"/>
        <v>1.0782790797576232</v>
      </c>
      <c r="P96" s="30">
        <f t="shared" si="20"/>
        <v>1.2340104562879901</v>
      </c>
      <c r="Q96" s="30">
        <f t="shared" si="21"/>
        <v>5.2733133205352498</v>
      </c>
    </row>
    <row r="97" spans="1:17" x14ac:dyDescent="0.5">
      <c r="A97" s="23" t="str">
        <f>'raw data'!A745</f>
        <v>2008-06</v>
      </c>
      <c r="B97" s="32">
        <f>'raw data'!U745</f>
        <v>812173.5</v>
      </c>
      <c r="C97" s="20">
        <f>'raw data'!V745</f>
        <v>330406.7</v>
      </c>
      <c r="D97" s="20">
        <f t="shared" si="12"/>
        <v>10662549.300000001</v>
      </c>
      <c r="E97" s="18">
        <f>'raw data'!AH745</f>
        <v>10992956</v>
      </c>
      <c r="F97" s="18">
        <f>SUM('raw data'!AI745:AK745)</f>
        <v>8951875</v>
      </c>
      <c r="G97" s="20">
        <f>'raw data'!AO745</f>
        <v>10232403.4</v>
      </c>
      <c r="H97" s="20">
        <f t="shared" si="13"/>
        <v>760552.59999999963</v>
      </c>
      <c r="I97" s="20">
        <f t="shared" si="14"/>
        <v>2041081</v>
      </c>
      <c r="J97" s="30">
        <f t="shared" si="15"/>
        <v>27.093503249177452</v>
      </c>
      <c r="K97" s="30">
        <f t="shared" si="11"/>
        <v>3.0056219637375061E-2</v>
      </c>
      <c r="L97" s="30">
        <f t="shared" si="16"/>
        <v>32.270983911645864</v>
      </c>
      <c r="M97" s="30">
        <f t="shared" si="17"/>
        <v>33.270983911645857</v>
      </c>
      <c r="N97" s="30">
        <f t="shared" si="18"/>
        <v>30.969115941050831</v>
      </c>
      <c r="O97" s="30">
        <f t="shared" si="19"/>
        <v>1.0743278553697364</v>
      </c>
      <c r="P97" s="30">
        <f t="shared" si="20"/>
        <v>1.2280059764015918</v>
      </c>
      <c r="Q97" s="30">
        <f t="shared" si="21"/>
        <v>5.3858499491200984</v>
      </c>
    </row>
    <row r="98" spans="1:17" x14ac:dyDescent="0.5">
      <c r="A98" s="23" t="str">
        <f>'raw data'!A746</f>
        <v>2008-07</v>
      </c>
      <c r="B98" s="32">
        <f>'raw data'!U746</f>
        <v>822412.1</v>
      </c>
      <c r="C98" s="20">
        <f>'raw data'!V746</f>
        <v>334840.2</v>
      </c>
      <c r="D98" s="20">
        <f t="shared" si="12"/>
        <v>10666073.600000001</v>
      </c>
      <c r="E98" s="18">
        <f>'raw data'!AH746</f>
        <v>11000913.800000001</v>
      </c>
      <c r="F98" s="18">
        <f>SUM('raw data'!AI746:AK746)</f>
        <v>8952146.0999999996</v>
      </c>
      <c r="G98" s="20">
        <f>'raw data'!AO746</f>
        <v>10234525.9</v>
      </c>
      <c r="H98" s="20">
        <f t="shared" si="13"/>
        <v>766387.90000000037</v>
      </c>
      <c r="I98" s="20">
        <f t="shared" si="14"/>
        <v>2048767.7000000011</v>
      </c>
      <c r="J98" s="30">
        <f t="shared" si="15"/>
        <v>26.735577448585921</v>
      </c>
      <c r="K98" s="30">
        <f t="shared" si="11"/>
        <v>3.0437489656541077E-2</v>
      </c>
      <c r="L98" s="30">
        <f t="shared" si="16"/>
        <v>31.854220610309039</v>
      </c>
      <c r="M98" s="30">
        <f t="shared" si="17"/>
        <v>32.854220610309035</v>
      </c>
      <c r="N98" s="30">
        <f t="shared" si="18"/>
        <v>30.56540373587162</v>
      </c>
      <c r="O98" s="30">
        <f t="shared" si="19"/>
        <v>1.0748825991050548</v>
      </c>
      <c r="P98" s="30">
        <f t="shared" si="20"/>
        <v>1.2288577149115116</v>
      </c>
      <c r="Q98" s="30">
        <f t="shared" si="21"/>
        <v>5.3695271552748487</v>
      </c>
    </row>
    <row r="99" spans="1:17" x14ac:dyDescent="0.5">
      <c r="A99" s="23" t="str">
        <f>'raw data'!A747</f>
        <v>2008-08</v>
      </c>
      <c r="B99" s="32">
        <f>'raw data'!U747</f>
        <v>829370.7</v>
      </c>
      <c r="C99" s="20">
        <f>'raw data'!V747</f>
        <v>340931.5</v>
      </c>
      <c r="D99" s="20">
        <f t="shared" si="12"/>
        <v>10646897</v>
      </c>
      <c r="E99" s="18">
        <f>'raw data'!AH747</f>
        <v>10987828.5</v>
      </c>
      <c r="F99" s="18">
        <f>SUM('raw data'!AI747:AK747)</f>
        <v>8956933.5999999996</v>
      </c>
      <c r="G99" s="20">
        <f>'raw data'!AO747</f>
        <v>10241621.6</v>
      </c>
      <c r="H99" s="20">
        <f t="shared" si="13"/>
        <v>746206.90000000037</v>
      </c>
      <c r="I99" s="20">
        <f t="shared" si="14"/>
        <v>2030894.9000000004</v>
      </c>
      <c r="J99" s="30">
        <f t="shared" si="15"/>
        <v>26.271944950818565</v>
      </c>
      <c r="K99" s="30">
        <f t="shared" si="11"/>
        <v>3.1028105325815743E-2</v>
      </c>
      <c r="L99" s="30">
        <f t="shared" si="16"/>
        <v>31.228845090582713</v>
      </c>
      <c r="M99" s="30">
        <f t="shared" si="17"/>
        <v>32.228845090582709</v>
      </c>
      <c r="N99" s="30">
        <f t="shared" si="18"/>
        <v>30.040115389748379</v>
      </c>
      <c r="O99" s="30">
        <f t="shared" si="19"/>
        <v>1.0728602294777225</v>
      </c>
      <c r="P99" s="30">
        <f t="shared" si="20"/>
        <v>1.2267399749396379</v>
      </c>
      <c r="Q99" s="30">
        <f t="shared" si="21"/>
        <v>5.410338319329079</v>
      </c>
    </row>
    <row r="100" spans="1:17" x14ac:dyDescent="0.5">
      <c r="A100" s="23" t="str">
        <f>'raw data'!A748</f>
        <v>2008-09</v>
      </c>
      <c r="B100" s="32">
        <f>'raw data'!U748</f>
        <v>837008.5</v>
      </c>
      <c r="C100" s="20">
        <f>'raw data'!V748</f>
        <v>349567.1</v>
      </c>
      <c r="D100" s="20">
        <f t="shared" si="12"/>
        <v>10933753.5</v>
      </c>
      <c r="E100" s="18">
        <f>'raw data'!AH748</f>
        <v>11283320.6</v>
      </c>
      <c r="F100" s="18">
        <f>SUM('raw data'!AI748:AK748)</f>
        <v>9194514.3999999985</v>
      </c>
      <c r="G100" s="20">
        <f>'raw data'!AO748</f>
        <v>10509770.9</v>
      </c>
      <c r="H100" s="20">
        <f t="shared" si="13"/>
        <v>773549.69999999925</v>
      </c>
      <c r="I100" s="20">
        <f t="shared" si="14"/>
        <v>2088806.2000000011</v>
      </c>
      <c r="J100" s="30">
        <f t="shared" si="15"/>
        <v>26.302573668975139</v>
      </c>
      <c r="K100" s="30">
        <f t="shared" si="11"/>
        <v>3.0980871003523553E-2</v>
      </c>
      <c r="L100" s="30">
        <f t="shared" si="16"/>
        <v>31.277982109872472</v>
      </c>
      <c r="M100" s="30">
        <f t="shared" si="17"/>
        <v>32.277982109872468</v>
      </c>
      <c r="N100" s="30">
        <f t="shared" si="18"/>
        <v>30.065103094656223</v>
      </c>
      <c r="O100" s="30">
        <f t="shared" si="19"/>
        <v>1.0736029079377933</v>
      </c>
      <c r="P100" s="30">
        <f t="shared" si="20"/>
        <v>1.2271796104860091</v>
      </c>
      <c r="Q100" s="30">
        <f t="shared" si="21"/>
        <v>5.4018034799015791</v>
      </c>
    </row>
    <row r="101" spans="1:17" x14ac:dyDescent="0.5">
      <c r="A101" s="23" t="str">
        <f>'raw data'!A749</f>
        <v>2008-10</v>
      </c>
      <c r="B101" s="32">
        <f>'raw data'!U749</f>
        <v>860867.4</v>
      </c>
      <c r="C101" s="20">
        <f>'raw data'!V749</f>
        <v>373901.4</v>
      </c>
      <c r="D101" s="20">
        <f t="shared" si="12"/>
        <v>11572324.799999999</v>
      </c>
      <c r="E101" s="18">
        <f>'raw data'!AH749</f>
        <v>11946226.199999999</v>
      </c>
      <c r="F101" s="18">
        <f>SUM('raw data'!AI749:AK749)</f>
        <v>9178562.1999999993</v>
      </c>
      <c r="G101" s="20">
        <f>'raw data'!AO749</f>
        <v>11144766.699999999</v>
      </c>
      <c r="H101" s="20">
        <f t="shared" si="13"/>
        <v>801459.5</v>
      </c>
      <c r="I101" s="20">
        <f t="shared" si="14"/>
        <v>2767664</v>
      </c>
      <c r="J101" s="30">
        <f t="shared" si="15"/>
        <v>24.548081927481412</v>
      </c>
      <c r="K101" s="30">
        <f t="shared" si="11"/>
        <v>3.1298704188273282E-2</v>
      </c>
      <c r="L101" s="30">
        <f t="shared" si="16"/>
        <v>30.950204519159325</v>
      </c>
      <c r="M101" s="30">
        <f t="shared" si="17"/>
        <v>31.950204519159325</v>
      </c>
      <c r="N101" s="30">
        <f t="shared" si="18"/>
        <v>29.806699573737884</v>
      </c>
      <c r="O101" s="30">
        <f t="shared" si="19"/>
        <v>1.0719135287058095</v>
      </c>
      <c r="P101" s="30">
        <f t="shared" si="20"/>
        <v>1.3015356806101941</v>
      </c>
      <c r="Q101" s="30">
        <f t="shared" si="21"/>
        <v>4.316357115603628</v>
      </c>
    </row>
    <row r="102" spans="1:17" x14ac:dyDescent="0.5">
      <c r="A102" s="23" t="str">
        <f>'raw data'!A750</f>
        <v>2008-11</v>
      </c>
      <c r="B102" s="32">
        <f>'raw data'!U750</f>
        <v>869787</v>
      </c>
      <c r="C102" s="20">
        <f>'raw data'!V750</f>
        <v>382397.2</v>
      </c>
      <c r="D102" s="20">
        <f t="shared" si="12"/>
        <v>11752300.600000001</v>
      </c>
      <c r="E102" s="18">
        <f>'raw data'!AH750</f>
        <v>12134697.800000001</v>
      </c>
      <c r="F102" s="18">
        <f>SUM('raw data'!AI750:AK750)</f>
        <v>9005317.4000000004</v>
      </c>
      <c r="G102" s="20">
        <f>'raw data'!AO750</f>
        <v>11351565.300000001</v>
      </c>
      <c r="H102" s="20">
        <f t="shared" si="13"/>
        <v>783132.5</v>
      </c>
      <c r="I102" s="20">
        <f t="shared" si="14"/>
        <v>3129380.4000000004</v>
      </c>
      <c r="J102" s="30">
        <f t="shared" si="15"/>
        <v>23.549642622906234</v>
      </c>
      <c r="K102" s="30">
        <f t="shared" si="11"/>
        <v>3.1512708952669589E-2</v>
      </c>
      <c r="L102" s="30">
        <f t="shared" si="16"/>
        <v>30.733228695189194</v>
      </c>
      <c r="M102" s="30">
        <f t="shared" si="17"/>
        <v>31.73322869518919</v>
      </c>
      <c r="N102" s="30">
        <f t="shared" si="18"/>
        <v>29.685273061622837</v>
      </c>
      <c r="O102" s="30">
        <f t="shared" si="19"/>
        <v>1.0689889437538627</v>
      </c>
      <c r="P102" s="30">
        <f t="shared" si="20"/>
        <v>1.3475036204720559</v>
      </c>
      <c r="Q102" s="30">
        <f t="shared" si="21"/>
        <v>3.8776678603853973</v>
      </c>
    </row>
    <row r="103" spans="1:17" x14ac:dyDescent="0.5">
      <c r="A103" s="23" t="str">
        <f>'raw data'!A751</f>
        <v>2008-12</v>
      </c>
      <c r="B103" s="32">
        <f>'raw data'!U751</f>
        <v>875427.5</v>
      </c>
      <c r="C103" s="20">
        <f>'raw data'!V751</f>
        <v>384293</v>
      </c>
      <c r="D103" s="20">
        <f t="shared" si="12"/>
        <v>11966185.800000001</v>
      </c>
      <c r="E103" s="18">
        <f>'raw data'!AH751</f>
        <v>12350478.800000001</v>
      </c>
      <c r="F103" s="18">
        <f>SUM('raw data'!AI751:AK751)</f>
        <v>9123224</v>
      </c>
      <c r="G103" s="20">
        <f>'raw data'!AO751</f>
        <v>11523536.199999999</v>
      </c>
      <c r="H103" s="20">
        <f t="shared" si="13"/>
        <v>826942.60000000149</v>
      </c>
      <c r="I103" s="20">
        <f t="shared" si="14"/>
        <v>3227254.8000000007</v>
      </c>
      <c r="J103" s="30">
        <f t="shared" si="15"/>
        <v>23.740281503956616</v>
      </c>
      <c r="K103" s="30">
        <f t="shared" si="11"/>
        <v>3.1115635775999226E-2</v>
      </c>
      <c r="L103" s="30">
        <f t="shared" si="16"/>
        <v>31.138183105078678</v>
      </c>
      <c r="M103" s="30">
        <f t="shared" si="17"/>
        <v>32.138183105078681</v>
      </c>
      <c r="N103" s="30">
        <f t="shared" si="18"/>
        <v>29.986328660683384</v>
      </c>
      <c r="O103" s="30">
        <f t="shared" si="19"/>
        <v>1.0717611838629884</v>
      </c>
      <c r="P103" s="30">
        <f t="shared" si="20"/>
        <v>1.3537406074870024</v>
      </c>
      <c r="Q103" s="30">
        <f t="shared" si="21"/>
        <v>3.8269301822713215</v>
      </c>
    </row>
    <row r="104" spans="1:17" x14ac:dyDescent="0.5">
      <c r="A104" s="23" t="str">
        <f>'raw data'!A752</f>
        <v>2009-01</v>
      </c>
      <c r="B104" s="32">
        <f>'raw data'!U752</f>
        <v>887360.6</v>
      </c>
      <c r="C104" s="20">
        <f>'raw data'!V752</f>
        <v>393422.3</v>
      </c>
      <c r="D104" s="20">
        <f t="shared" si="12"/>
        <v>11855879.6</v>
      </c>
      <c r="E104" s="18">
        <f>'raw data'!AH752</f>
        <v>12249301.9</v>
      </c>
      <c r="F104" s="18">
        <f>SUM('raw data'!AI752:AK752)</f>
        <v>9167208.5</v>
      </c>
      <c r="G104" s="20">
        <f>'raw data'!AO752</f>
        <v>11398901.199999999</v>
      </c>
      <c r="H104" s="20">
        <f t="shared" si="13"/>
        <v>850400.70000000112</v>
      </c>
      <c r="I104" s="20">
        <f t="shared" si="14"/>
        <v>3082093.4000000004</v>
      </c>
      <c r="J104" s="30">
        <f t="shared" si="15"/>
        <v>23.301191874481951</v>
      </c>
      <c r="K104" s="30">
        <f t="shared" si="11"/>
        <v>3.2117936451545863E-2</v>
      </c>
      <c r="L104" s="30">
        <f t="shared" si="16"/>
        <v>30.135250594590087</v>
      </c>
      <c r="M104" s="30">
        <f t="shared" si="17"/>
        <v>31.13525059459009</v>
      </c>
      <c r="N104" s="30">
        <f t="shared" si="18"/>
        <v>28.973703829193209</v>
      </c>
      <c r="O104" s="30">
        <f t="shared" si="19"/>
        <v>1.0746037433853712</v>
      </c>
      <c r="P104" s="30">
        <f t="shared" si="20"/>
        <v>1.3362084979304223</v>
      </c>
      <c r="Q104" s="30">
        <f t="shared" si="21"/>
        <v>3.9743448073312764</v>
      </c>
    </row>
    <row r="105" spans="1:17" x14ac:dyDescent="0.5">
      <c r="A105" s="23" t="str">
        <f>'raw data'!A753</f>
        <v>2009-02</v>
      </c>
      <c r="B105" s="32">
        <f>'raw data'!U753</f>
        <v>891757</v>
      </c>
      <c r="C105" s="20">
        <f>'raw data'!V753</f>
        <v>395234.3</v>
      </c>
      <c r="D105" s="20">
        <f t="shared" si="12"/>
        <v>11625632.899999999</v>
      </c>
      <c r="E105" s="18">
        <f>'raw data'!AH753</f>
        <v>12020867.199999999</v>
      </c>
      <c r="F105" s="18">
        <f>SUM('raw data'!AI753:AK753)</f>
        <v>9110668.1999999993</v>
      </c>
      <c r="G105" s="20">
        <f>'raw data'!AO753</f>
        <v>11159486.800000001</v>
      </c>
      <c r="H105" s="20">
        <f t="shared" si="13"/>
        <v>861380.39999999851</v>
      </c>
      <c r="I105" s="20">
        <f t="shared" si="14"/>
        <v>2910199</v>
      </c>
      <c r="J105" s="30">
        <f t="shared" si="15"/>
        <v>23.051309564984617</v>
      </c>
      <c r="K105" s="30">
        <f t="shared" si="11"/>
        <v>3.2879017247607563E-2</v>
      </c>
      <c r="L105" s="30">
        <f t="shared" si="16"/>
        <v>29.414534366070956</v>
      </c>
      <c r="M105" s="30">
        <f t="shared" si="17"/>
        <v>30.41453436607096</v>
      </c>
      <c r="N105" s="30">
        <f t="shared" si="18"/>
        <v>28.235117245643917</v>
      </c>
      <c r="O105" s="30">
        <f t="shared" si="19"/>
        <v>1.0771881732052409</v>
      </c>
      <c r="P105" s="30">
        <f t="shared" si="20"/>
        <v>1.3194276134433258</v>
      </c>
      <c r="Q105" s="30">
        <f t="shared" si="21"/>
        <v>4.1305997287470717</v>
      </c>
    </row>
    <row r="106" spans="1:17" x14ac:dyDescent="0.5">
      <c r="A106" s="23" t="str">
        <f>'raw data'!A754</f>
        <v>2009-03</v>
      </c>
      <c r="B106" s="32">
        <f>'raw data'!U754</f>
        <v>878040.5</v>
      </c>
      <c r="C106" s="20">
        <f>'raw data'!V754</f>
        <v>382918.1</v>
      </c>
      <c r="D106" s="20">
        <f t="shared" si="12"/>
        <v>11670084.200000001</v>
      </c>
      <c r="E106" s="18">
        <f>'raw data'!AH754</f>
        <v>12053002.300000001</v>
      </c>
      <c r="F106" s="18">
        <f>SUM('raw data'!AI754:AK754)</f>
        <v>9126341.9000000004</v>
      </c>
      <c r="G106" s="20">
        <f>'raw data'!AO754</f>
        <v>11188250.5</v>
      </c>
      <c r="H106" s="20">
        <f t="shared" si="13"/>
        <v>864751.80000000075</v>
      </c>
      <c r="I106" s="20">
        <f t="shared" si="14"/>
        <v>2926660.4000000004</v>
      </c>
      <c r="J106" s="30">
        <f t="shared" si="15"/>
        <v>23.833665475724445</v>
      </c>
      <c r="K106" s="30">
        <f t="shared" si="11"/>
        <v>3.176952019664013E-2</v>
      </c>
      <c r="L106" s="30">
        <f t="shared" si="16"/>
        <v>30.476710816229375</v>
      </c>
      <c r="M106" s="30">
        <f t="shared" si="17"/>
        <v>31.476710816229375</v>
      </c>
      <c r="N106" s="30">
        <f t="shared" si="18"/>
        <v>29.218390303305068</v>
      </c>
      <c r="O106" s="30">
        <f t="shared" si="19"/>
        <v>1.0772910653010497</v>
      </c>
      <c r="P106" s="30">
        <f t="shared" si="20"/>
        <v>1.3206827480351135</v>
      </c>
      <c r="Q106" s="30">
        <f t="shared" si="21"/>
        <v>4.1183467340453985</v>
      </c>
    </row>
    <row r="107" spans="1:17" x14ac:dyDescent="0.5">
      <c r="A107" s="23" t="str">
        <f>'raw data'!A755</f>
        <v>2009-04</v>
      </c>
      <c r="B107" s="32">
        <f>'raw data'!U755</f>
        <v>866056.4</v>
      </c>
      <c r="C107" s="20">
        <f>'raw data'!V755</f>
        <v>372958.7</v>
      </c>
      <c r="D107" s="20">
        <f t="shared" si="12"/>
        <v>11670259.200000001</v>
      </c>
      <c r="E107" s="18">
        <f>'raw data'!AH755</f>
        <v>12043217.9</v>
      </c>
      <c r="F107" s="18">
        <f>SUM('raw data'!AI755:AK755)</f>
        <v>9187371</v>
      </c>
      <c r="G107" s="20">
        <f>'raw data'!AO755</f>
        <v>11183807.5</v>
      </c>
      <c r="H107" s="20">
        <f t="shared" si="13"/>
        <v>859410.40000000037</v>
      </c>
      <c r="I107" s="20">
        <f t="shared" si="14"/>
        <v>2855846.9000000004</v>
      </c>
      <c r="J107" s="30">
        <f t="shared" si="15"/>
        <v>24.63374899151032</v>
      </c>
      <c r="K107" s="30">
        <f t="shared" si="11"/>
        <v>3.0968359378434895E-2</v>
      </c>
      <c r="L107" s="30">
        <f t="shared" si="16"/>
        <v>31.291022839794326</v>
      </c>
      <c r="M107" s="30">
        <f t="shared" si="17"/>
        <v>32.291022839794323</v>
      </c>
      <c r="N107" s="30">
        <f t="shared" si="18"/>
        <v>29.98671836854858</v>
      </c>
      <c r="O107" s="30">
        <f t="shared" si="19"/>
        <v>1.0768441695728401</v>
      </c>
      <c r="P107" s="30">
        <f t="shared" si="20"/>
        <v>1.3108448434269173</v>
      </c>
      <c r="Q107" s="30">
        <f t="shared" si="21"/>
        <v>4.2170390506577924</v>
      </c>
    </row>
    <row r="108" spans="1:17" x14ac:dyDescent="0.5">
      <c r="A108" s="23" t="str">
        <f>'raw data'!A756</f>
        <v>2009-05</v>
      </c>
      <c r="B108" s="32">
        <f>'raw data'!U756</f>
        <v>861804.8</v>
      </c>
      <c r="C108" s="20">
        <f>'raw data'!V756</f>
        <v>364702.2</v>
      </c>
      <c r="D108" s="20">
        <f t="shared" si="12"/>
        <v>11714975.100000001</v>
      </c>
      <c r="E108" s="18">
        <f>'raw data'!AH756</f>
        <v>12079677.300000001</v>
      </c>
      <c r="F108" s="18">
        <f>SUM('raw data'!AI756:AK756)</f>
        <v>9335424.1999999993</v>
      </c>
      <c r="G108" s="20">
        <f>'raw data'!AO756</f>
        <v>11214966.9</v>
      </c>
      <c r="H108" s="20">
        <f t="shared" si="13"/>
        <v>864710.40000000037</v>
      </c>
      <c r="I108" s="20">
        <f t="shared" si="14"/>
        <v>2744253.1000000015</v>
      </c>
      <c r="J108" s="30">
        <f t="shared" si="15"/>
        <v>25.597389322027666</v>
      </c>
      <c r="K108" s="30">
        <f t="shared" si="11"/>
        <v>3.0191385990087666E-2</v>
      </c>
      <c r="L108" s="30">
        <f t="shared" si="16"/>
        <v>32.122030248240897</v>
      </c>
      <c r="M108" s="30">
        <f t="shared" si="17"/>
        <v>33.122030248240897</v>
      </c>
      <c r="N108" s="30">
        <f t="shared" si="18"/>
        <v>30.751026179715943</v>
      </c>
      <c r="O108" s="30">
        <f t="shared" si="19"/>
        <v>1.0771032503002751</v>
      </c>
      <c r="P108" s="30">
        <f t="shared" si="20"/>
        <v>1.2939612642347844</v>
      </c>
      <c r="Q108" s="30">
        <f t="shared" si="21"/>
        <v>4.4018087471596532</v>
      </c>
    </row>
    <row r="109" spans="1:17" x14ac:dyDescent="0.5">
      <c r="A109" s="23" t="str">
        <f>'raw data'!A757</f>
        <v>2009-06</v>
      </c>
      <c r="B109" s="32">
        <f>'raw data'!U757</f>
        <v>854687.7</v>
      </c>
      <c r="C109" s="20">
        <f>'raw data'!V757</f>
        <v>358029.4</v>
      </c>
      <c r="D109" s="20">
        <f t="shared" si="12"/>
        <v>11589492.4</v>
      </c>
      <c r="E109" s="18">
        <f>'raw data'!AH757</f>
        <v>11947521.800000001</v>
      </c>
      <c r="F109" s="18">
        <f>SUM('raw data'!AI757:AK757)</f>
        <v>9401228.1999999993</v>
      </c>
      <c r="G109" s="20">
        <f>'raw data'!AO757</f>
        <v>11112567.4</v>
      </c>
      <c r="H109" s="20">
        <f t="shared" si="13"/>
        <v>834954.40000000037</v>
      </c>
      <c r="I109" s="20">
        <f t="shared" si="14"/>
        <v>2546293.6000000015</v>
      </c>
      <c r="J109" s="30">
        <f t="shared" si="15"/>
        <v>26.258257562088474</v>
      </c>
      <c r="K109" s="30">
        <f t="shared" si="11"/>
        <v>2.9966833791422752E-2</v>
      </c>
      <c r="L109" s="30">
        <f t="shared" si="16"/>
        <v>32.370225461931341</v>
      </c>
      <c r="M109" s="30">
        <f t="shared" si="17"/>
        <v>33.370225461931341</v>
      </c>
      <c r="N109" s="30">
        <f t="shared" si="18"/>
        <v>31.038142119055028</v>
      </c>
      <c r="O109" s="30">
        <f t="shared" si="19"/>
        <v>1.0751360482187042</v>
      </c>
      <c r="P109" s="30">
        <f t="shared" si="20"/>
        <v>1.2708469091304477</v>
      </c>
      <c r="Q109" s="30">
        <f t="shared" si="21"/>
        <v>4.6921226208949331</v>
      </c>
    </row>
    <row r="110" spans="1:17" x14ac:dyDescent="0.5">
      <c r="A110" s="23" t="str">
        <f>'raw data'!A758</f>
        <v>2009-07</v>
      </c>
      <c r="B110" s="32">
        <f>'raw data'!U758</f>
        <v>850285.6</v>
      </c>
      <c r="C110" s="20">
        <f>'raw data'!V758</f>
        <v>356702.6</v>
      </c>
      <c r="D110" s="20">
        <f t="shared" si="12"/>
        <v>11415577.5</v>
      </c>
      <c r="E110" s="18">
        <f>'raw data'!AH758</f>
        <v>11772280.1</v>
      </c>
      <c r="F110" s="18">
        <f>SUM('raw data'!AI758:AK758)</f>
        <v>14997365.1</v>
      </c>
      <c r="G110" s="20">
        <f>'raw data'!AO758</f>
        <v>10910370.800000001</v>
      </c>
      <c r="H110" s="20">
        <f t="shared" si="13"/>
        <v>861909.29999999888</v>
      </c>
      <c r="I110" s="20">
        <f t="shared" si="14"/>
        <v>-3225085</v>
      </c>
      <c r="J110" s="30">
        <f t="shared" si="15"/>
        <v>42.044451316026297</v>
      </c>
      <c r="K110" s="30">
        <f t="shared" si="11"/>
        <v>3.0300213465019404E-2</v>
      </c>
      <c r="L110" s="30">
        <f t="shared" si="16"/>
        <v>32.003067821765249</v>
      </c>
      <c r="M110" s="30">
        <f t="shared" si="17"/>
        <v>33.003067821765249</v>
      </c>
      <c r="N110" s="30">
        <f t="shared" si="18"/>
        <v>30.586743129991206</v>
      </c>
      <c r="O110" s="30">
        <f t="shared" si="19"/>
        <v>1.0789990840641273</v>
      </c>
      <c r="P110" s="30">
        <f t="shared" si="20"/>
        <v>0.78495655880245252</v>
      </c>
      <c r="Q110" s="30">
        <f t="shared" si="21"/>
        <v>-3.6502232034194448</v>
      </c>
    </row>
    <row r="111" spans="1:17" x14ac:dyDescent="0.5">
      <c r="A111" s="23" t="str">
        <f>'raw data'!A759</f>
        <v>2009-08</v>
      </c>
      <c r="B111" s="32">
        <f>'raw data'!U759</f>
        <v>849844.4</v>
      </c>
      <c r="C111" s="20">
        <f>'raw data'!V759</f>
        <v>355028.3</v>
      </c>
      <c r="D111" s="20">
        <f t="shared" si="12"/>
        <v>11353222</v>
      </c>
      <c r="E111" s="18">
        <f>'raw data'!AH759</f>
        <v>11708250.300000001</v>
      </c>
      <c r="F111" s="18">
        <f>SUM('raw data'!AI759:AK759)</f>
        <v>15073669.800000001</v>
      </c>
      <c r="G111" s="20">
        <f>'raw data'!AO759</f>
        <v>10856471.699999999</v>
      </c>
      <c r="H111" s="20">
        <f t="shared" si="13"/>
        <v>851778.60000000149</v>
      </c>
      <c r="I111" s="20">
        <f t="shared" si="14"/>
        <v>-3365419.5</v>
      </c>
      <c r="J111" s="30">
        <f t="shared" si="15"/>
        <v>42.457657037481241</v>
      </c>
      <c r="K111" s="30">
        <f t="shared" si="11"/>
        <v>3.0322916823874186E-2</v>
      </c>
      <c r="L111" s="30">
        <f t="shared" si="16"/>
        <v>31.978357781619099</v>
      </c>
      <c r="M111" s="30">
        <f t="shared" si="17"/>
        <v>32.978357781619103</v>
      </c>
      <c r="N111" s="30">
        <f t="shared" si="18"/>
        <v>30.579172702570471</v>
      </c>
      <c r="O111" s="30">
        <f t="shared" si="19"/>
        <v>1.078458142160496</v>
      </c>
      <c r="P111" s="30">
        <f t="shared" si="20"/>
        <v>0.77673522475595158</v>
      </c>
      <c r="Q111" s="30">
        <f t="shared" si="21"/>
        <v>-3.47898688410167</v>
      </c>
    </row>
    <row r="112" spans="1:17" x14ac:dyDescent="0.5">
      <c r="A112" s="23" t="str">
        <f>'raw data'!A760</f>
        <v>2009-09</v>
      </c>
      <c r="B112" s="32">
        <f>'raw data'!U760</f>
        <v>847671.9</v>
      </c>
      <c r="C112" s="20">
        <f>'raw data'!V760</f>
        <v>351190.3</v>
      </c>
      <c r="D112" s="20">
        <f t="shared" si="12"/>
        <v>11342990.1</v>
      </c>
      <c r="E112" s="18">
        <f>'raw data'!AH760</f>
        <v>11694180.4</v>
      </c>
      <c r="F112" s="18">
        <f>SUM('raw data'!AI760:AK760)</f>
        <v>15122450.5</v>
      </c>
      <c r="G112" s="20">
        <f>'raw data'!AO760</f>
        <v>10816265</v>
      </c>
      <c r="H112" s="20">
        <f t="shared" si="13"/>
        <v>877915.40000000037</v>
      </c>
      <c r="I112" s="20">
        <f t="shared" si="14"/>
        <v>-3428270.0999999996</v>
      </c>
      <c r="J112" s="30">
        <f t="shared" si="15"/>
        <v>43.060558620212461</v>
      </c>
      <c r="K112" s="30">
        <f t="shared" si="11"/>
        <v>3.003120252873814E-2</v>
      </c>
      <c r="L112" s="30">
        <f t="shared" si="16"/>
        <v>32.298699878669773</v>
      </c>
      <c r="M112" s="30">
        <f t="shared" si="17"/>
        <v>33.298699878669773</v>
      </c>
      <c r="N112" s="30">
        <f t="shared" si="18"/>
        <v>30.79887172282378</v>
      </c>
      <c r="O112" s="30">
        <f t="shared" si="19"/>
        <v>1.0811662251248468</v>
      </c>
      <c r="P112" s="30">
        <f t="shared" si="20"/>
        <v>0.77329930093009724</v>
      </c>
      <c r="Q112" s="30">
        <f t="shared" si="21"/>
        <v>-3.41110240992972</v>
      </c>
    </row>
    <row r="113" spans="1:17" x14ac:dyDescent="0.5">
      <c r="A113" s="23" t="str">
        <f>'raw data'!A761</f>
        <v>2009-10</v>
      </c>
      <c r="B113" s="32">
        <f>'raw data'!U761</f>
        <v>842646</v>
      </c>
      <c r="C113" s="20">
        <f>'raw data'!V761</f>
        <v>345983.5</v>
      </c>
      <c r="D113" s="20">
        <f t="shared" si="12"/>
        <v>11406164.800000001</v>
      </c>
      <c r="E113" s="18">
        <f>'raw data'!AH761</f>
        <v>11752148.300000001</v>
      </c>
      <c r="F113" s="18">
        <f>SUM('raw data'!AI761:AK761)</f>
        <v>15206757.399999999</v>
      </c>
      <c r="G113" s="20">
        <f>'raw data'!AO761</f>
        <v>10814097.699999999</v>
      </c>
      <c r="H113" s="20">
        <f t="shared" si="13"/>
        <v>938050.60000000149</v>
      </c>
      <c r="I113" s="20">
        <f t="shared" si="14"/>
        <v>-3454609.0999999978</v>
      </c>
      <c r="J113" s="30">
        <f t="shared" si="15"/>
        <v>43.952261885321114</v>
      </c>
      <c r="K113" s="30">
        <f t="shared" si="11"/>
        <v>2.944002161715403E-2</v>
      </c>
      <c r="L113" s="30">
        <f t="shared" si="16"/>
        <v>32.967366362846782</v>
      </c>
      <c r="M113" s="30">
        <f t="shared" si="17"/>
        <v>33.967366362846782</v>
      </c>
      <c r="N113" s="30">
        <f t="shared" si="18"/>
        <v>31.256108167007962</v>
      </c>
      <c r="O113" s="30">
        <f t="shared" si="19"/>
        <v>1.0867433073033916</v>
      </c>
      <c r="P113" s="30">
        <f t="shared" si="20"/>
        <v>0.77282408016846527</v>
      </c>
      <c r="Q113" s="30">
        <f t="shared" si="21"/>
        <v>-3.4018749907189232</v>
      </c>
    </row>
    <row r="114" spans="1:17" x14ac:dyDescent="0.5">
      <c r="A114" s="23" t="str">
        <f>'raw data'!A762</f>
        <v>2009-11</v>
      </c>
      <c r="B114" s="32">
        <f>'raw data'!U762</f>
        <v>841815</v>
      </c>
      <c r="C114" s="20">
        <f>'raw data'!V762</f>
        <v>344021.8</v>
      </c>
      <c r="D114" s="20">
        <f t="shared" si="12"/>
        <v>11429972.199999999</v>
      </c>
      <c r="E114" s="18">
        <f>'raw data'!AH762</f>
        <v>11773994</v>
      </c>
      <c r="F114" s="18">
        <f>SUM('raw data'!AI762:AK762)</f>
        <v>15331996.1</v>
      </c>
      <c r="G114" s="20">
        <f>'raw data'!AO762</f>
        <v>10831545.6</v>
      </c>
      <c r="H114" s="20">
        <f t="shared" si="13"/>
        <v>942448.40000000037</v>
      </c>
      <c r="I114" s="20">
        <f t="shared" si="14"/>
        <v>-3558002.0999999996</v>
      </c>
      <c r="J114" s="30">
        <f t="shared" si="15"/>
        <v>44.566931804903064</v>
      </c>
      <c r="K114" s="30">
        <f t="shared" si="11"/>
        <v>2.921878506138189E-2</v>
      </c>
      <c r="L114" s="30">
        <f t="shared" si="16"/>
        <v>33.224557862321518</v>
      </c>
      <c r="M114" s="30">
        <f t="shared" si="17"/>
        <v>34.224557862321518</v>
      </c>
      <c r="N114" s="30">
        <f t="shared" si="18"/>
        <v>31.485055888900064</v>
      </c>
      <c r="O114" s="30">
        <f t="shared" si="19"/>
        <v>1.0870095953803676</v>
      </c>
      <c r="P114" s="30">
        <f t="shared" si="20"/>
        <v>0.76793614629213225</v>
      </c>
      <c r="Q114" s="30">
        <f t="shared" si="21"/>
        <v>-3.3091588113452777</v>
      </c>
    </row>
    <row r="115" spans="1:17" x14ac:dyDescent="0.5">
      <c r="A115" s="23" t="str">
        <f>'raw data'!A763</f>
        <v>2009-12</v>
      </c>
      <c r="B115" s="32">
        <f>'raw data'!U763</f>
        <v>835515.2</v>
      </c>
      <c r="C115" s="20">
        <f>'raw data'!V763</f>
        <v>335878.6</v>
      </c>
      <c r="D115" s="20">
        <f t="shared" si="12"/>
        <v>11405883.5</v>
      </c>
      <c r="E115" s="18">
        <f>'raw data'!AH763</f>
        <v>11741762.1</v>
      </c>
      <c r="F115" s="18">
        <f>SUM('raw data'!AI763:AK763)</f>
        <v>15372929.5</v>
      </c>
      <c r="G115" s="20">
        <f>'raw data'!AO763</f>
        <v>10752803.9</v>
      </c>
      <c r="H115" s="20">
        <f t="shared" si="13"/>
        <v>988958.19999999925</v>
      </c>
      <c r="I115" s="20">
        <f t="shared" si="14"/>
        <v>-3631167.4000000004</v>
      </c>
      <c r="J115" s="30">
        <f t="shared" si="15"/>
        <v>45.769303254211493</v>
      </c>
      <c r="K115" s="30">
        <f t="shared" si="11"/>
        <v>2.8605467998708643E-2</v>
      </c>
      <c r="L115" s="30">
        <f t="shared" si="16"/>
        <v>33.95835132098324</v>
      </c>
      <c r="M115" s="30">
        <f t="shared" si="17"/>
        <v>34.95835132098324</v>
      </c>
      <c r="N115" s="30">
        <f t="shared" si="18"/>
        <v>32.013959507988901</v>
      </c>
      <c r="O115" s="30">
        <f t="shared" si="19"/>
        <v>1.0919721227316346</v>
      </c>
      <c r="P115" s="30">
        <f t="shared" si="20"/>
        <v>0.7637947015889196</v>
      </c>
      <c r="Q115" s="30">
        <f t="shared" si="21"/>
        <v>-3.2336052862779057</v>
      </c>
    </row>
    <row r="116" spans="1:17" x14ac:dyDescent="0.5">
      <c r="A116" s="23" t="str">
        <f>'raw data'!A764</f>
        <v>2010-01</v>
      </c>
      <c r="B116" s="32">
        <f>'raw data'!U764</f>
        <v>819554.8</v>
      </c>
      <c r="C116" s="20">
        <f>'raw data'!V764</f>
        <v>323440.40000000002</v>
      </c>
      <c r="D116" s="20">
        <f t="shared" si="12"/>
        <v>11363586.5</v>
      </c>
      <c r="E116" s="18">
        <f>'raw data'!AH764</f>
        <v>11687026.9</v>
      </c>
      <c r="F116" s="18">
        <f>SUM('raw data'!AI764:AK764)</f>
        <v>15349320.300000001</v>
      </c>
      <c r="G116" s="20">
        <f>'raw data'!AO764</f>
        <v>10312259.4</v>
      </c>
      <c r="H116" s="20">
        <f t="shared" si="13"/>
        <v>1374767.5</v>
      </c>
      <c r="I116" s="20">
        <f t="shared" si="14"/>
        <v>-3662293.4000000004</v>
      </c>
      <c r="J116" s="30">
        <f t="shared" si="15"/>
        <v>47.456410207259204</v>
      </c>
      <c r="K116" s="30">
        <f t="shared" si="11"/>
        <v>2.7675165186793572E-2</v>
      </c>
      <c r="L116" s="30">
        <f t="shared" si="16"/>
        <v>35.133478996439528</v>
      </c>
      <c r="M116" s="30">
        <f t="shared" si="17"/>
        <v>36.133478996439528</v>
      </c>
      <c r="N116" s="30">
        <f t="shared" si="18"/>
        <v>31.883028217872596</v>
      </c>
      <c r="O116" s="30">
        <f t="shared" si="19"/>
        <v>1.1333138982132276</v>
      </c>
      <c r="P116" s="30">
        <f t="shared" si="20"/>
        <v>0.76140354566710033</v>
      </c>
      <c r="Q116" s="30">
        <f t="shared" si="21"/>
        <v>-3.191177118687432</v>
      </c>
    </row>
    <row r="117" spans="1:17" x14ac:dyDescent="0.5">
      <c r="A117" s="23" t="str">
        <f>'raw data'!A765</f>
        <v>2010-02</v>
      </c>
      <c r="B117" s="32">
        <f>'raw data'!U765</f>
        <v>812093.6</v>
      </c>
      <c r="C117" s="20">
        <f>'raw data'!V765</f>
        <v>317773</v>
      </c>
      <c r="D117" s="20">
        <f t="shared" si="12"/>
        <v>11384044.5</v>
      </c>
      <c r="E117" s="18">
        <f>'raw data'!AH765</f>
        <v>11701817.5</v>
      </c>
      <c r="F117" s="18">
        <f>SUM('raw data'!AI765:AK765)</f>
        <v>15397728.399999999</v>
      </c>
      <c r="G117" s="20">
        <f>'raw data'!AO765</f>
        <v>10332910.9</v>
      </c>
      <c r="H117" s="20">
        <f t="shared" si="13"/>
        <v>1368906.5999999996</v>
      </c>
      <c r="I117" s="20">
        <f t="shared" si="14"/>
        <v>-3695910.8999999985</v>
      </c>
      <c r="J117" s="30">
        <f t="shared" si="15"/>
        <v>48.455118590943847</v>
      </c>
      <c r="K117" s="30">
        <f t="shared" si="11"/>
        <v>2.7155867026639236E-2</v>
      </c>
      <c r="L117" s="30">
        <f t="shared" si="16"/>
        <v>35.824454878167749</v>
      </c>
      <c r="M117" s="30">
        <f t="shared" si="17"/>
        <v>36.824454878167749</v>
      </c>
      <c r="N117" s="30">
        <f t="shared" si="18"/>
        <v>32.516642068394738</v>
      </c>
      <c r="O117" s="30">
        <f t="shared" si="19"/>
        <v>1.1324802481360794</v>
      </c>
      <c r="P117" s="30">
        <f t="shared" si="20"/>
        <v>0.75997037978667037</v>
      </c>
      <c r="Q117" s="30">
        <f t="shared" si="21"/>
        <v>-3.166152490310306</v>
      </c>
    </row>
    <row r="118" spans="1:17" x14ac:dyDescent="0.5">
      <c r="A118" s="23" t="str">
        <f>'raw data'!A766</f>
        <v>2010-03</v>
      </c>
      <c r="B118" s="32">
        <f>'raw data'!U766</f>
        <v>886492.8</v>
      </c>
      <c r="C118" s="20">
        <f>'raw data'!V766</f>
        <v>391112.3</v>
      </c>
      <c r="D118" s="20">
        <f t="shared" si="12"/>
        <v>11264248.399999999</v>
      </c>
      <c r="E118" s="18">
        <f>'raw data'!AH766</f>
        <v>11655360.699999999</v>
      </c>
      <c r="F118" s="18">
        <f>SUM('raw data'!AI766:AK766)</f>
        <v>15381705.300000001</v>
      </c>
      <c r="G118" s="20">
        <f>'raw data'!AO766</f>
        <v>10328988.699999999</v>
      </c>
      <c r="H118" s="20">
        <f t="shared" si="13"/>
        <v>1326372</v>
      </c>
      <c r="I118" s="20">
        <f t="shared" si="14"/>
        <v>-3726344.6000000015</v>
      </c>
      <c r="J118" s="30">
        <f t="shared" si="15"/>
        <v>39.328104229910437</v>
      </c>
      <c r="K118" s="30">
        <f t="shared" si="11"/>
        <v>3.3556430390009294E-2</v>
      </c>
      <c r="L118" s="30">
        <f t="shared" si="16"/>
        <v>28.800547566517338</v>
      </c>
      <c r="M118" s="30">
        <f t="shared" si="17"/>
        <v>29.800547566517338</v>
      </c>
      <c r="N118" s="30">
        <f t="shared" si="18"/>
        <v>26.409265829788527</v>
      </c>
      <c r="O118" s="30">
        <f t="shared" si="19"/>
        <v>1.128412571503733</v>
      </c>
      <c r="P118" s="30">
        <f t="shared" si="20"/>
        <v>0.75774177652460928</v>
      </c>
      <c r="Q118" s="30">
        <f t="shared" si="21"/>
        <v>-3.1278268520844783</v>
      </c>
    </row>
    <row r="119" spans="1:17" x14ac:dyDescent="0.5">
      <c r="A119" s="23" t="str">
        <f>'raw data'!A767</f>
        <v>2010-04</v>
      </c>
      <c r="B119" s="32">
        <f>'raw data'!U767</f>
        <v>1157957.2</v>
      </c>
      <c r="C119" s="20">
        <f>'raw data'!V767</f>
        <v>648239.19999999995</v>
      </c>
      <c r="D119" s="20">
        <f t="shared" si="12"/>
        <v>11196684.800000001</v>
      </c>
      <c r="E119" s="18">
        <f>'raw data'!AH767</f>
        <v>11844924</v>
      </c>
      <c r="F119" s="18">
        <f>SUM('raw data'!AI767:AK767)</f>
        <v>15393610.9</v>
      </c>
      <c r="G119" s="20">
        <f>'raw data'!AO767</f>
        <v>10523319</v>
      </c>
      <c r="H119" s="20">
        <f t="shared" si="13"/>
        <v>1321605</v>
      </c>
      <c r="I119" s="20">
        <f t="shared" si="14"/>
        <v>-3548686.9000000004</v>
      </c>
      <c r="J119" s="30">
        <f t="shared" si="15"/>
        <v>23.746806580040211</v>
      </c>
      <c r="K119" s="30">
        <f t="shared" si="11"/>
        <v>5.4727172584644691E-2</v>
      </c>
      <c r="L119" s="30">
        <f t="shared" si="16"/>
        <v>17.272458685003933</v>
      </c>
      <c r="M119" s="30">
        <f t="shared" si="17"/>
        <v>18.272458685003933</v>
      </c>
      <c r="N119" s="30">
        <f t="shared" si="18"/>
        <v>16.233697375906921</v>
      </c>
      <c r="O119" s="30">
        <f t="shared" si="19"/>
        <v>1.1255882293409523</v>
      </c>
      <c r="P119" s="30">
        <f t="shared" si="20"/>
        <v>0.76947014426615135</v>
      </c>
      <c r="Q119" s="30">
        <f t="shared" si="21"/>
        <v>-3.3378329319501248</v>
      </c>
    </row>
    <row r="120" spans="1:17" x14ac:dyDescent="0.5">
      <c r="A120" s="23" t="str">
        <f>'raw data'!A768</f>
        <v>2010-05</v>
      </c>
      <c r="B120" s="32">
        <f>'raw data'!U768</f>
        <v>1149277.6000000001</v>
      </c>
      <c r="C120" s="20">
        <f>'raw data'!V768</f>
        <v>640720.30000000005</v>
      </c>
      <c r="D120" s="20">
        <f t="shared" si="12"/>
        <v>11156191.299999999</v>
      </c>
      <c r="E120" s="18">
        <f>'raw data'!AH768</f>
        <v>11796911.6</v>
      </c>
      <c r="F120" s="18">
        <f>SUM('raw data'!AI768:AK768)</f>
        <v>15355132.199999999</v>
      </c>
      <c r="G120" s="20">
        <f>'raw data'!AO768</f>
        <v>10470573.699999999</v>
      </c>
      <c r="H120" s="20">
        <f t="shared" si="13"/>
        <v>1326337.9000000004</v>
      </c>
      <c r="I120" s="20">
        <f t="shared" si="14"/>
        <v>-3558220.5999999996</v>
      </c>
      <c r="J120" s="30">
        <f t="shared" si="15"/>
        <v>23.965421729263142</v>
      </c>
      <c r="K120" s="30">
        <f t="shared" si="11"/>
        <v>5.4312545666613289E-2</v>
      </c>
      <c r="L120" s="30">
        <f t="shared" si="16"/>
        <v>17.411952298062037</v>
      </c>
      <c r="M120" s="30">
        <f t="shared" si="17"/>
        <v>18.41195229806204</v>
      </c>
      <c r="N120" s="30">
        <f t="shared" si="18"/>
        <v>16.341879131970689</v>
      </c>
      <c r="O120" s="30">
        <f t="shared" si="19"/>
        <v>1.1266728966341166</v>
      </c>
      <c r="P120" s="30">
        <f t="shared" si="20"/>
        <v>0.76827157502427756</v>
      </c>
      <c r="Q120" s="30">
        <f t="shared" si="21"/>
        <v>-3.3153963528849224</v>
      </c>
    </row>
    <row r="121" spans="1:17" x14ac:dyDescent="0.5">
      <c r="A121" s="23" t="str">
        <f>'raw data'!A769</f>
        <v>2010-06</v>
      </c>
      <c r="B121" s="32">
        <f>'raw data'!U769</f>
        <v>1140086.3</v>
      </c>
      <c r="C121" s="20">
        <f>'raw data'!V769</f>
        <v>632257.69999999995</v>
      </c>
      <c r="D121" s="20">
        <f t="shared" si="12"/>
        <v>11093855.700000001</v>
      </c>
      <c r="E121" s="18">
        <f>'raw data'!AH769</f>
        <v>11726113.4</v>
      </c>
      <c r="F121" s="18">
        <f>SUM('raw data'!AI769:AK769)</f>
        <v>15375152.6</v>
      </c>
      <c r="G121" s="20">
        <f>'raw data'!AO769</f>
        <v>10409521.1</v>
      </c>
      <c r="H121" s="20">
        <f t="shared" si="13"/>
        <v>1316592.3000000007</v>
      </c>
      <c r="I121" s="20">
        <f t="shared" si="14"/>
        <v>-3649039.1999999993</v>
      </c>
      <c r="J121" s="30">
        <f t="shared" si="15"/>
        <v>24.31785741794841</v>
      </c>
      <c r="K121" s="30">
        <f t="shared" si="11"/>
        <v>5.3918777555059284E-2</v>
      </c>
      <c r="L121" s="30">
        <f t="shared" si="16"/>
        <v>17.546414539514508</v>
      </c>
      <c r="M121" s="30">
        <f t="shared" si="17"/>
        <v>18.546414539514508</v>
      </c>
      <c r="N121" s="30">
        <f t="shared" si="18"/>
        <v>16.464047966517452</v>
      </c>
      <c r="O121" s="30">
        <f t="shared" si="19"/>
        <v>1.1264796225832139</v>
      </c>
      <c r="P121" s="30">
        <f t="shared" si="20"/>
        <v>0.7626664726566682</v>
      </c>
      <c r="Q121" s="30">
        <f t="shared" si="21"/>
        <v>-3.2134797017253205</v>
      </c>
    </row>
    <row r="122" spans="1:17" x14ac:dyDescent="0.5">
      <c r="A122" s="23" t="str">
        <f>'raw data'!A770</f>
        <v>2010-07</v>
      </c>
      <c r="B122" s="32">
        <f>'raw data'!U770</f>
        <v>1136491</v>
      </c>
      <c r="C122" s="20">
        <f>'raw data'!V770</f>
        <v>626949.5</v>
      </c>
      <c r="D122" s="20">
        <f t="shared" si="12"/>
        <v>11161614.6</v>
      </c>
      <c r="E122" s="18">
        <f>'raw data'!AH770</f>
        <v>11788564.1</v>
      </c>
      <c r="F122" s="18">
        <f>SUM('raw data'!AI770:AK770)</f>
        <v>15456344.800000001</v>
      </c>
      <c r="G122" s="20">
        <f>'raw data'!AO770</f>
        <v>10475157.9</v>
      </c>
      <c r="H122" s="20">
        <f t="shared" si="13"/>
        <v>1313406.1999999993</v>
      </c>
      <c r="I122" s="20">
        <f t="shared" si="14"/>
        <v>-3667780.7000000011</v>
      </c>
      <c r="J122" s="30">
        <f t="shared" si="15"/>
        <v>24.653253252454945</v>
      </c>
      <c r="K122" s="30">
        <f t="shared" si="11"/>
        <v>5.3182855408149328E-2</v>
      </c>
      <c r="L122" s="30">
        <f t="shared" si="16"/>
        <v>17.803052079952213</v>
      </c>
      <c r="M122" s="30">
        <f t="shared" si="17"/>
        <v>18.803052079952213</v>
      </c>
      <c r="N122" s="30">
        <f t="shared" si="18"/>
        <v>16.708136620254106</v>
      </c>
      <c r="O122" s="30">
        <f t="shared" si="19"/>
        <v>1.1253829500746713</v>
      </c>
      <c r="P122" s="30">
        <f t="shared" si="20"/>
        <v>0.7627006418749146</v>
      </c>
      <c r="Q122" s="30">
        <f t="shared" si="21"/>
        <v>-3.2140864092556014</v>
      </c>
    </row>
    <row r="123" spans="1:17" x14ac:dyDescent="0.5">
      <c r="A123" s="23" t="str">
        <f>'raw data'!A771</f>
        <v>2010-08</v>
      </c>
      <c r="B123" s="32">
        <f>'raw data'!U771</f>
        <v>1133580.2</v>
      </c>
      <c r="C123" s="20">
        <f>'raw data'!V771</f>
        <v>621672.30000000005</v>
      </c>
      <c r="D123" s="20">
        <f t="shared" si="12"/>
        <v>11216389.1</v>
      </c>
      <c r="E123" s="18">
        <f>'raw data'!AH771</f>
        <v>11838061.4</v>
      </c>
      <c r="F123" s="18">
        <f>SUM('raw data'!AI771:AK771)</f>
        <v>15550829.399999999</v>
      </c>
      <c r="G123" s="20">
        <f>'raw data'!AO771</f>
        <v>10534160.199999999</v>
      </c>
      <c r="H123" s="20">
        <f t="shared" si="13"/>
        <v>1303901.2000000011</v>
      </c>
      <c r="I123" s="20">
        <f t="shared" si="14"/>
        <v>-3712767.9999999981</v>
      </c>
      <c r="J123" s="30">
        <f t="shared" si="15"/>
        <v>25.014512308172645</v>
      </c>
      <c r="K123" s="30">
        <f t="shared" si="11"/>
        <v>5.2514704814759623E-2</v>
      </c>
      <c r="L123" s="30">
        <f t="shared" si="16"/>
        <v>18.042285461327452</v>
      </c>
      <c r="M123" s="30">
        <f t="shared" si="17"/>
        <v>19.042285461327456</v>
      </c>
      <c r="N123" s="30">
        <f t="shared" si="18"/>
        <v>16.944876263587744</v>
      </c>
      <c r="O123" s="30">
        <f t="shared" si="19"/>
        <v>1.1237783720053927</v>
      </c>
      <c r="P123" s="30">
        <f t="shared" si="20"/>
        <v>0.7612495189484878</v>
      </c>
      <c r="Q123" s="30">
        <f t="shared" si="21"/>
        <v>-3.1884732361408004</v>
      </c>
    </row>
    <row r="124" spans="1:17" x14ac:dyDescent="0.5">
      <c r="A124" s="23" t="str">
        <f>'raw data'!A772</f>
        <v>2010-09</v>
      </c>
      <c r="B124" s="32">
        <f>'raw data'!U772</f>
        <v>1121181.8999999999</v>
      </c>
      <c r="C124" s="20">
        <f>'raw data'!V772</f>
        <v>616654.80000000005</v>
      </c>
      <c r="D124" s="20">
        <f t="shared" si="12"/>
        <v>11172779.299999999</v>
      </c>
      <c r="E124" s="18">
        <f>'raw data'!AH772</f>
        <v>11789434.1</v>
      </c>
      <c r="F124" s="18">
        <f>SUM('raw data'!AI772:AK772)</f>
        <v>15595751</v>
      </c>
      <c r="G124" s="20">
        <f>'raw data'!AO772</f>
        <v>10478595.199999999</v>
      </c>
      <c r="H124" s="20">
        <f t="shared" si="13"/>
        <v>1310838.9000000004</v>
      </c>
      <c r="I124" s="20">
        <f t="shared" si="14"/>
        <v>-3806316.9000000004</v>
      </c>
      <c r="J124" s="30">
        <f t="shared" si="15"/>
        <v>25.290893705846447</v>
      </c>
      <c r="K124" s="30">
        <f t="shared" si="11"/>
        <v>5.2305716692542525E-2</v>
      </c>
      <c r="L124" s="30">
        <f t="shared" si="16"/>
        <v>18.118369142671067</v>
      </c>
      <c r="M124" s="30">
        <f t="shared" si="17"/>
        <v>19.118369142671067</v>
      </c>
      <c r="N124" s="30">
        <f t="shared" si="18"/>
        <v>16.992643534113412</v>
      </c>
      <c r="O124" s="30">
        <f t="shared" si="19"/>
        <v>1.1250968164129482</v>
      </c>
      <c r="P124" s="30">
        <f t="shared" si="20"/>
        <v>0.75593885155001506</v>
      </c>
      <c r="Q124" s="30">
        <f t="shared" si="21"/>
        <v>-3.0973338294559758</v>
      </c>
    </row>
    <row r="125" spans="1:17" x14ac:dyDescent="0.5">
      <c r="A125" s="23" t="str">
        <f>'raw data'!A773</f>
        <v>2010-10</v>
      </c>
      <c r="B125" s="32">
        <f>'raw data'!U773</f>
        <v>1114659.1000000001</v>
      </c>
      <c r="C125" s="20">
        <f>'raw data'!V773</f>
        <v>611965.4</v>
      </c>
      <c r="D125" s="20">
        <f t="shared" si="12"/>
        <v>11273997.1</v>
      </c>
      <c r="E125" s="18">
        <f>'raw data'!AH773</f>
        <v>11885962.5</v>
      </c>
      <c r="F125" s="18">
        <f>SUM('raw data'!AI773:AK773)</f>
        <v>15683295.800000001</v>
      </c>
      <c r="G125" s="20">
        <f>'raw data'!AO773</f>
        <v>10545463.5</v>
      </c>
      <c r="H125" s="20">
        <f t="shared" si="13"/>
        <v>1340499</v>
      </c>
      <c r="I125" s="20">
        <f t="shared" si="14"/>
        <v>-3797333.3000000007</v>
      </c>
      <c r="J125" s="30">
        <f t="shared" si="15"/>
        <v>25.627749215887043</v>
      </c>
      <c r="K125" s="30">
        <f t="shared" si="11"/>
        <v>5.1486398345948009E-2</v>
      </c>
      <c r="L125" s="30">
        <f t="shared" si="16"/>
        <v>18.42260542834611</v>
      </c>
      <c r="M125" s="30">
        <f t="shared" si="17"/>
        <v>19.422605428346113</v>
      </c>
      <c r="N125" s="30">
        <f t="shared" si="18"/>
        <v>17.232123744250899</v>
      </c>
      <c r="O125" s="30">
        <f t="shared" si="19"/>
        <v>1.1271161765435915</v>
      </c>
      <c r="P125" s="30">
        <f t="shared" si="20"/>
        <v>0.75787402415760086</v>
      </c>
      <c r="Q125" s="30">
        <f t="shared" si="21"/>
        <v>-3.1300814442598437</v>
      </c>
    </row>
    <row r="126" spans="1:17" x14ac:dyDescent="0.5">
      <c r="A126" s="23" t="str">
        <f>'raw data'!A774</f>
        <v>2010-11</v>
      </c>
      <c r="B126" s="32">
        <f>'raw data'!U774</f>
        <v>1109970.2</v>
      </c>
      <c r="C126" s="20">
        <f>'raw data'!V774</f>
        <v>608154.4</v>
      </c>
      <c r="D126" s="20">
        <f t="shared" si="12"/>
        <v>11221647.699999999</v>
      </c>
      <c r="E126" s="18">
        <f>'raw data'!AH774</f>
        <v>11829802.1</v>
      </c>
      <c r="F126" s="18">
        <f>SUM('raw data'!AI774:AK774)</f>
        <v>15767527.199999999</v>
      </c>
      <c r="G126" s="20">
        <f>'raw data'!AO774</f>
        <v>10472732.6</v>
      </c>
      <c r="H126" s="20">
        <f t="shared" si="13"/>
        <v>1357069.5</v>
      </c>
      <c r="I126" s="20">
        <f t="shared" si="14"/>
        <v>-3937725.0999999996</v>
      </c>
      <c r="J126" s="30">
        <f t="shared" si="15"/>
        <v>25.926848839702547</v>
      </c>
      <c r="K126" s="30">
        <f t="shared" si="11"/>
        <v>5.1408670648852191E-2</v>
      </c>
      <c r="L126" s="30">
        <f t="shared" si="16"/>
        <v>18.451971571692976</v>
      </c>
      <c r="M126" s="30">
        <f t="shared" si="17"/>
        <v>19.451971571692976</v>
      </c>
      <c r="N126" s="30">
        <f t="shared" si="18"/>
        <v>17.220516040005627</v>
      </c>
      <c r="O126" s="30">
        <f t="shared" si="19"/>
        <v>1.1295812231470514</v>
      </c>
      <c r="P126" s="30">
        <f t="shared" si="20"/>
        <v>0.75026362408938796</v>
      </c>
      <c r="Q126" s="30">
        <f t="shared" si="21"/>
        <v>-3.004222437975673</v>
      </c>
    </row>
    <row r="127" spans="1:17" x14ac:dyDescent="0.5">
      <c r="A127" s="23" t="str">
        <f>'raw data'!A775</f>
        <v>2010-12</v>
      </c>
      <c r="B127" s="32">
        <f>'raw data'!U775</f>
        <v>1107190.3</v>
      </c>
      <c r="C127" s="20">
        <f>'raw data'!V775</f>
        <v>607386.9</v>
      </c>
      <c r="D127" s="20">
        <f t="shared" si="12"/>
        <v>11208694.6</v>
      </c>
      <c r="E127" s="18">
        <f>'raw data'!AH775</f>
        <v>11816081.5</v>
      </c>
      <c r="F127" s="18">
        <f>SUM('raw data'!AI775:AK775)</f>
        <v>15731623.800000001</v>
      </c>
      <c r="G127" s="20">
        <f>'raw data'!AO775</f>
        <v>10458396.9</v>
      </c>
      <c r="H127" s="20">
        <f t="shared" si="13"/>
        <v>1357684.5999999996</v>
      </c>
      <c r="I127" s="20">
        <f t="shared" si="14"/>
        <v>-3915542.3000000007</v>
      </c>
      <c r="J127" s="30">
        <f t="shared" si="15"/>
        <v>25.900499006481702</v>
      </c>
      <c r="K127" s="30">
        <f t="shared" si="11"/>
        <v>5.1403411528601936E-2</v>
      </c>
      <c r="L127" s="30">
        <f t="shared" si="16"/>
        <v>18.453961716987969</v>
      </c>
      <c r="M127" s="30">
        <f t="shared" si="17"/>
        <v>19.453961716987969</v>
      </c>
      <c r="N127" s="30">
        <f t="shared" si="18"/>
        <v>17.218673797541566</v>
      </c>
      <c r="O127" s="30">
        <f t="shared" si="19"/>
        <v>1.1298176587656565</v>
      </c>
      <c r="P127" s="30">
        <f t="shared" si="20"/>
        <v>0.7511037417510581</v>
      </c>
      <c r="Q127" s="30">
        <f t="shared" si="21"/>
        <v>-3.0177381815029807</v>
      </c>
    </row>
    <row r="128" spans="1:17" x14ac:dyDescent="0.5">
      <c r="A128" s="23" t="str">
        <f>'raw data'!A776</f>
        <v>2011-01</v>
      </c>
      <c r="B128" s="32">
        <f>'raw data'!U776</f>
        <v>1075494.1000000001</v>
      </c>
      <c r="C128" s="20">
        <f>'raw data'!V776</f>
        <v>603696.19999999995</v>
      </c>
      <c r="D128" s="20">
        <f t="shared" si="12"/>
        <v>11233448.200000001</v>
      </c>
      <c r="E128" s="18">
        <f>'raw data'!AH776</f>
        <v>11837144.4</v>
      </c>
      <c r="F128" s="18">
        <f>SUM('raw data'!AI776:AK776)</f>
        <v>15788837.800000001</v>
      </c>
      <c r="G128" s="20">
        <f>'raw data'!AO776</f>
        <v>10436926.800000001</v>
      </c>
      <c r="H128" s="20">
        <f t="shared" si="13"/>
        <v>1400217.5999999996</v>
      </c>
      <c r="I128" s="20">
        <f t="shared" si="14"/>
        <v>-3951693.4000000004</v>
      </c>
      <c r="J128" s="30">
        <f t="shared" si="15"/>
        <v>26.153614682351822</v>
      </c>
      <c r="K128" s="30">
        <f t="shared" si="11"/>
        <v>5.1000155071184224E-2</v>
      </c>
      <c r="L128" s="30">
        <f t="shared" si="16"/>
        <v>18.607783517603725</v>
      </c>
      <c r="M128" s="30">
        <f t="shared" si="17"/>
        <v>19.607783517603725</v>
      </c>
      <c r="N128" s="30">
        <f t="shared" si="18"/>
        <v>17.288375842021203</v>
      </c>
      <c r="O128" s="30">
        <f t="shared" si="19"/>
        <v>1.1341599521422341</v>
      </c>
      <c r="P128" s="30">
        <f t="shared" si="20"/>
        <v>0.74971600506276659</v>
      </c>
      <c r="Q128" s="30">
        <f t="shared" si="21"/>
        <v>-2.995461236947178</v>
      </c>
    </row>
    <row r="129" spans="1:17" x14ac:dyDescent="0.5">
      <c r="A129" s="23" t="str">
        <f>'raw data'!A777</f>
        <v>2011-02</v>
      </c>
      <c r="B129" s="32">
        <f>'raw data'!U777</f>
        <v>1071765.2</v>
      </c>
      <c r="C129" s="20">
        <f>'raw data'!V777</f>
        <v>600811.1</v>
      </c>
      <c r="D129" s="20">
        <f t="shared" si="12"/>
        <v>11291139.300000001</v>
      </c>
      <c r="E129" s="18">
        <f>'raw data'!AH777</f>
        <v>11891950.4</v>
      </c>
      <c r="F129" s="18">
        <f>SUM('raw data'!AI777:AK777)</f>
        <v>15873596.800000001</v>
      </c>
      <c r="G129" s="20">
        <f>'raw data'!AO777</f>
        <v>10499554</v>
      </c>
      <c r="H129" s="20">
        <f t="shared" si="13"/>
        <v>1392396.4000000004</v>
      </c>
      <c r="I129" s="20">
        <f t="shared" si="14"/>
        <v>-3981646.4000000004</v>
      </c>
      <c r="J129" s="30">
        <f t="shared" si="15"/>
        <v>26.420278853037171</v>
      </c>
      <c r="K129" s="30">
        <f t="shared" si="11"/>
        <v>5.0522503020194225E-2</v>
      </c>
      <c r="L129" s="30">
        <f t="shared" si="16"/>
        <v>18.793160279495503</v>
      </c>
      <c r="M129" s="30">
        <f t="shared" si="17"/>
        <v>19.793160279495503</v>
      </c>
      <c r="N129" s="30">
        <f t="shared" si="18"/>
        <v>17.475632524099506</v>
      </c>
      <c r="O129" s="30">
        <f t="shared" si="19"/>
        <v>1.1326148139244772</v>
      </c>
      <c r="P129" s="30">
        <f t="shared" si="20"/>
        <v>0.74916545694294057</v>
      </c>
      <c r="Q129" s="30">
        <f t="shared" si="21"/>
        <v>-2.9866917363631282</v>
      </c>
    </row>
    <row r="130" spans="1:17" x14ac:dyDescent="0.5">
      <c r="A130" s="23" t="str">
        <f>'raw data'!A778</f>
        <v>2011-03</v>
      </c>
      <c r="B130" s="32">
        <f>'raw data'!U778</f>
        <v>1071298.3</v>
      </c>
      <c r="C130" s="20">
        <f>'raw data'!V778</f>
        <v>600012.9</v>
      </c>
      <c r="D130" s="20">
        <f t="shared" si="12"/>
        <v>11443575.4</v>
      </c>
      <c r="E130" s="18">
        <f>'raw data'!AH778</f>
        <v>12043588.300000001</v>
      </c>
      <c r="F130" s="18">
        <f>SUM('raw data'!AI778:AK778)</f>
        <v>15981980.199999999</v>
      </c>
      <c r="G130" s="20">
        <f>'raw data'!AO778</f>
        <v>10680910.300000001</v>
      </c>
      <c r="H130" s="20">
        <f t="shared" si="13"/>
        <v>1362678</v>
      </c>
      <c r="I130" s="20">
        <f t="shared" si="14"/>
        <v>-3938391.8999999985</v>
      </c>
      <c r="J130" s="30">
        <f t="shared" si="15"/>
        <v>26.63606099135535</v>
      </c>
      <c r="K130" s="30">
        <f t="shared" ref="K130:K193" si="22">C130/E130</f>
        <v>4.9820110506434367E-2</v>
      </c>
      <c r="L130" s="30">
        <f t="shared" si="16"/>
        <v>19.072215614030966</v>
      </c>
      <c r="M130" s="30">
        <f t="shared" si="17"/>
        <v>20.072215614030966</v>
      </c>
      <c r="N130" s="30">
        <f t="shared" si="18"/>
        <v>17.801134442276158</v>
      </c>
      <c r="O130" s="30">
        <f t="shared" si="19"/>
        <v>1.1275806988099133</v>
      </c>
      <c r="P130" s="30">
        <f t="shared" si="20"/>
        <v>0.75357297088880149</v>
      </c>
      <c r="Q130" s="30">
        <f t="shared" si="21"/>
        <v>-3.057996412190469</v>
      </c>
    </row>
    <row r="131" spans="1:17" x14ac:dyDescent="0.5">
      <c r="A131" s="23" t="str">
        <f>'raw data'!A779</f>
        <v>2011-04</v>
      </c>
      <c r="B131" s="32">
        <f>'raw data'!U779</f>
        <v>1076680.2</v>
      </c>
      <c r="C131" s="20">
        <f>'raw data'!V779</f>
        <v>597900.4</v>
      </c>
      <c r="D131" s="20">
        <f t="shared" ref="D131:D194" si="23">E131-C131</f>
        <v>11602845.299999999</v>
      </c>
      <c r="E131" s="18">
        <f>'raw data'!AH779</f>
        <v>12200745.699999999</v>
      </c>
      <c r="F131" s="18">
        <f>SUM('raw data'!AI779:AK779)</f>
        <v>16156614.700000001</v>
      </c>
      <c r="G131" s="20">
        <f>'raw data'!AO779</f>
        <v>10825767.300000001</v>
      </c>
      <c r="H131" s="20">
        <f t="shared" ref="H131:H194" si="24">E131-G131</f>
        <v>1374978.3999999985</v>
      </c>
      <c r="I131" s="20">
        <f t="shared" ref="I131:I194" si="25">E131-F131</f>
        <v>-3955869.0000000019</v>
      </c>
      <c r="J131" s="30">
        <f t="shared" ref="J131:J194" si="26">F131/C131</f>
        <v>27.022251030439186</v>
      </c>
      <c r="K131" s="30">
        <f t="shared" si="22"/>
        <v>4.900523416367903E-2</v>
      </c>
      <c r="L131" s="30">
        <f t="shared" ref="L131:L194" si="27">D131/C131</f>
        <v>19.405983504944967</v>
      </c>
      <c r="M131" s="30">
        <f t="shared" ref="M131:M194" si="28">E131/C131</f>
        <v>20.40598350494497</v>
      </c>
      <c r="N131" s="30">
        <f t="shared" ref="N131:N194" si="29">G131/C131</f>
        <v>18.106305498373978</v>
      </c>
      <c r="O131" s="30">
        <f t="shared" ref="O131:O194" si="30">E131/G131</f>
        <v>1.1270097871030351</v>
      </c>
      <c r="P131" s="30">
        <f t="shared" ref="P131:P194" si="31">E131/F131</f>
        <v>0.75515483450874143</v>
      </c>
      <c r="Q131" s="30">
        <f t="shared" ref="Q131:Q194" si="32">E131/I131</f>
        <v>-3.0842137846324014</v>
      </c>
    </row>
    <row r="132" spans="1:17" x14ac:dyDescent="0.5">
      <c r="A132" s="23" t="str">
        <f>'raw data'!A780</f>
        <v>2011-05</v>
      </c>
      <c r="B132" s="32">
        <f>'raw data'!U780</f>
        <v>1076204.3999999999</v>
      </c>
      <c r="C132" s="20">
        <f>'raw data'!V780</f>
        <v>597075.69999999995</v>
      </c>
      <c r="D132" s="20">
        <f t="shared" si="23"/>
        <v>11634298.600000001</v>
      </c>
      <c r="E132" s="18">
        <f>'raw data'!AH780</f>
        <v>12231374.300000001</v>
      </c>
      <c r="F132" s="18">
        <f>SUM('raw data'!AI780:AK780)</f>
        <v>16334437.4</v>
      </c>
      <c r="G132" s="20">
        <f>'raw data'!AO780</f>
        <v>10848000.800000001</v>
      </c>
      <c r="H132" s="20">
        <f t="shared" si="24"/>
        <v>1383373.5</v>
      </c>
      <c r="I132" s="20">
        <f t="shared" si="25"/>
        <v>-4103063.0999999996</v>
      </c>
      <c r="J132" s="30">
        <f t="shared" si="26"/>
        <v>27.357397730304552</v>
      </c>
      <c r="K132" s="30">
        <f t="shared" si="22"/>
        <v>4.8815095127944859E-2</v>
      </c>
      <c r="L132" s="30">
        <f t="shared" si="27"/>
        <v>19.485466583215498</v>
      </c>
      <c r="M132" s="30">
        <f t="shared" si="28"/>
        <v>20.485466583215498</v>
      </c>
      <c r="N132" s="30">
        <f t="shared" si="29"/>
        <v>18.168551826845409</v>
      </c>
      <c r="O132" s="30">
        <f t="shared" si="30"/>
        <v>1.1275233589584543</v>
      </c>
      <c r="P132" s="30">
        <f t="shared" si="31"/>
        <v>0.74880903458603354</v>
      </c>
      <c r="Q132" s="30">
        <f t="shared" si="32"/>
        <v>-2.9810349004869074</v>
      </c>
    </row>
    <row r="133" spans="1:17" x14ac:dyDescent="0.5">
      <c r="A133" s="23" t="str">
        <f>'raw data'!A781</f>
        <v>2011-06</v>
      </c>
      <c r="B133" s="32">
        <f>'raw data'!U781</f>
        <v>1079871.8999999999</v>
      </c>
      <c r="C133" s="20">
        <f>'raw data'!V781</f>
        <v>600120.9</v>
      </c>
      <c r="D133" s="20">
        <f t="shared" si="23"/>
        <v>11709476.299999999</v>
      </c>
      <c r="E133" s="18">
        <f>'raw data'!AH781</f>
        <v>12309597.199999999</v>
      </c>
      <c r="F133" s="18">
        <f>SUM('raw data'!AI781:AK781)</f>
        <v>16388909.699999999</v>
      </c>
      <c r="G133" s="20">
        <f>'raw data'!AO781</f>
        <v>10907149.1</v>
      </c>
      <c r="H133" s="20">
        <f t="shared" si="24"/>
        <v>1402448.0999999996</v>
      </c>
      <c r="I133" s="20">
        <f t="shared" si="25"/>
        <v>-4079312.5</v>
      </c>
      <c r="J133" s="30">
        <f t="shared" si="26"/>
        <v>27.309346666646668</v>
      </c>
      <c r="K133" s="30">
        <f t="shared" si="22"/>
        <v>4.8752277613113126E-2</v>
      </c>
      <c r="L133" s="30">
        <f t="shared" si="27"/>
        <v>19.511862193101422</v>
      </c>
      <c r="M133" s="30">
        <f t="shared" si="28"/>
        <v>20.511862193101422</v>
      </c>
      <c r="N133" s="30">
        <f t="shared" si="29"/>
        <v>18.174919587036545</v>
      </c>
      <c r="O133" s="30">
        <f t="shared" si="30"/>
        <v>1.1285806297449441</v>
      </c>
      <c r="P133" s="30">
        <f t="shared" si="31"/>
        <v>0.75109311267972878</v>
      </c>
      <c r="Q133" s="30">
        <f t="shared" si="32"/>
        <v>-3.0175666120210205</v>
      </c>
    </row>
    <row r="134" spans="1:17" x14ac:dyDescent="0.5">
      <c r="A134" s="23" t="str">
        <f>'raw data'!A782</f>
        <v>2011-07</v>
      </c>
      <c r="B134" s="32">
        <f>'raw data'!U782</f>
        <v>1081731.8999999999</v>
      </c>
      <c r="C134" s="20">
        <f>'raw data'!V782</f>
        <v>600883.4</v>
      </c>
      <c r="D134" s="20">
        <f t="shared" si="23"/>
        <v>11723871.199999999</v>
      </c>
      <c r="E134" s="18">
        <f>'raw data'!AH782</f>
        <v>12324754.6</v>
      </c>
      <c r="F134" s="18">
        <f>SUM('raw data'!AI782:AK782)</f>
        <v>16564760.6</v>
      </c>
      <c r="G134" s="20">
        <f>'raw data'!AO782</f>
        <v>10955960</v>
      </c>
      <c r="H134" s="20">
        <f t="shared" si="24"/>
        <v>1368794.5999999996</v>
      </c>
      <c r="I134" s="20">
        <f t="shared" si="25"/>
        <v>-4240006</v>
      </c>
      <c r="J134" s="30">
        <f t="shared" si="26"/>
        <v>27.567346010889963</v>
      </c>
      <c r="K134" s="30">
        <f t="shared" si="22"/>
        <v>4.8754187771008442E-2</v>
      </c>
      <c r="L134" s="30">
        <f t="shared" si="27"/>
        <v>19.511058551459399</v>
      </c>
      <c r="M134" s="30">
        <f t="shared" si="28"/>
        <v>20.511058551459399</v>
      </c>
      <c r="N134" s="30">
        <f t="shared" si="29"/>
        <v>18.233088149880658</v>
      </c>
      <c r="O134" s="30">
        <f t="shared" si="30"/>
        <v>1.1249360713255616</v>
      </c>
      <c r="P134" s="30">
        <f t="shared" si="31"/>
        <v>0.74403457421533759</v>
      </c>
      <c r="Q134" s="30">
        <f t="shared" si="32"/>
        <v>-2.9067776319184455</v>
      </c>
    </row>
    <row r="135" spans="1:17" x14ac:dyDescent="0.5">
      <c r="A135" s="23" t="str">
        <f>'raw data'!A783</f>
        <v>2011-08</v>
      </c>
      <c r="B135" s="32">
        <f>'raw data'!U783</f>
        <v>1080758.3</v>
      </c>
      <c r="C135" s="20">
        <f>'raw data'!V783</f>
        <v>600046.6</v>
      </c>
      <c r="D135" s="20">
        <f t="shared" si="23"/>
        <v>11817217.6</v>
      </c>
      <c r="E135" s="18">
        <f>'raw data'!AH783</f>
        <v>12417264.199999999</v>
      </c>
      <c r="F135" s="18">
        <f>SUM('raw data'!AI783:AK783)</f>
        <v>16708041.800000001</v>
      </c>
      <c r="G135" s="20">
        <f>'raw data'!AO783</f>
        <v>11034767.6</v>
      </c>
      <c r="H135" s="20">
        <f t="shared" si="24"/>
        <v>1382496.5999999996</v>
      </c>
      <c r="I135" s="20">
        <f t="shared" si="25"/>
        <v>-4290777.6000000015</v>
      </c>
      <c r="J135" s="30">
        <f t="shared" si="26"/>
        <v>27.844573738106341</v>
      </c>
      <c r="K135" s="30">
        <f t="shared" si="22"/>
        <v>4.8323575172057626E-2</v>
      </c>
      <c r="L135" s="30">
        <f t="shared" si="27"/>
        <v>19.693833112294946</v>
      </c>
      <c r="M135" s="30">
        <f t="shared" si="28"/>
        <v>20.693833112294946</v>
      </c>
      <c r="N135" s="30">
        <f t="shared" si="29"/>
        <v>18.389851054901403</v>
      </c>
      <c r="O135" s="30">
        <f t="shared" si="30"/>
        <v>1.1252855202859007</v>
      </c>
      <c r="P135" s="30">
        <f t="shared" si="31"/>
        <v>0.74319087470801026</v>
      </c>
      <c r="Q135" s="30">
        <f t="shared" si="32"/>
        <v>-2.8939426270893169</v>
      </c>
    </row>
    <row r="136" spans="1:17" x14ac:dyDescent="0.5">
      <c r="A136" s="23" t="str">
        <f>'raw data'!A784</f>
        <v>2011-09</v>
      </c>
      <c r="B136" s="32">
        <f>'raw data'!U784</f>
        <v>1079306.8</v>
      </c>
      <c r="C136" s="20">
        <f>'raw data'!V784</f>
        <v>600107.80000000005</v>
      </c>
      <c r="D136" s="20">
        <f t="shared" si="23"/>
        <v>11850472.399999999</v>
      </c>
      <c r="E136" s="18">
        <f>'raw data'!AH784</f>
        <v>12450580.199999999</v>
      </c>
      <c r="F136" s="18">
        <f>SUM('raw data'!AI784:AK784)</f>
        <v>16760448.399999999</v>
      </c>
      <c r="G136" s="20">
        <f>'raw data'!AO784</f>
        <v>11054513.300000001</v>
      </c>
      <c r="H136" s="20">
        <f t="shared" si="24"/>
        <v>1396066.8999999985</v>
      </c>
      <c r="I136" s="20">
        <f t="shared" si="25"/>
        <v>-4309868.1999999993</v>
      </c>
      <c r="J136" s="30">
        <f t="shared" si="26"/>
        <v>27.929062745060133</v>
      </c>
      <c r="K136" s="30">
        <f t="shared" si="22"/>
        <v>4.8199183520780828E-2</v>
      </c>
      <c r="L136" s="30">
        <f t="shared" si="27"/>
        <v>19.747239412652188</v>
      </c>
      <c r="M136" s="30">
        <f t="shared" si="28"/>
        <v>20.747239412652192</v>
      </c>
      <c r="N136" s="30">
        <f t="shared" si="29"/>
        <v>18.420879215367638</v>
      </c>
      <c r="O136" s="30">
        <f t="shared" si="30"/>
        <v>1.12628931388594</v>
      </c>
      <c r="P136" s="30">
        <f t="shared" si="31"/>
        <v>0.7428548391342561</v>
      </c>
      <c r="Q136" s="30">
        <f t="shared" si="32"/>
        <v>-2.8888540489474832</v>
      </c>
    </row>
    <row r="137" spans="1:17" x14ac:dyDescent="0.5">
      <c r="A137" s="23" t="str">
        <f>'raw data'!A785</f>
        <v>2011-10</v>
      </c>
      <c r="B137" s="32">
        <f>'raw data'!U785</f>
        <v>1082739.6000000001</v>
      </c>
      <c r="C137" s="20">
        <f>'raw data'!V785</f>
        <v>601678.19999999995</v>
      </c>
      <c r="D137" s="20">
        <f t="shared" si="23"/>
        <v>11879882.300000001</v>
      </c>
      <c r="E137" s="18">
        <f>'raw data'!AH785</f>
        <v>12481560.5</v>
      </c>
      <c r="F137" s="18">
        <f>SUM('raw data'!AI785:AK785)</f>
        <v>16758754.199999999</v>
      </c>
      <c r="G137" s="20">
        <f>'raw data'!AO785</f>
        <v>11069729.9</v>
      </c>
      <c r="H137" s="20">
        <f t="shared" si="24"/>
        <v>1411830.5999999996</v>
      </c>
      <c r="I137" s="20">
        <f t="shared" si="25"/>
        <v>-4277193.6999999993</v>
      </c>
      <c r="J137" s="30">
        <f t="shared" si="26"/>
        <v>27.853351176758608</v>
      </c>
      <c r="K137" s="30">
        <f t="shared" si="22"/>
        <v>4.8205366628635893E-2</v>
      </c>
      <c r="L137" s="30">
        <f t="shared" si="27"/>
        <v>19.744578247973752</v>
      </c>
      <c r="M137" s="30">
        <f t="shared" si="28"/>
        <v>20.744578247973752</v>
      </c>
      <c r="N137" s="30">
        <f t="shared" si="29"/>
        <v>18.398090374555704</v>
      </c>
      <c r="O137" s="30">
        <f t="shared" si="30"/>
        <v>1.1275397514441612</v>
      </c>
      <c r="P137" s="30">
        <f t="shared" si="31"/>
        <v>0.74477854087745976</v>
      </c>
      <c r="Q137" s="30">
        <f t="shared" si="32"/>
        <v>-2.918165829151016</v>
      </c>
    </row>
    <row r="138" spans="1:17" x14ac:dyDescent="0.5">
      <c r="A138" s="23" t="str">
        <f>'raw data'!A786</f>
        <v>2011-11</v>
      </c>
      <c r="B138" s="32">
        <f>'raw data'!U786</f>
        <v>1084488.5</v>
      </c>
      <c r="C138" s="20">
        <f>'raw data'!V786</f>
        <v>601845.80000000005</v>
      </c>
      <c r="D138" s="20">
        <f t="shared" si="23"/>
        <v>11865922.6</v>
      </c>
      <c r="E138" s="18">
        <f>'raw data'!AH786</f>
        <v>12467768.4</v>
      </c>
      <c r="F138" s="18">
        <f>SUM('raw data'!AI786:AK786)</f>
        <v>16794239.399999999</v>
      </c>
      <c r="G138" s="20">
        <f>'raw data'!AO786</f>
        <v>11049432.199999999</v>
      </c>
      <c r="H138" s="20">
        <f t="shared" si="24"/>
        <v>1418336.2000000011</v>
      </c>
      <c r="I138" s="20">
        <f t="shared" si="25"/>
        <v>-4326470.9999999981</v>
      </c>
      <c r="J138" s="30">
        <f t="shared" si="26"/>
        <v>27.904555286420536</v>
      </c>
      <c r="K138" s="30">
        <f t="shared" si="22"/>
        <v>4.8272135051850983E-2</v>
      </c>
      <c r="L138" s="30">
        <f t="shared" si="27"/>
        <v>19.715885032345493</v>
      </c>
      <c r="M138" s="30">
        <f t="shared" si="28"/>
        <v>20.715885032345493</v>
      </c>
      <c r="N138" s="30">
        <f t="shared" si="29"/>
        <v>18.359241187692923</v>
      </c>
      <c r="O138" s="30">
        <f t="shared" si="30"/>
        <v>1.1283628130683494</v>
      </c>
      <c r="P138" s="30">
        <f t="shared" si="31"/>
        <v>0.74238362947237735</v>
      </c>
      <c r="Q138" s="30">
        <f t="shared" si="32"/>
        <v>-2.8817408922884278</v>
      </c>
    </row>
    <row r="139" spans="1:17" x14ac:dyDescent="0.5">
      <c r="A139" s="23" t="str">
        <f>'raw data'!A787</f>
        <v>2011-12</v>
      </c>
      <c r="B139" s="32">
        <f>'raw data'!U787</f>
        <v>1086249.5</v>
      </c>
      <c r="C139" s="20">
        <f>'raw data'!V787</f>
        <v>601973.4</v>
      </c>
      <c r="D139" s="20">
        <f t="shared" si="23"/>
        <v>11943915.799999999</v>
      </c>
      <c r="E139" s="18">
        <f>'raw data'!AH787</f>
        <v>12545889.199999999</v>
      </c>
      <c r="F139" s="18">
        <f>SUM('raw data'!AI787:AK787)</f>
        <v>16851567.899999999</v>
      </c>
      <c r="G139" s="20">
        <f>'raw data'!AO787</f>
        <v>11117020</v>
      </c>
      <c r="H139" s="20">
        <f t="shared" si="24"/>
        <v>1428869.1999999993</v>
      </c>
      <c r="I139" s="20">
        <f t="shared" si="25"/>
        <v>-4305678.6999999993</v>
      </c>
      <c r="J139" s="30">
        <f t="shared" si="26"/>
        <v>27.993874646288354</v>
      </c>
      <c r="K139" s="30">
        <f t="shared" si="22"/>
        <v>4.7981724563612445E-2</v>
      </c>
      <c r="L139" s="30">
        <f t="shared" si="27"/>
        <v>19.841268401560598</v>
      </c>
      <c r="M139" s="30">
        <f t="shared" si="28"/>
        <v>20.841268401560598</v>
      </c>
      <c r="N139" s="30">
        <f t="shared" si="29"/>
        <v>18.467626642639026</v>
      </c>
      <c r="O139" s="30">
        <f t="shared" si="30"/>
        <v>1.128529875812043</v>
      </c>
      <c r="P139" s="30">
        <f t="shared" si="31"/>
        <v>0.74449388178295273</v>
      </c>
      <c r="Q139" s="30">
        <f t="shared" si="32"/>
        <v>-2.9138006047687677</v>
      </c>
    </row>
    <row r="140" spans="1:17" x14ac:dyDescent="0.5">
      <c r="A140" s="23" t="str">
        <f>'raw data'!A788</f>
        <v>2012-01</v>
      </c>
      <c r="B140" s="32">
        <f>'raw data'!U788</f>
        <v>1085787.1000000001</v>
      </c>
      <c r="C140" s="20">
        <f>'raw data'!V788</f>
        <v>600667</v>
      </c>
      <c r="D140" s="20">
        <f t="shared" si="23"/>
        <v>11995602.199999999</v>
      </c>
      <c r="E140" s="18">
        <f>'raw data'!AH788</f>
        <v>12596269.199999999</v>
      </c>
      <c r="F140" s="18">
        <f>SUM('raw data'!AI788:AK788)</f>
        <v>16980172.600000001</v>
      </c>
      <c r="G140" s="20">
        <f>'raw data'!AO788</f>
        <v>11139081.199999999</v>
      </c>
      <c r="H140" s="20">
        <f t="shared" si="24"/>
        <v>1457188</v>
      </c>
      <c r="I140" s="20">
        <f t="shared" si="25"/>
        <v>-4383903.4000000022</v>
      </c>
      <c r="J140" s="30">
        <f t="shared" si="26"/>
        <v>28.268862114948885</v>
      </c>
      <c r="K140" s="30">
        <f t="shared" si="22"/>
        <v>4.7686103755229366E-2</v>
      </c>
      <c r="L140" s="30">
        <f t="shared" si="27"/>
        <v>19.970469827708197</v>
      </c>
      <c r="M140" s="30">
        <f t="shared" si="28"/>
        <v>20.970469827708197</v>
      </c>
      <c r="N140" s="30">
        <f t="shared" si="29"/>
        <v>18.54452000859045</v>
      </c>
      <c r="O140" s="30">
        <f t="shared" si="30"/>
        <v>1.1308176117793269</v>
      </c>
      <c r="P140" s="30">
        <f t="shared" si="31"/>
        <v>0.74182221210166011</v>
      </c>
      <c r="Q140" s="30">
        <f t="shared" si="32"/>
        <v>-2.8732998998107471</v>
      </c>
    </row>
    <row r="141" spans="1:17" x14ac:dyDescent="0.5">
      <c r="A141" s="23" t="str">
        <f>'raw data'!A789</f>
        <v>2012-02</v>
      </c>
      <c r="B141" s="32">
        <f>'raw data'!U789</f>
        <v>1087621.5</v>
      </c>
      <c r="C141" s="20">
        <f>'raw data'!V789</f>
        <v>598918.80000000005</v>
      </c>
      <c r="D141" s="20">
        <f t="shared" si="23"/>
        <v>12093515.899999999</v>
      </c>
      <c r="E141" s="18">
        <f>'raw data'!AH789</f>
        <v>12692434.699999999</v>
      </c>
      <c r="F141" s="18">
        <f>SUM('raw data'!AI789:AK789)</f>
        <v>17114195.100000001</v>
      </c>
      <c r="G141" s="20">
        <f>'raw data'!AO789</f>
        <v>11206708</v>
      </c>
      <c r="H141" s="20">
        <f t="shared" si="24"/>
        <v>1485726.6999999993</v>
      </c>
      <c r="I141" s="20">
        <f t="shared" si="25"/>
        <v>-4421760.4000000022</v>
      </c>
      <c r="J141" s="30">
        <f t="shared" si="26"/>
        <v>28.575150921961374</v>
      </c>
      <c r="K141" s="30">
        <f t="shared" si="22"/>
        <v>4.7187069632905032E-2</v>
      </c>
      <c r="L141" s="30">
        <f t="shared" si="27"/>
        <v>20.192246261095825</v>
      </c>
      <c r="M141" s="30">
        <f t="shared" si="28"/>
        <v>21.192246261095825</v>
      </c>
      <c r="N141" s="30">
        <f t="shared" si="29"/>
        <v>18.711564906628411</v>
      </c>
      <c r="O141" s="30">
        <f t="shared" si="30"/>
        <v>1.1325747668271537</v>
      </c>
      <c r="P141" s="30">
        <f t="shared" si="31"/>
        <v>0.7416319976391994</v>
      </c>
      <c r="Q141" s="30">
        <f t="shared" si="32"/>
        <v>-2.8704483173715141</v>
      </c>
    </row>
    <row r="142" spans="1:17" x14ac:dyDescent="0.5">
      <c r="A142" s="23" t="str">
        <f>'raw data'!A790</f>
        <v>2012-03</v>
      </c>
      <c r="B142" s="32">
        <f>'raw data'!U790</f>
        <v>1090802.3999999999</v>
      </c>
      <c r="C142" s="20">
        <f>'raw data'!V790</f>
        <v>600016.19999999995</v>
      </c>
      <c r="D142" s="20">
        <f t="shared" si="23"/>
        <v>12031703.100000001</v>
      </c>
      <c r="E142" s="18">
        <f>'raw data'!AH790</f>
        <v>12631719.300000001</v>
      </c>
      <c r="F142" s="18">
        <f>SUM('raw data'!AI790:AK790)</f>
        <v>17213704</v>
      </c>
      <c r="G142" s="20">
        <f>'raw data'!AO790</f>
        <v>11173474.4</v>
      </c>
      <c r="H142" s="20">
        <f t="shared" si="24"/>
        <v>1458244.9000000004</v>
      </c>
      <c r="I142" s="20">
        <f t="shared" si="25"/>
        <v>-4581984.6999999993</v>
      </c>
      <c r="J142" s="30">
        <f t="shared" si="26"/>
        <v>28.688732070900755</v>
      </c>
      <c r="K142" s="30">
        <f t="shared" si="22"/>
        <v>4.7500754707239252E-2</v>
      </c>
      <c r="L142" s="30">
        <f t="shared" si="27"/>
        <v>20.05229708797863</v>
      </c>
      <c r="M142" s="30">
        <f t="shared" si="28"/>
        <v>21.052297087978626</v>
      </c>
      <c r="N142" s="30">
        <f t="shared" si="29"/>
        <v>18.62195454056074</v>
      </c>
      <c r="O142" s="30">
        <f t="shared" si="30"/>
        <v>1.130509530679195</v>
      </c>
      <c r="P142" s="30">
        <f t="shared" si="31"/>
        <v>0.73381761996139827</v>
      </c>
      <c r="Q142" s="30">
        <f t="shared" si="32"/>
        <v>-2.7568226711887545</v>
      </c>
    </row>
    <row r="143" spans="1:17" x14ac:dyDescent="0.5">
      <c r="A143" s="23" t="str">
        <f>'raw data'!A791</f>
        <v>2012-04</v>
      </c>
      <c r="B143" s="32">
        <f>'raw data'!U791</f>
        <v>1092599.8</v>
      </c>
      <c r="C143" s="20">
        <f>'raw data'!V791</f>
        <v>600972.19999999995</v>
      </c>
      <c r="D143" s="20">
        <f t="shared" si="23"/>
        <v>12084973.4</v>
      </c>
      <c r="E143" s="18">
        <f>'raw data'!AH791</f>
        <v>12685945.6</v>
      </c>
      <c r="F143" s="18">
        <f>SUM('raw data'!AI791:AK791)</f>
        <v>17296375.199999999</v>
      </c>
      <c r="G143" s="20">
        <f>'raw data'!AO791</f>
        <v>11245844.9</v>
      </c>
      <c r="H143" s="20">
        <f t="shared" si="24"/>
        <v>1440100.6999999993</v>
      </c>
      <c r="I143" s="20">
        <f t="shared" si="25"/>
        <v>-4610429.5999999996</v>
      </c>
      <c r="J143" s="30">
        <f t="shared" si="26"/>
        <v>28.780657740907152</v>
      </c>
      <c r="K143" s="30">
        <f t="shared" si="22"/>
        <v>4.7373070873013991E-2</v>
      </c>
      <c r="L143" s="30">
        <f t="shared" si="27"/>
        <v>20.109038987161139</v>
      </c>
      <c r="M143" s="30">
        <f t="shared" si="28"/>
        <v>21.109038987161139</v>
      </c>
      <c r="N143" s="30">
        <f t="shared" si="29"/>
        <v>18.712753934375002</v>
      </c>
      <c r="O143" s="30">
        <f t="shared" si="30"/>
        <v>1.1280562476902023</v>
      </c>
      <c r="P143" s="30">
        <f t="shared" si="31"/>
        <v>0.7334453290536852</v>
      </c>
      <c r="Q143" s="30">
        <f t="shared" si="32"/>
        <v>-2.7515756015448107</v>
      </c>
    </row>
    <row r="144" spans="1:17" x14ac:dyDescent="0.5">
      <c r="A144" s="23" t="str">
        <f>'raw data'!A792</f>
        <v>2012-05</v>
      </c>
      <c r="B144" s="32">
        <f>'raw data'!U792</f>
        <v>1101463.3999999999</v>
      </c>
      <c r="C144" s="20">
        <f>'raw data'!V792</f>
        <v>609046.4</v>
      </c>
      <c r="D144" s="20">
        <f t="shared" si="23"/>
        <v>12105666.9</v>
      </c>
      <c r="E144" s="18">
        <f>'raw data'!AH792</f>
        <v>12714713.300000001</v>
      </c>
      <c r="F144" s="18">
        <f>SUM('raw data'!AI792:AK792)</f>
        <v>17340165.399999999</v>
      </c>
      <c r="G144" s="20">
        <f>'raw data'!AO792</f>
        <v>11278098.800000001</v>
      </c>
      <c r="H144" s="20">
        <f t="shared" si="24"/>
        <v>1436614.5</v>
      </c>
      <c r="I144" s="20">
        <f t="shared" si="25"/>
        <v>-4625452.0999999978</v>
      </c>
      <c r="J144" s="30">
        <f t="shared" si="26"/>
        <v>28.471008776999582</v>
      </c>
      <c r="K144" s="30">
        <f t="shared" si="22"/>
        <v>4.7900914918781533E-2</v>
      </c>
      <c r="L144" s="30">
        <f t="shared" si="27"/>
        <v>19.876427970020018</v>
      </c>
      <c r="M144" s="30">
        <f t="shared" si="28"/>
        <v>20.876427970020018</v>
      </c>
      <c r="N144" s="30">
        <f t="shared" si="29"/>
        <v>18.51763478119237</v>
      </c>
      <c r="O144" s="30">
        <f t="shared" si="30"/>
        <v>1.1273809110450423</v>
      </c>
      <c r="P144" s="30">
        <f t="shared" si="31"/>
        <v>0.73325213495368402</v>
      </c>
      <c r="Q144" s="30">
        <f t="shared" si="32"/>
        <v>-2.7488584953674056</v>
      </c>
    </row>
    <row r="145" spans="1:17" x14ac:dyDescent="0.5">
      <c r="A145" s="23" t="str">
        <f>'raw data'!A793</f>
        <v>2012-06</v>
      </c>
      <c r="B145" s="32">
        <f>'raw data'!U793</f>
        <v>1100967</v>
      </c>
      <c r="C145" s="20">
        <f>'raw data'!V793</f>
        <v>608947.19999999995</v>
      </c>
      <c r="D145" s="20">
        <f t="shared" si="23"/>
        <v>12136121.4</v>
      </c>
      <c r="E145" s="18">
        <f>'raw data'!AH793</f>
        <v>12745068.6</v>
      </c>
      <c r="F145" s="18">
        <f>SUM('raw data'!AI793:AK793)</f>
        <v>17475412</v>
      </c>
      <c r="G145" s="20">
        <f>'raw data'!AO793</f>
        <v>11297528.6</v>
      </c>
      <c r="H145" s="20">
        <f t="shared" si="24"/>
        <v>1447540</v>
      </c>
      <c r="I145" s="20">
        <f t="shared" si="25"/>
        <v>-4730343.4000000004</v>
      </c>
      <c r="J145" s="30">
        <f t="shared" si="26"/>
        <v>28.69774588010258</v>
      </c>
      <c r="K145" s="30">
        <f t="shared" si="22"/>
        <v>4.7779044516088359E-2</v>
      </c>
      <c r="L145" s="30">
        <f t="shared" si="27"/>
        <v>19.929677646928997</v>
      </c>
      <c r="M145" s="30">
        <f t="shared" si="28"/>
        <v>20.929677646928997</v>
      </c>
      <c r="N145" s="30">
        <f t="shared" si="29"/>
        <v>18.552558579791484</v>
      </c>
      <c r="O145" s="30">
        <f t="shared" si="30"/>
        <v>1.1281289077683769</v>
      </c>
      <c r="P145" s="30">
        <f t="shared" si="31"/>
        <v>0.72931434177345855</v>
      </c>
      <c r="Q145" s="30">
        <f t="shared" si="32"/>
        <v>-2.6943220654974009</v>
      </c>
    </row>
    <row r="146" spans="1:17" x14ac:dyDescent="0.5">
      <c r="A146" s="23" t="str">
        <f>'raw data'!A794</f>
        <v>2012-07</v>
      </c>
      <c r="B146" s="32">
        <f>'raw data'!U794</f>
        <v>1098690.7</v>
      </c>
      <c r="C146" s="20">
        <f>'raw data'!V794</f>
        <v>607070.69999999995</v>
      </c>
      <c r="D146" s="20">
        <f t="shared" si="23"/>
        <v>12195659.800000001</v>
      </c>
      <c r="E146" s="18">
        <f>'raw data'!AH794</f>
        <v>12802730.5</v>
      </c>
      <c r="F146" s="18">
        <f>SUM('raw data'!AI794:AK794)</f>
        <v>17612104.399999999</v>
      </c>
      <c r="G146" s="20">
        <f>'raw data'!AO794</f>
        <v>11344347.5</v>
      </c>
      <c r="H146" s="20">
        <f t="shared" si="24"/>
        <v>1458383</v>
      </c>
      <c r="I146" s="20">
        <f t="shared" si="25"/>
        <v>-4809373.8999999985</v>
      </c>
      <c r="J146" s="30">
        <f t="shared" si="26"/>
        <v>29.011619898637836</v>
      </c>
      <c r="K146" s="30">
        <f t="shared" si="22"/>
        <v>4.7417283367794077E-2</v>
      </c>
      <c r="L146" s="30">
        <f t="shared" si="27"/>
        <v>20.089356643303656</v>
      </c>
      <c r="M146" s="30">
        <f t="shared" si="28"/>
        <v>21.089356643303656</v>
      </c>
      <c r="N146" s="30">
        <f t="shared" si="29"/>
        <v>18.687028545439603</v>
      </c>
      <c r="O146" s="30">
        <f t="shared" si="30"/>
        <v>1.1285559173852882</v>
      </c>
      <c r="P146" s="30">
        <f t="shared" si="31"/>
        <v>0.72692792463801204</v>
      </c>
      <c r="Q146" s="30">
        <f t="shared" si="32"/>
        <v>-2.662036840179967</v>
      </c>
    </row>
    <row r="147" spans="1:17" x14ac:dyDescent="0.5">
      <c r="A147" s="23" t="str">
        <f>'raw data'!A795</f>
        <v>2012-08</v>
      </c>
      <c r="B147" s="32">
        <f>'raw data'!U795</f>
        <v>1100906.1000000001</v>
      </c>
      <c r="C147" s="20">
        <f>'raw data'!V795</f>
        <v>607728.80000000005</v>
      </c>
      <c r="D147" s="20">
        <f t="shared" si="23"/>
        <v>12223924.199999999</v>
      </c>
      <c r="E147" s="18">
        <f>'raw data'!AH795</f>
        <v>12831653</v>
      </c>
      <c r="F147" s="18">
        <f>SUM('raw data'!AI795:AK795)</f>
        <v>17752044.100000001</v>
      </c>
      <c r="G147" s="20">
        <f>'raw data'!AO795</f>
        <v>11379999.5</v>
      </c>
      <c r="H147" s="20">
        <f t="shared" si="24"/>
        <v>1451653.5</v>
      </c>
      <c r="I147" s="20">
        <f t="shared" si="25"/>
        <v>-4920391.1000000015</v>
      </c>
      <c r="J147" s="30">
        <f t="shared" si="26"/>
        <v>29.210470361121605</v>
      </c>
      <c r="K147" s="30">
        <f t="shared" si="22"/>
        <v>4.7361692215336565E-2</v>
      </c>
      <c r="L147" s="30">
        <f t="shared" si="27"/>
        <v>20.114110438735171</v>
      </c>
      <c r="M147" s="30">
        <f t="shared" si="28"/>
        <v>21.114110438735171</v>
      </c>
      <c r="N147" s="30">
        <f t="shared" si="29"/>
        <v>18.725456980152988</v>
      </c>
      <c r="O147" s="30">
        <f t="shared" si="30"/>
        <v>1.1275618245853174</v>
      </c>
      <c r="P147" s="30">
        <f t="shared" si="31"/>
        <v>0.72282678702899339</v>
      </c>
      <c r="Q147" s="30">
        <f t="shared" si="32"/>
        <v>-2.6078522497937198</v>
      </c>
    </row>
    <row r="148" spans="1:17" x14ac:dyDescent="0.5">
      <c r="A148" s="23" t="str">
        <f>'raw data'!A796</f>
        <v>2012-09</v>
      </c>
      <c r="B148" s="32">
        <f>'raw data'!U796</f>
        <v>1103066.8999999999</v>
      </c>
      <c r="C148" s="20">
        <f>'raw data'!V796</f>
        <v>607150.5</v>
      </c>
      <c r="D148" s="20">
        <f t="shared" si="23"/>
        <v>12233491.5</v>
      </c>
      <c r="E148" s="18">
        <f>'raw data'!AH796</f>
        <v>12840642</v>
      </c>
      <c r="F148" s="18">
        <f>SUM('raw data'!AI796:AK796)</f>
        <v>17852992.600000001</v>
      </c>
      <c r="G148" s="20">
        <f>'raw data'!AO796</f>
        <v>11370800.199999999</v>
      </c>
      <c r="H148" s="20">
        <f t="shared" si="24"/>
        <v>1469841.8000000007</v>
      </c>
      <c r="I148" s="20">
        <f t="shared" si="25"/>
        <v>-5012350.6000000015</v>
      </c>
      <c r="J148" s="30">
        <f t="shared" si="26"/>
        <v>29.40455883672994</v>
      </c>
      <c r="K148" s="30">
        <f t="shared" si="22"/>
        <v>4.7283500310965759E-2</v>
      </c>
      <c r="L148" s="30">
        <f t="shared" si="27"/>
        <v>20.14902647696082</v>
      </c>
      <c r="M148" s="30">
        <f t="shared" si="28"/>
        <v>21.14902647696082</v>
      </c>
      <c r="N148" s="30">
        <f t="shared" si="29"/>
        <v>18.728141045753894</v>
      </c>
      <c r="O148" s="30">
        <f t="shared" si="30"/>
        <v>1.129264587728839</v>
      </c>
      <c r="P148" s="30">
        <f t="shared" si="31"/>
        <v>0.71924311445690059</v>
      </c>
      <c r="Q148" s="30">
        <f t="shared" si="32"/>
        <v>-2.5618004454836014</v>
      </c>
    </row>
    <row r="149" spans="1:17" x14ac:dyDescent="0.5">
      <c r="A149" s="23" t="str">
        <f>'raw data'!A797</f>
        <v>2012-10</v>
      </c>
      <c r="B149" s="32">
        <f>'raw data'!U797</f>
        <v>1104743.6000000001</v>
      </c>
      <c r="C149" s="20">
        <f>'raw data'!V797</f>
        <v>608283.9</v>
      </c>
      <c r="D149" s="20">
        <f t="shared" si="23"/>
        <v>12252922.799999999</v>
      </c>
      <c r="E149" s="18">
        <f>'raw data'!AH797</f>
        <v>12861206.699999999</v>
      </c>
      <c r="F149" s="18">
        <f>SUM('raw data'!AI797:AK797)</f>
        <v>17991205.399999999</v>
      </c>
      <c r="G149" s="20">
        <f>'raw data'!AO797</f>
        <v>11367439.6</v>
      </c>
      <c r="H149" s="20">
        <f t="shared" si="24"/>
        <v>1493767.0999999996</v>
      </c>
      <c r="I149" s="20">
        <f t="shared" si="25"/>
        <v>-5129998.6999999993</v>
      </c>
      <c r="J149" s="30">
        <f t="shared" si="26"/>
        <v>29.576987653298069</v>
      </c>
      <c r="K149" s="30">
        <f t="shared" si="22"/>
        <v>4.7296020831389021E-2</v>
      </c>
      <c r="L149" s="30">
        <f t="shared" si="27"/>
        <v>20.143427764568482</v>
      </c>
      <c r="M149" s="30">
        <f t="shared" si="28"/>
        <v>21.143427764568482</v>
      </c>
      <c r="N149" s="30">
        <f t="shared" si="29"/>
        <v>18.687720651491844</v>
      </c>
      <c r="O149" s="30">
        <f t="shared" si="30"/>
        <v>1.1314075246988777</v>
      </c>
      <c r="P149" s="30">
        <f t="shared" si="31"/>
        <v>0.71486075635599156</v>
      </c>
      <c r="Q149" s="30">
        <f t="shared" si="32"/>
        <v>-2.5070584715742719</v>
      </c>
    </row>
    <row r="150" spans="1:17" x14ac:dyDescent="0.5">
      <c r="A150" s="23" t="str">
        <f>'raw data'!A798</f>
        <v>2012-11</v>
      </c>
      <c r="B150" s="32">
        <f>'raw data'!U798</f>
        <v>1104589.7</v>
      </c>
      <c r="C150" s="20">
        <f>'raw data'!V798</f>
        <v>608936.69999999995</v>
      </c>
      <c r="D150" s="20">
        <f t="shared" si="23"/>
        <v>12376483.700000001</v>
      </c>
      <c r="E150" s="18">
        <f>'raw data'!AH798</f>
        <v>12985420.4</v>
      </c>
      <c r="F150" s="18">
        <f>SUM('raw data'!AI798:AK798)</f>
        <v>18224945.600000001</v>
      </c>
      <c r="G150" s="20">
        <f>'raw data'!AO798</f>
        <v>11473186.9</v>
      </c>
      <c r="H150" s="20">
        <f t="shared" si="24"/>
        <v>1512233.5</v>
      </c>
      <c r="I150" s="20">
        <f t="shared" si="25"/>
        <v>-5239525.2000000011</v>
      </c>
      <c r="J150" s="30">
        <f t="shared" si="26"/>
        <v>29.929129907919826</v>
      </c>
      <c r="K150" s="30">
        <f t="shared" si="22"/>
        <v>4.6893876458555007E-2</v>
      </c>
      <c r="L150" s="30">
        <f t="shared" si="27"/>
        <v>20.32474590544469</v>
      </c>
      <c r="M150" s="30">
        <f t="shared" si="28"/>
        <v>21.32474590544469</v>
      </c>
      <c r="N150" s="30">
        <f t="shared" si="29"/>
        <v>18.841345742504927</v>
      </c>
      <c r="O150" s="30">
        <f t="shared" si="30"/>
        <v>1.1318058803696469</v>
      </c>
      <c r="P150" s="30">
        <f t="shared" si="31"/>
        <v>0.71250804721194883</v>
      </c>
      <c r="Q150" s="30">
        <f t="shared" si="32"/>
        <v>-2.4783582298640336</v>
      </c>
    </row>
    <row r="151" spans="1:17" x14ac:dyDescent="0.5">
      <c r="A151" s="23" t="str">
        <f>'raw data'!A799</f>
        <v>2012-12</v>
      </c>
      <c r="B151" s="32">
        <f>'raw data'!U799</f>
        <v>1102707.3</v>
      </c>
      <c r="C151" s="20">
        <f>'raw data'!V799</f>
        <v>607156.69999999995</v>
      </c>
      <c r="D151" s="20">
        <f t="shared" si="23"/>
        <v>12516410</v>
      </c>
      <c r="E151" s="18">
        <f>'raw data'!AH799</f>
        <v>13123566.699999999</v>
      </c>
      <c r="F151" s="18">
        <f>SUM('raw data'!AI799:AK799)</f>
        <v>18502428</v>
      </c>
      <c r="G151" s="20">
        <f>'raw data'!AO799</f>
        <v>11607218.4</v>
      </c>
      <c r="H151" s="20">
        <f t="shared" si="24"/>
        <v>1516348.2999999989</v>
      </c>
      <c r="I151" s="20">
        <f t="shared" si="25"/>
        <v>-5378861.3000000007</v>
      </c>
      <c r="J151" s="30">
        <f t="shared" si="26"/>
        <v>30.473892489368893</v>
      </c>
      <c r="K151" s="30">
        <f t="shared" si="22"/>
        <v>4.6264610366936298E-2</v>
      </c>
      <c r="L151" s="30">
        <f t="shared" si="27"/>
        <v>20.614793512119689</v>
      </c>
      <c r="M151" s="30">
        <f t="shared" si="28"/>
        <v>21.614793512119689</v>
      </c>
      <c r="N151" s="30">
        <f t="shared" si="29"/>
        <v>19.117335607101101</v>
      </c>
      <c r="O151" s="30">
        <f t="shared" si="30"/>
        <v>1.1306383879190212</v>
      </c>
      <c r="P151" s="30">
        <f t="shared" si="31"/>
        <v>0.7092888944088851</v>
      </c>
      <c r="Q151" s="30">
        <f t="shared" si="32"/>
        <v>-2.439841068220145</v>
      </c>
    </row>
    <row r="152" spans="1:17" x14ac:dyDescent="0.5">
      <c r="A152" s="23" t="str">
        <f>'raw data'!A800</f>
        <v>2013-01</v>
      </c>
      <c r="B152" s="32">
        <f>'raw data'!U800</f>
        <v>1103889.1000000001</v>
      </c>
      <c r="C152" s="20">
        <f>'raw data'!V800</f>
        <v>607406</v>
      </c>
      <c r="D152" s="20">
        <f t="shared" si="23"/>
        <v>12599817.300000001</v>
      </c>
      <c r="E152" s="18">
        <f>'raw data'!AH800</f>
        <v>13207223.300000001</v>
      </c>
      <c r="F152" s="18">
        <f>SUM('raw data'!AI800:AK800)</f>
        <v>18510019.199999999</v>
      </c>
      <c r="G152" s="20">
        <f>'raw data'!AO800</f>
        <v>11699385.800000001</v>
      </c>
      <c r="H152" s="20">
        <f t="shared" si="24"/>
        <v>1507837.5</v>
      </c>
      <c r="I152" s="20">
        <f t="shared" si="25"/>
        <v>-5302795.8999999985</v>
      </c>
      <c r="J152" s="30">
        <f t="shared" si="26"/>
        <v>30.473882707777005</v>
      </c>
      <c r="K152" s="30">
        <f t="shared" si="22"/>
        <v>4.5990439186410964E-2</v>
      </c>
      <c r="L152" s="30">
        <f t="shared" si="27"/>
        <v>20.743649716993247</v>
      </c>
      <c r="M152" s="30">
        <f t="shared" si="28"/>
        <v>21.743649716993247</v>
      </c>
      <c r="N152" s="30">
        <f t="shared" si="29"/>
        <v>19.261228568700343</v>
      </c>
      <c r="O152" s="30">
        <f t="shared" si="30"/>
        <v>1.1288817657419246</v>
      </c>
      <c r="P152" s="30">
        <f t="shared" si="31"/>
        <v>0.71351753649180449</v>
      </c>
      <c r="Q152" s="30">
        <f t="shared" si="32"/>
        <v>-2.4906150545978969</v>
      </c>
    </row>
    <row r="153" spans="1:17" x14ac:dyDescent="0.5">
      <c r="A153" s="23" t="str">
        <f>'raw data'!A801</f>
        <v>2013-02</v>
      </c>
      <c r="B153" s="32">
        <f>'raw data'!U801</f>
        <v>1108683.3999999999</v>
      </c>
      <c r="C153" s="20">
        <f>'raw data'!V801</f>
        <v>608895.69999999995</v>
      </c>
      <c r="D153" s="20">
        <f t="shared" si="23"/>
        <v>12643468.200000001</v>
      </c>
      <c r="E153" s="18">
        <f>'raw data'!AH801</f>
        <v>13252363.9</v>
      </c>
      <c r="F153" s="18">
        <f>SUM('raw data'!AI801:AK801)</f>
        <v>18527011.800000001</v>
      </c>
      <c r="G153" s="20">
        <f>'raw data'!AO801</f>
        <v>11726266.6</v>
      </c>
      <c r="H153" s="20">
        <f t="shared" si="24"/>
        <v>1526097.3000000007</v>
      </c>
      <c r="I153" s="20">
        <f t="shared" si="25"/>
        <v>-5274647.9000000004</v>
      </c>
      <c r="J153" s="30">
        <f t="shared" si="26"/>
        <v>30.427233761053007</v>
      </c>
      <c r="K153" s="30">
        <f t="shared" si="22"/>
        <v>4.5946195304824064E-2</v>
      </c>
      <c r="L153" s="30">
        <f t="shared" si="27"/>
        <v>20.764587761089466</v>
      </c>
      <c r="M153" s="30">
        <f t="shared" si="28"/>
        <v>21.764587761089462</v>
      </c>
      <c r="N153" s="30">
        <f t="shared" si="29"/>
        <v>19.258251618462737</v>
      </c>
      <c r="O153" s="30">
        <f t="shared" si="30"/>
        <v>1.1301434934116201</v>
      </c>
      <c r="P153" s="30">
        <f t="shared" si="31"/>
        <v>0.71529958759998202</v>
      </c>
      <c r="Q153" s="30">
        <f t="shared" si="32"/>
        <v>-2.5124641779406733</v>
      </c>
    </row>
    <row r="154" spans="1:17" x14ac:dyDescent="0.5">
      <c r="A154" s="23" t="str">
        <f>'raw data'!A802</f>
        <v>2013-03</v>
      </c>
      <c r="B154" s="32">
        <f>'raw data'!U802</f>
        <v>1112744.2</v>
      </c>
      <c r="C154" s="20">
        <f>'raw data'!V802</f>
        <v>611177.6</v>
      </c>
      <c r="D154" s="20">
        <f t="shared" si="23"/>
        <v>12709411.700000001</v>
      </c>
      <c r="E154" s="18">
        <f>'raw data'!AH802</f>
        <v>13320589.300000001</v>
      </c>
      <c r="F154" s="18">
        <f>SUM('raw data'!AI802:AK802)</f>
        <v>18658969.199999999</v>
      </c>
      <c r="G154" s="20">
        <f>'raw data'!AO802</f>
        <v>11821452</v>
      </c>
      <c r="H154" s="20">
        <f t="shared" si="24"/>
        <v>1499137.3000000007</v>
      </c>
      <c r="I154" s="20">
        <f t="shared" si="25"/>
        <v>-5338379.8999999985</v>
      </c>
      <c r="J154" s="30">
        <f t="shared" si="26"/>
        <v>30.529537077275084</v>
      </c>
      <c r="K154" s="30">
        <f t="shared" si="22"/>
        <v>4.5882174296898406E-2</v>
      </c>
      <c r="L154" s="30">
        <f t="shared" si="27"/>
        <v>20.794956654170573</v>
      </c>
      <c r="M154" s="30">
        <f t="shared" si="28"/>
        <v>21.794956654170573</v>
      </c>
      <c r="N154" s="30">
        <f t="shared" si="29"/>
        <v>19.342089762452026</v>
      </c>
      <c r="O154" s="30">
        <f t="shared" si="30"/>
        <v>1.1268149885479382</v>
      </c>
      <c r="P154" s="30">
        <f t="shared" si="31"/>
        <v>0.71389738399911185</v>
      </c>
      <c r="Q154" s="30">
        <f t="shared" si="32"/>
        <v>-2.4952494107809757</v>
      </c>
    </row>
    <row r="155" spans="1:17" x14ac:dyDescent="0.5">
      <c r="A155" s="23" t="str">
        <f>'raw data'!A803</f>
        <v>2013-04</v>
      </c>
      <c r="B155" s="32">
        <f>'raw data'!U803</f>
        <v>1116299.6000000001</v>
      </c>
      <c r="C155" s="20">
        <f>'raw data'!V803</f>
        <v>611867.1</v>
      </c>
      <c r="D155" s="20">
        <f t="shared" si="23"/>
        <v>12772589.700000001</v>
      </c>
      <c r="E155" s="18">
        <f>'raw data'!AH803</f>
        <v>13384456.800000001</v>
      </c>
      <c r="F155" s="18">
        <f>SUM('raw data'!AI803:AK803)</f>
        <v>18730759.199999999</v>
      </c>
      <c r="G155" s="20">
        <f>'raw data'!AO803</f>
        <v>11874234.6</v>
      </c>
      <c r="H155" s="20">
        <f t="shared" si="24"/>
        <v>1510222.2000000011</v>
      </c>
      <c r="I155" s="20">
        <f t="shared" si="25"/>
        <v>-5346302.3999999985</v>
      </c>
      <c r="J155" s="30">
        <f t="shared" si="26"/>
        <v>30.612463392785788</v>
      </c>
      <c r="K155" s="30">
        <f t="shared" si="22"/>
        <v>4.5714750261661719E-2</v>
      </c>
      <c r="L155" s="30">
        <f t="shared" si="27"/>
        <v>20.874777709080945</v>
      </c>
      <c r="M155" s="30">
        <f t="shared" si="28"/>
        <v>21.874777709080945</v>
      </c>
      <c r="N155" s="30">
        <f t="shared" si="29"/>
        <v>19.40655838498262</v>
      </c>
      <c r="O155" s="30">
        <f t="shared" si="30"/>
        <v>1.1271848039788603</v>
      </c>
      <c r="P155" s="30">
        <f t="shared" si="31"/>
        <v>0.71457097158133354</v>
      </c>
      <c r="Q155" s="30">
        <f t="shared" si="32"/>
        <v>-2.5034978941707458</v>
      </c>
    </row>
    <row r="156" spans="1:17" x14ac:dyDescent="0.5">
      <c r="A156" s="23" t="str">
        <f>'raw data'!A804</f>
        <v>2013-05</v>
      </c>
      <c r="B156" s="32">
        <f>'raw data'!U804</f>
        <v>1120915.5</v>
      </c>
      <c r="C156" s="20">
        <f>'raw data'!V804</f>
        <v>613426.4</v>
      </c>
      <c r="D156" s="20">
        <f t="shared" si="23"/>
        <v>12856596.799999999</v>
      </c>
      <c r="E156" s="18">
        <f>'raw data'!AH804</f>
        <v>13470023.199999999</v>
      </c>
      <c r="F156" s="18">
        <f>SUM('raw data'!AI804:AK804)</f>
        <v>18778473.399999999</v>
      </c>
      <c r="G156" s="20">
        <f>'raw data'!AO804</f>
        <v>11969333.699999999</v>
      </c>
      <c r="H156" s="20">
        <f t="shared" si="24"/>
        <v>1500689.5</v>
      </c>
      <c r="I156" s="20">
        <f t="shared" si="25"/>
        <v>-5308450.1999999993</v>
      </c>
      <c r="J156" s="30">
        <f t="shared" si="26"/>
        <v>30.612431091977779</v>
      </c>
      <c r="K156" s="30">
        <f t="shared" si="22"/>
        <v>4.5540114585697226E-2</v>
      </c>
      <c r="L156" s="30">
        <f t="shared" si="27"/>
        <v>20.958662359494145</v>
      </c>
      <c r="M156" s="30">
        <f t="shared" si="28"/>
        <v>21.958662359494145</v>
      </c>
      <c r="N156" s="30">
        <f t="shared" si="29"/>
        <v>19.512257216187628</v>
      </c>
      <c r="O156" s="30">
        <f t="shared" si="30"/>
        <v>1.1253778646007673</v>
      </c>
      <c r="P156" s="30">
        <f t="shared" si="31"/>
        <v>0.7173119408098424</v>
      </c>
      <c r="Q156" s="30">
        <f t="shared" si="32"/>
        <v>-2.53746812958705</v>
      </c>
    </row>
    <row r="157" spans="1:17" x14ac:dyDescent="0.5">
      <c r="A157" s="23" t="str">
        <f>'raw data'!A805</f>
        <v>2013-06</v>
      </c>
      <c r="B157" s="32">
        <f>'raw data'!U805</f>
        <v>1125393.8</v>
      </c>
      <c r="C157" s="20">
        <f>'raw data'!V805</f>
        <v>614791.19999999995</v>
      </c>
      <c r="D157" s="20">
        <f t="shared" si="23"/>
        <v>12921233.100000001</v>
      </c>
      <c r="E157" s="18">
        <f>'raw data'!AH805</f>
        <v>13536024.300000001</v>
      </c>
      <c r="F157" s="18">
        <f>SUM('raw data'!AI805:AK805)</f>
        <v>18858050.600000001</v>
      </c>
      <c r="G157" s="20">
        <f>'raw data'!AO805</f>
        <v>12038415.300000001</v>
      </c>
      <c r="H157" s="20">
        <f t="shared" si="24"/>
        <v>1497609</v>
      </c>
      <c r="I157" s="20">
        <f t="shared" si="25"/>
        <v>-5322026.3000000007</v>
      </c>
      <c r="J157" s="30">
        <f t="shared" si="26"/>
        <v>30.67391107745199</v>
      </c>
      <c r="K157" s="30">
        <f t="shared" si="22"/>
        <v>4.5418890094634352E-2</v>
      </c>
      <c r="L157" s="30">
        <f t="shared" si="27"/>
        <v>21.017270741676203</v>
      </c>
      <c r="M157" s="30">
        <f t="shared" si="28"/>
        <v>22.017270741676199</v>
      </c>
      <c r="N157" s="30">
        <f t="shared" si="29"/>
        <v>19.581307116952882</v>
      </c>
      <c r="O157" s="30">
        <f t="shared" si="30"/>
        <v>1.124402503376005</v>
      </c>
      <c r="P157" s="30">
        <f t="shared" si="31"/>
        <v>0.71778491781117604</v>
      </c>
      <c r="Q157" s="30">
        <f t="shared" si="32"/>
        <v>-2.5433967321807485</v>
      </c>
    </row>
    <row r="158" spans="1:17" x14ac:dyDescent="0.5">
      <c r="A158" s="23" t="str">
        <f>'raw data'!A806</f>
        <v>2013-07</v>
      </c>
      <c r="B158" s="32">
        <f>'raw data'!U806</f>
        <v>1124464.3999999999</v>
      </c>
      <c r="C158" s="20">
        <f>'raw data'!V806</f>
        <v>611852.19999999995</v>
      </c>
      <c r="D158" s="20">
        <f t="shared" si="23"/>
        <v>12965135.5</v>
      </c>
      <c r="E158" s="18">
        <f>'raw data'!AH806</f>
        <v>13576987.699999999</v>
      </c>
      <c r="F158" s="18">
        <f>SUM('raw data'!AI806:AK806)</f>
        <v>18979667.199999999</v>
      </c>
      <c r="G158" s="20">
        <f>'raw data'!AO806</f>
        <v>12090779.800000001</v>
      </c>
      <c r="H158" s="20">
        <f t="shared" si="24"/>
        <v>1486207.8999999985</v>
      </c>
      <c r="I158" s="20">
        <f t="shared" si="25"/>
        <v>-5402679.5</v>
      </c>
      <c r="J158" s="30">
        <f t="shared" si="26"/>
        <v>31.020019540666848</v>
      </c>
      <c r="K158" s="30">
        <f t="shared" si="22"/>
        <v>4.5065386632117226E-2</v>
      </c>
      <c r="L158" s="30">
        <f t="shared" si="27"/>
        <v>21.189979377372509</v>
      </c>
      <c r="M158" s="30">
        <f t="shared" si="28"/>
        <v>22.189979377372509</v>
      </c>
      <c r="N158" s="30">
        <f t="shared" si="29"/>
        <v>19.760948477426414</v>
      </c>
      <c r="O158" s="30">
        <f t="shared" si="30"/>
        <v>1.1229207647963284</v>
      </c>
      <c r="P158" s="30">
        <f t="shared" si="31"/>
        <v>0.71534382331003143</v>
      </c>
      <c r="Q158" s="30">
        <f t="shared" si="32"/>
        <v>-2.5130100166037979</v>
      </c>
    </row>
    <row r="159" spans="1:17" x14ac:dyDescent="0.5">
      <c r="A159" s="23" t="str">
        <f>'raw data'!A807</f>
        <v>2013-08</v>
      </c>
      <c r="B159" s="32">
        <f>'raw data'!U807</f>
        <v>1127304.1000000001</v>
      </c>
      <c r="C159" s="20">
        <f>'raw data'!V807</f>
        <v>611452.69999999995</v>
      </c>
      <c r="D159" s="20">
        <f t="shared" si="23"/>
        <v>13039042.9</v>
      </c>
      <c r="E159" s="18">
        <f>'raw data'!AH807</f>
        <v>13650495.6</v>
      </c>
      <c r="F159" s="18">
        <f>SUM('raw data'!AI807:AK807)</f>
        <v>19067751.699999999</v>
      </c>
      <c r="G159" s="20">
        <f>'raw data'!AO807</f>
        <v>12167425.300000001</v>
      </c>
      <c r="H159" s="20">
        <f t="shared" si="24"/>
        <v>1483070.2999999989</v>
      </c>
      <c r="I159" s="20">
        <f t="shared" si="25"/>
        <v>-5417256.0999999996</v>
      </c>
      <c r="J159" s="30">
        <f t="shared" si="26"/>
        <v>31.184344594438787</v>
      </c>
      <c r="K159" s="30">
        <f t="shared" si="22"/>
        <v>4.4793443250514653E-2</v>
      </c>
      <c r="L159" s="30">
        <f t="shared" si="27"/>
        <v>21.324695924966889</v>
      </c>
      <c r="M159" s="30">
        <f t="shared" si="28"/>
        <v>22.324695924966889</v>
      </c>
      <c r="N159" s="30">
        <f t="shared" si="29"/>
        <v>19.899209374658092</v>
      </c>
      <c r="O159" s="30">
        <f t="shared" si="30"/>
        <v>1.1218885888701531</v>
      </c>
      <c r="P159" s="30">
        <f t="shared" si="31"/>
        <v>0.71589434427132803</v>
      </c>
      <c r="Q159" s="30">
        <f t="shared" si="32"/>
        <v>-2.5198172927434612</v>
      </c>
    </row>
    <row r="160" spans="1:17" x14ac:dyDescent="0.5">
      <c r="A160" s="23" t="str">
        <f>'raw data'!A808</f>
        <v>2013-09</v>
      </c>
      <c r="B160" s="32">
        <f>'raw data'!U808</f>
        <v>1129958.8999999999</v>
      </c>
      <c r="C160" s="20">
        <f>'raw data'!V808</f>
        <v>611774.6</v>
      </c>
      <c r="D160" s="20">
        <f t="shared" si="23"/>
        <v>13169554.200000001</v>
      </c>
      <c r="E160" s="18">
        <f>'raw data'!AH808</f>
        <v>13781328.800000001</v>
      </c>
      <c r="F160" s="18">
        <f>SUM('raw data'!AI808:AK808)</f>
        <v>19197515.600000001</v>
      </c>
      <c r="G160" s="20">
        <f>'raw data'!AO808</f>
        <v>12283970.4</v>
      </c>
      <c r="H160" s="20">
        <f t="shared" si="24"/>
        <v>1497358.4000000004</v>
      </c>
      <c r="I160" s="20">
        <f t="shared" si="25"/>
        <v>-5416186.8000000007</v>
      </c>
      <c r="J160" s="30">
        <f t="shared" si="26"/>
        <v>31.380046834242549</v>
      </c>
      <c r="K160" s="30">
        <f t="shared" si="22"/>
        <v>4.4391553882670583E-2</v>
      </c>
      <c r="L160" s="30">
        <f t="shared" si="27"/>
        <v>21.526807749128523</v>
      </c>
      <c r="M160" s="30">
        <f t="shared" si="28"/>
        <v>22.526807749128523</v>
      </c>
      <c r="N160" s="30">
        <f t="shared" si="29"/>
        <v>20.079242256870423</v>
      </c>
      <c r="O160" s="30">
        <f t="shared" si="30"/>
        <v>1.1218953116331183</v>
      </c>
      <c r="P160" s="30">
        <f t="shared" si="31"/>
        <v>0.71787043110932536</v>
      </c>
      <c r="Q160" s="30">
        <f t="shared" si="32"/>
        <v>-2.5444707335426466</v>
      </c>
    </row>
    <row r="161" spans="1:17" x14ac:dyDescent="0.5">
      <c r="A161" s="23" t="str">
        <f>'raw data'!A809</f>
        <v>2013-10</v>
      </c>
      <c r="B161" s="32">
        <f>'raw data'!U809</f>
        <v>1135163.5</v>
      </c>
      <c r="C161" s="20">
        <f>'raw data'!V809</f>
        <v>614029</v>
      </c>
      <c r="D161" s="20">
        <f t="shared" si="23"/>
        <v>13275220.699999999</v>
      </c>
      <c r="E161" s="18">
        <f>'raw data'!AH809</f>
        <v>13889249.699999999</v>
      </c>
      <c r="F161" s="18">
        <f>SUM('raw data'!AI809:AK809)</f>
        <v>19374984.600000001</v>
      </c>
      <c r="G161" s="20">
        <f>'raw data'!AO809</f>
        <v>12370148.300000001</v>
      </c>
      <c r="H161" s="20">
        <f t="shared" si="24"/>
        <v>1519101.3999999985</v>
      </c>
      <c r="I161" s="20">
        <f t="shared" si="25"/>
        <v>-5485734.9000000022</v>
      </c>
      <c r="J161" s="30">
        <f t="shared" si="26"/>
        <v>31.553859182546756</v>
      </c>
      <c r="K161" s="30">
        <f t="shared" si="22"/>
        <v>4.4208939522485509E-2</v>
      </c>
      <c r="L161" s="30">
        <f t="shared" si="27"/>
        <v>21.61985948546404</v>
      </c>
      <c r="M161" s="30">
        <f t="shared" si="28"/>
        <v>22.61985948546404</v>
      </c>
      <c r="N161" s="30">
        <f t="shared" si="29"/>
        <v>20.145869820480794</v>
      </c>
      <c r="O161" s="30">
        <f t="shared" si="30"/>
        <v>1.1228038147287207</v>
      </c>
      <c r="P161" s="30">
        <f t="shared" si="31"/>
        <v>0.71686507043726877</v>
      </c>
      <c r="Q161" s="30">
        <f t="shared" si="32"/>
        <v>-2.5318849622135393</v>
      </c>
    </row>
    <row r="162" spans="1:17" x14ac:dyDescent="0.5">
      <c r="A162" s="23" t="str">
        <f>'raw data'!A810</f>
        <v>2013-11</v>
      </c>
      <c r="B162" s="32">
        <f>'raw data'!U810</f>
        <v>1130894.8999999999</v>
      </c>
      <c r="C162" s="20">
        <f>'raw data'!V810</f>
        <v>606042.6</v>
      </c>
      <c r="D162" s="20">
        <f t="shared" si="23"/>
        <v>13353928.6</v>
      </c>
      <c r="E162" s="18">
        <f>'raw data'!AH810</f>
        <v>13959971.199999999</v>
      </c>
      <c r="F162" s="18">
        <f>SUM('raw data'!AI810:AK810)</f>
        <v>19446387.899999999</v>
      </c>
      <c r="G162" s="20">
        <f>'raw data'!AO810</f>
        <v>12448111.4</v>
      </c>
      <c r="H162" s="20">
        <f t="shared" si="24"/>
        <v>1511859.7999999989</v>
      </c>
      <c r="I162" s="20">
        <f t="shared" si="25"/>
        <v>-5486416.6999999993</v>
      </c>
      <c r="J162" s="30">
        <f t="shared" si="26"/>
        <v>32.087493354427558</v>
      </c>
      <c r="K162" s="30">
        <f t="shared" si="22"/>
        <v>4.3412883258670334E-2</v>
      </c>
      <c r="L162" s="30">
        <f t="shared" si="27"/>
        <v>22.034636839060489</v>
      </c>
      <c r="M162" s="30">
        <f t="shared" si="28"/>
        <v>23.034636839060489</v>
      </c>
      <c r="N162" s="30">
        <f t="shared" si="29"/>
        <v>20.539994053223321</v>
      </c>
      <c r="O162" s="30">
        <f t="shared" si="30"/>
        <v>1.1214529458661495</v>
      </c>
      <c r="P162" s="30">
        <f t="shared" si="31"/>
        <v>0.71786962554624345</v>
      </c>
      <c r="Q162" s="30">
        <f t="shared" si="32"/>
        <v>-2.5444606130628031</v>
      </c>
    </row>
    <row r="163" spans="1:17" x14ac:dyDescent="0.5">
      <c r="A163" s="23" t="str">
        <f>'raw data'!A811</f>
        <v>2013-12</v>
      </c>
      <c r="B163" s="32">
        <f>'raw data'!U811</f>
        <v>1128151.3999999999</v>
      </c>
      <c r="C163" s="20">
        <f>'raw data'!V811</f>
        <v>600226.69999999995</v>
      </c>
      <c r="D163" s="20">
        <f t="shared" si="23"/>
        <v>13464249.100000001</v>
      </c>
      <c r="E163" s="18">
        <f>'raw data'!AH811</f>
        <v>14064475.800000001</v>
      </c>
      <c r="F163" s="18">
        <f>SUM('raw data'!AI811:AK811)</f>
        <v>19606393.399999999</v>
      </c>
      <c r="G163" s="20">
        <f>'raw data'!AO811</f>
        <v>12509551.5</v>
      </c>
      <c r="H163" s="20">
        <f t="shared" si="24"/>
        <v>1554924.3000000007</v>
      </c>
      <c r="I163" s="20">
        <f t="shared" si="25"/>
        <v>-5541917.5999999978</v>
      </c>
      <c r="J163" s="30">
        <f t="shared" si="26"/>
        <v>32.664980414899901</v>
      </c>
      <c r="K163" s="30">
        <f t="shared" si="22"/>
        <v>4.2676791409460131E-2</v>
      </c>
      <c r="L163" s="30">
        <f t="shared" si="27"/>
        <v>22.431939632142328</v>
      </c>
      <c r="M163" s="30">
        <f t="shared" si="28"/>
        <v>23.431939632142324</v>
      </c>
      <c r="N163" s="30">
        <f t="shared" si="29"/>
        <v>20.841377932704429</v>
      </c>
      <c r="O163" s="30">
        <f t="shared" si="30"/>
        <v>1.1242989646751125</v>
      </c>
      <c r="P163" s="30">
        <f t="shared" si="31"/>
        <v>0.71734130357702619</v>
      </c>
      <c r="Q163" s="30">
        <f t="shared" si="32"/>
        <v>-2.5378356040515664</v>
      </c>
    </row>
    <row r="164" spans="1:17" x14ac:dyDescent="0.5">
      <c r="A164" s="23" t="str">
        <f>'raw data'!A812</f>
        <v>2014-01</v>
      </c>
      <c r="B164" s="32">
        <f>'raw data'!U812</f>
        <v>1130296.7</v>
      </c>
      <c r="C164" s="20">
        <f>'raw data'!V812</f>
        <v>600510.6</v>
      </c>
      <c r="D164" s="20">
        <f t="shared" si="23"/>
        <v>13528907.5</v>
      </c>
      <c r="E164" s="18">
        <f>'raw data'!AH812</f>
        <v>14129418.1</v>
      </c>
      <c r="F164" s="18">
        <f>SUM('raw data'!AI812:AK812)</f>
        <v>19732252.600000001</v>
      </c>
      <c r="G164" s="20">
        <f>'raw data'!AO812</f>
        <v>12579428.9</v>
      </c>
      <c r="H164" s="20">
        <f t="shared" si="24"/>
        <v>1549989.1999999993</v>
      </c>
      <c r="I164" s="20">
        <f t="shared" si="25"/>
        <v>-5602834.5000000019</v>
      </c>
      <c r="J164" s="30">
        <f t="shared" si="26"/>
        <v>32.859124551673197</v>
      </c>
      <c r="K164" s="30">
        <f t="shared" si="22"/>
        <v>4.2500731151837029E-2</v>
      </c>
      <c r="L164" s="30">
        <f t="shared" si="27"/>
        <v>22.529006981725221</v>
      </c>
      <c r="M164" s="30">
        <f t="shared" si="28"/>
        <v>23.529006981725217</v>
      </c>
      <c r="N164" s="30">
        <f t="shared" si="29"/>
        <v>20.947888180491738</v>
      </c>
      <c r="O164" s="30">
        <f t="shared" si="30"/>
        <v>1.1232161819365265</v>
      </c>
      <c r="P164" s="30">
        <f t="shared" si="31"/>
        <v>0.7160570253393167</v>
      </c>
      <c r="Q164" s="30">
        <f t="shared" si="32"/>
        <v>-2.521833921740861</v>
      </c>
    </row>
    <row r="165" spans="1:17" x14ac:dyDescent="0.5">
      <c r="A165" s="23" t="str">
        <f>'raw data'!A813</f>
        <v>2014-02</v>
      </c>
      <c r="B165" s="32">
        <f>'raw data'!U813</f>
        <v>1136148.6000000001</v>
      </c>
      <c r="C165" s="20">
        <f>'raw data'!V813</f>
        <v>602799.6</v>
      </c>
      <c r="D165" s="20">
        <f t="shared" si="23"/>
        <v>13624189.800000001</v>
      </c>
      <c r="E165" s="18">
        <f>'raw data'!AH813</f>
        <v>14226989.4</v>
      </c>
      <c r="F165" s="18">
        <f>SUM('raw data'!AI813:AK813)</f>
        <v>19858433.5</v>
      </c>
      <c r="G165" s="20">
        <f>'raw data'!AO813</f>
        <v>12655066.4</v>
      </c>
      <c r="H165" s="20">
        <f t="shared" si="24"/>
        <v>1571923</v>
      </c>
      <c r="I165" s="20">
        <f t="shared" si="25"/>
        <v>-5631444.0999999996</v>
      </c>
      <c r="J165" s="30">
        <f t="shared" si="26"/>
        <v>32.943673983857984</v>
      </c>
      <c r="K165" s="30">
        <f t="shared" si="22"/>
        <v>4.2370144733502084E-2</v>
      </c>
      <c r="L165" s="30">
        <f t="shared" si="27"/>
        <v>22.601524287673715</v>
      </c>
      <c r="M165" s="30">
        <f t="shared" si="28"/>
        <v>23.601524287673715</v>
      </c>
      <c r="N165" s="30">
        <f t="shared" si="29"/>
        <v>20.993820168427451</v>
      </c>
      <c r="O165" s="30">
        <f t="shared" si="30"/>
        <v>1.1242129397282341</v>
      </c>
      <c r="P165" s="30">
        <f t="shared" si="31"/>
        <v>0.71642052732910677</v>
      </c>
      <c r="Q165" s="30">
        <f t="shared" si="32"/>
        <v>-2.5263483304397893</v>
      </c>
    </row>
    <row r="166" spans="1:17" x14ac:dyDescent="0.5">
      <c r="A166" s="23" t="str">
        <f>'raw data'!A814</f>
        <v>2014-03</v>
      </c>
      <c r="B166" s="32">
        <f>'raw data'!U814</f>
        <v>1139961.8</v>
      </c>
      <c r="C166" s="20">
        <f>'raw data'!V814</f>
        <v>603325</v>
      </c>
      <c r="D166" s="20">
        <f t="shared" si="23"/>
        <v>13739702.699999999</v>
      </c>
      <c r="E166" s="18">
        <f>'raw data'!AH814</f>
        <v>14343027.699999999</v>
      </c>
      <c r="F166" s="18">
        <f>SUM('raw data'!AI814:AK814)</f>
        <v>19993007.399999999</v>
      </c>
      <c r="G166" s="20">
        <f>'raw data'!AO814</f>
        <v>12800973.199999999</v>
      </c>
      <c r="H166" s="20">
        <f t="shared" si="24"/>
        <v>1542054.5</v>
      </c>
      <c r="I166" s="20">
        <f t="shared" si="25"/>
        <v>-5649979.6999999993</v>
      </c>
      <c r="J166" s="30">
        <f t="shared" si="26"/>
        <v>33.138039033688308</v>
      </c>
      <c r="K166" s="30">
        <f t="shared" si="22"/>
        <v>4.2063991830678819E-2</v>
      </c>
      <c r="L166" s="30">
        <f t="shared" si="27"/>
        <v>22.773302448928852</v>
      </c>
      <c r="M166" s="30">
        <f t="shared" si="28"/>
        <v>23.773302448928852</v>
      </c>
      <c r="N166" s="30">
        <f t="shared" si="29"/>
        <v>21.217375709609247</v>
      </c>
      <c r="O166" s="30">
        <f t="shared" si="30"/>
        <v>1.1204638487954963</v>
      </c>
      <c r="P166" s="30">
        <f t="shared" si="31"/>
        <v>0.71740221033479934</v>
      </c>
      <c r="Q166" s="30">
        <f t="shared" si="32"/>
        <v>-2.5385980944320918</v>
      </c>
    </row>
    <row r="167" spans="1:17" x14ac:dyDescent="0.5">
      <c r="A167" s="23" t="str">
        <f>'raw data'!A815</f>
        <v>2014-04</v>
      </c>
      <c r="B167" s="32">
        <f>'raw data'!U815</f>
        <v>1147292.8999999999</v>
      </c>
      <c r="C167" s="20">
        <f>'raw data'!V815</f>
        <v>606322.19999999995</v>
      </c>
      <c r="D167" s="20">
        <f t="shared" si="23"/>
        <v>13813900.800000001</v>
      </c>
      <c r="E167" s="18">
        <f>'raw data'!AH815</f>
        <v>14420223</v>
      </c>
      <c r="F167" s="18">
        <f>SUM('raw data'!AI815:AK815)</f>
        <v>20174620.899999999</v>
      </c>
      <c r="G167" s="20">
        <f>'raw data'!AO815</f>
        <v>12872433.4</v>
      </c>
      <c r="H167" s="20">
        <f t="shared" si="24"/>
        <v>1547789.5999999996</v>
      </c>
      <c r="I167" s="20">
        <f t="shared" si="25"/>
        <v>-5754397.8999999985</v>
      </c>
      <c r="J167" s="30">
        <f t="shared" si="26"/>
        <v>33.273762530878798</v>
      </c>
      <c r="K167" s="30">
        <f t="shared" si="22"/>
        <v>4.204665905652083E-2</v>
      </c>
      <c r="L167" s="30">
        <f t="shared" si="27"/>
        <v>22.783102449489729</v>
      </c>
      <c r="M167" s="30">
        <f t="shared" si="28"/>
        <v>23.783102449489729</v>
      </c>
      <c r="N167" s="30">
        <f t="shared" si="29"/>
        <v>21.230351453402172</v>
      </c>
      <c r="O167" s="30">
        <f t="shared" si="30"/>
        <v>1.1202406376404324</v>
      </c>
      <c r="P167" s="30">
        <f t="shared" si="31"/>
        <v>0.71477045697547659</v>
      </c>
      <c r="Q167" s="30">
        <f t="shared" si="32"/>
        <v>-2.5059481896446547</v>
      </c>
    </row>
    <row r="168" spans="1:17" x14ac:dyDescent="0.5">
      <c r="A168" s="23" t="str">
        <f>'raw data'!A816</f>
        <v>2014-05</v>
      </c>
      <c r="B168" s="32">
        <f>'raw data'!U816</f>
        <v>1154801.3999999999</v>
      </c>
      <c r="C168" s="20">
        <f>'raw data'!V816</f>
        <v>609941.4</v>
      </c>
      <c r="D168" s="20">
        <f t="shared" si="23"/>
        <v>13912606.5</v>
      </c>
      <c r="E168" s="18">
        <f>'raw data'!AH816</f>
        <v>14522547.9</v>
      </c>
      <c r="F168" s="18">
        <f>SUM('raw data'!AI816:AK816)</f>
        <v>20282825.800000001</v>
      </c>
      <c r="G168" s="20">
        <f>'raw data'!AO816</f>
        <v>12960557.1</v>
      </c>
      <c r="H168" s="20">
        <f t="shared" si="24"/>
        <v>1561990.8000000007</v>
      </c>
      <c r="I168" s="20">
        <f t="shared" si="25"/>
        <v>-5760277.9000000004</v>
      </c>
      <c r="J168" s="30">
        <f t="shared" si="26"/>
        <v>33.253728636882165</v>
      </c>
      <c r="K168" s="30">
        <f t="shared" si="22"/>
        <v>4.1999613580203786E-2</v>
      </c>
      <c r="L168" s="30">
        <f t="shared" si="27"/>
        <v>22.809742870380664</v>
      </c>
      <c r="M168" s="30">
        <f t="shared" si="28"/>
        <v>23.809742870380664</v>
      </c>
      <c r="N168" s="30">
        <f t="shared" si="29"/>
        <v>21.248856201595757</v>
      </c>
      <c r="O168" s="30">
        <f t="shared" si="30"/>
        <v>1.1205188008469174</v>
      </c>
      <c r="P168" s="30">
        <f t="shared" si="31"/>
        <v>0.71600220024568761</v>
      </c>
      <c r="Q168" s="30">
        <f t="shared" si="32"/>
        <v>-2.5211540401549026</v>
      </c>
    </row>
    <row r="169" spans="1:17" x14ac:dyDescent="0.5">
      <c r="A169" s="23" t="str">
        <f>'raw data'!A817</f>
        <v>2014-06</v>
      </c>
      <c r="B169" s="32">
        <f>'raw data'!U817</f>
        <v>1160398.3999999999</v>
      </c>
      <c r="C169" s="20">
        <f>'raw data'!V817</f>
        <v>611119.6</v>
      </c>
      <c r="D169" s="20">
        <f t="shared" si="23"/>
        <v>14063686.700000001</v>
      </c>
      <c r="E169" s="18">
        <f>'raw data'!AH817</f>
        <v>14674806.300000001</v>
      </c>
      <c r="F169" s="18">
        <f>SUM('raw data'!AI817:AK817)</f>
        <v>20337346.799999997</v>
      </c>
      <c r="G169" s="20">
        <f>'raw data'!AO817</f>
        <v>13098680.1</v>
      </c>
      <c r="H169" s="20">
        <f t="shared" si="24"/>
        <v>1576126.2000000011</v>
      </c>
      <c r="I169" s="20">
        <f t="shared" si="25"/>
        <v>-5662540.4999999963</v>
      </c>
      <c r="J169" s="30">
        <f t="shared" si="26"/>
        <v>33.278832490399587</v>
      </c>
      <c r="K169" s="30">
        <f t="shared" si="22"/>
        <v>4.1644134001278088E-2</v>
      </c>
      <c r="L169" s="30">
        <f t="shared" si="27"/>
        <v>23.01298583779673</v>
      </c>
      <c r="M169" s="30">
        <f t="shared" si="28"/>
        <v>24.012985837796727</v>
      </c>
      <c r="N169" s="30">
        <f t="shared" si="29"/>
        <v>21.433906063559409</v>
      </c>
      <c r="O169" s="30">
        <f t="shared" si="30"/>
        <v>1.1203271007435323</v>
      </c>
      <c r="P169" s="30">
        <f t="shared" si="31"/>
        <v>0.72156935928338517</v>
      </c>
      <c r="Q169" s="30">
        <f t="shared" si="32"/>
        <v>-2.591558735871295</v>
      </c>
    </row>
    <row r="170" spans="1:17" x14ac:dyDescent="0.5">
      <c r="A170" s="23" t="str">
        <f>'raw data'!A818</f>
        <v>2014-07</v>
      </c>
      <c r="B170" s="32">
        <f>'raw data'!U818</f>
        <v>1166195.8999999999</v>
      </c>
      <c r="C170" s="20">
        <f>'raw data'!V818</f>
        <v>613148.30000000005</v>
      </c>
      <c r="D170" s="20">
        <f t="shared" si="23"/>
        <v>14166102.399999999</v>
      </c>
      <c r="E170" s="18">
        <f>'raw data'!AH818</f>
        <v>14779250.699999999</v>
      </c>
      <c r="F170" s="18">
        <f>SUM('raw data'!AI818:AK818)</f>
        <v>20441603.799999997</v>
      </c>
      <c r="G170" s="20">
        <f>'raw data'!AO818</f>
        <v>13195484.5</v>
      </c>
      <c r="H170" s="20">
        <f t="shared" si="24"/>
        <v>1583766.1999999993</v>
      </c>
      <c r="I170" s="20">
        <f t="shared" si="25"/>
        <v>-5662353.0999999978</v>
      </c>
      <c r="J170" s="30">
        <f t="shared" si="26"/>
        <v>33.338759644281808</v>
      </c>
      <c r="K170" s="30">
        <f t="shared" si="22"/>
        <v>4.1487103267014755E-2</v>
      </c>
      <c r="L170" s="30">
        <f t="shared" si="27"/>
        <v>23.103876174817735</v>
      </c>
      <c r="M170" s="30">
        <f t="shared" si="28"/>
        <v>24.103876174817735</v>
      </c>
      <c r="N170" s="30">
        <f t="shared" si="29"/>
        <v>21.520869420986731</v>
      </c>
      <c r="O170" s="30">
        <f t="shared" si="30"/>
        <v>1.1200233458650191</v>
      </c>
      <c r="P170" s="30">
        <f t="shared" si="31"/>
        <v>0.72299858878978962</v>
      </c>
      <c r="Q170" s="30">
        <f t="shared" si="32"/>
        <v>-2.6100899112067042</v>
      </c>
    </row>
    <row r="171" spans="1:17" x14ac:dyDescent="0.5">
      <c r="A171" s="23" t="str">
        <f>'raw data'!A819</f>
        <v>2014-08</v>
      </c>
      <c r="B171" s="32">
        <f>'raw data'!U819</f>
        <v>1170320.1000000001</v>
      </c>
      <c r="C171" s="20">
        <f>'raw data'!V819</f>
        <v>615207.30000000005</v>
      </c>
      <c r="D171" s="20">
        <f t="shared" si="23"/>
        <v>14200757.699999999</v>
      </c>
      <c r="E171" s="18">
        <f>'raw data'!AH819</f>
        <v>14815965</v>
      </c>
      <c r="F171" s="18">
        <f>SUM('raw data'!AI819:AK819)</f>
        <v>20454655</v>
      </c>
      <c r="G171" s="20">
        <f>'raw data'!AO819</f>
        <v>13230834.800000001</v>
      </c>
      <c r="H171" s="20">
        <f t="shared" si="24"/>
        <v>1585130.1999999993</v>
      </c>
      <c r="I171" s="20">
        <f t="shared" si="25"/>
        <v>-5638690</v>
      </c>
      <c r="J171" s="30">
        <f t="shared" si="26"/>
        <v>33.24839448426571</v>
      </c>
      <c r="K171" s="30">
        <f t="shared" si="22"/>
        <v>4.1523268987204008E-2</v>
      </c>
      <c r="L171" s="30">
        <f t="shared" si="27"/>
        <v>23.082882306500586</v>
      </c>
      <c r="M171" s="30">
        <f t="shared" si="28"/>
        <v>24.082882306500586</v>
      </c>
      <c r="N171" s="30">
        <f t="shared" si="29"/>
        <v>21.506303322473578</v>
      </c>
      <c r="O171" s="30">
        <f t="shared" si="30"/>
        <v>1.1198057585905312</v>
      </c>
      <c r="P171" s="30">
        <f t="shared" si="31"/>
        <v>0.72433218746539607</v>
      </c>
      <c r="Q171" s="30">
        <f t="shared" si="32"/>
        <v>-2.6275544497037431</v>
      </c>
    </row>
    <row r="172" spans="1:17" x14ac:dyDescent="0.5">
      <c r="A172" s="23" t="str">
        <f>'raw data'!A820</f>
        <v>2014-09</v>
      </c>
      <c r="B172" s="32">
        <f>'raw data'!U820</f>
        <v>1175001.8</v>
      </c>
      <c r="C172" s="20">
        <f>'raw data'!V820</f>
        <v>617487.5</v>
      </c>
      <c r="D172" s="20">
        <f t="shared" si="23"/>
        <v>14323790.9</v>
      </c>
      <c r="E172" s="18">
        <f>'raw data'!AH820</f>
        <v>14941278.4</v>
      </c>
      <c r="F172" s="18">
        <f>SUM('raw data'!AI820:AK820)</f>
        <v>20659874.399999999</v>
      </c>
      <c r="G172" s="20">
        <f>'raw data'!AO820</f>
        <v>13344919.9</v>
      </c>
      <c r="H172" s="20">
        <f t="shared" si="24"/>
        <v>1596358.5</v>
      </c>
      <c r="I172" s="20">
        <f t="shared" si="25"/>
        <v>-5718595.9999999981</v>
      </c>
      <c r="J172" s="30">
        <f t="shared" si="26"/>
        <v>33.457963764448671</v>
      </c>
      <c r="K172" s="30">
        <f t="shared" si="22"/>
        <v>4.1327621604320013E-2</v>
      </c>
      <c r="L172" s="30">
        <f t="shared" si="27"/>
        <v>23.196892082835685</v>
      </c>
      <c r="M172" s="30">
        <f t="shared" si="28"/>
        <v>24.196892082835685</v>
      </c>
      <c r="N172" s="30">
        <f t="shared" si="29"/>
        <v>21.611643798457461</v>
      </c>
      <c r="O172" s="30">
        <f t="shared" si="30"/>
        <v>1.1196229360657308</v>
      </c>
      <c r="P172" s="30">
        <f t="shared" si="31"/>
        <v>0.72320277029370528</v>
      </c>
      <c r="Q172" s="30">
        <f t="shared" si="32"/>
        <v>-2.6127529204720887</v>
      </c>
    </row>
    <row r="173" spans="1:17" x14ac:dyDescent="0.5">
      <c r="A173" s="23" t="str">
        <f>'raw data'!A821</f>
        <v>2014-10</v>
      </c>
      <c r="B173" s="32">
        <f>'raw data'!U821</f>
        <v>1177566.3999999999</v>
      </c>
      <c r="C173" s="20">
        <f>'raw data'!V821</f>
        <v>618765.19999999995</v>
      </c>
      <c r="D173" s="20">
        <f t="shared" si="23"/>
        <v>14378181.9</v>
      </c>
      <c r="E173" s="18">
        <f>'raw data'!AH821</f>
        <v>14996947.1</v>
      </c>
      <c r="F173" s="18">
        <f>SUM('raw data'!AI821:AK821)</f>
        <v>20583648.800000001</v>
      </c>
      <c r="G173" s="20">
        <f>'raw data'!AO821</f>
        <v>13381522.6</v>
      </c>
      <c r="H173" s="20">
        <f t="shared" si="24"/>
        <v>1615424.5</v>
      </c>
      <c r="I173" s="20">
        <f t="shared" si="25"/>
        <v>-5586701.7000000011</v>
      </c>
      <c r="J173" s="30">
        <f t="shared" si="26"/>
        <v>33.265685917695443</v>
      </c>
      <c r="K173" s="30">
        <f t="shared" si="22"/>
        <v>4.1259410723666547E-2</v>
      </c>
      <c r="L173" s="30">
        <f t="shared" si="27"/>
        <v>23.236894867390735</v>
      </c>
      <c r="M173" s="30">
        <f t="shared" si="28"/>
        <v>24.236894867390735</v>
      </c>
      <c r="N173" s="30">
        <f t="shared" si="29"/>
        <v>21.626171930806709</v>
      </c>
      <c r="O173" s="30">
        <f t="shared" si="30"/>
        <v>1.120720529964206</v>
      </c>
      <c r="P173" s="30">
        <f t="shared" si="31"/>
        <v>0.72858545371217176</v>
      </c>
      <c r="Q173" s="30">
        <f t="shared" si="32"/>
        <v>-2.6844009050993356</v>
      </c>
    </row>
    <row r="174" spans="1:17" x14ac:dyDescent="0.5">
      <c r="A174" s="23" t="str">
        <f>'raw data'!A822</f>
        <v>2014-11</v>
      </c>
      <c r="B174" s="32">
        <f>'raw data'!U822</f>
        <v>1182551.6000000001</v>
      </c>
      <c r="C174" s="20">
        <f>'raw data'!V822</f>
        <v>621632.80000000005</v>
      </c>
      <c r="D174" s="20">
        <f t="shared" si="23"/>
        <v>14413594.1</v>
      </c>
      <c r="E174" s="18">
        <f>'raw data'!AH822</f>
        <v>15035226.9</v>
      </c>
      <c r="F174" s="18">
        <f>SUM('raw data'!AI822:AK822)</f>
        <v>20766320.200000003</v>
      </c>
      <c r="G174" s="20">
        <f>'raw data'!AO822</f>
        <v>13437479.300000001</v>
      </c>
      <c r="H174" s="20">
        <f t="shared" si="24"/>
        <v>1597747.5999999996</v>
      </c>
      <c r="I174" s="20">
        <f t="shared" si="25"/>
        <v>-5731093.3000000026</v>
      </c>
      <c r="J174" s="30">
        <f t="shared" si="26"/>
        <v>33.406088288777561</v>
      </c>
      <c r="K174" s="30">
        <f t="shared" si="22"/>
        <v>4.1345089378065858E-2</v>
      </c>
      <c r="L174" s="30">
        <f t="shared" si="27"/>
        <v>23.186669204070309</v>
      </c>
      <c r="M174" s="30">
        <f t="shared" si="28"/>
        <v>24.186669204070313</v>
      </c>
      <c r="N174" s="30">
        <f t="shared" si="29"/>
        <v>21.616425806360283</v>
      </c>
      <c r="O174" s="30">
        <f t="shared" si="30"/>
        <v>1.1189023301416359</v>
      </c>
      <c r="P174" s="30">
        <f t="shared" si="31"/>
        <v>0.7240197952837113</v>
      </c>
      <c r="Q174" s="30">
        <f t="shared" si="32"/>
        <v>-2.6234482869088858</v>
      </c>
    </row>
    <row r="175" spans="1:17" x14ac:dyDescent="0.5">
      <c r="A175" s="23" t="str">
        <f>'raw data'!A823</f>
        <v>2014-12</v>
      </c>
      <c r="B175" s="32">
        <f>'raw data'!U823</f>
        <v>1186716</v>
      </c>
      <c r="C175" s="20">
        <f>'raw data'!V823</f>
        <v>623451.6</v>
      </c>
      <c r="D175" s="20">
        <f t="shared" si="23"/>
        <v>14441742.300000001</v>
      </c>
      <c r="E175" s="18">
        <f>'raw data'!AH823</f>
        <v>15065193.9</v>
      </c>
      <c r="F175" s="18">
        <f>SUM('raw data'!AI823:AK823)</f>
        <v>20939650.199999999</v>
      </c>
      <c r="G175" s="20">
        <f>'raw data'!AO823</f>
        <v>13419516.6</v>
      </c>
      <c r="H175" s="20">
        <f t="shared" si="24"/>
        <v>1645677.3000000007</v>
      </c>
      <c r="I175" s="20">
        <f t="shared" si="25"/>
        <v>-5874456.2999999989</v>
      </c>
      <c r="J175" s="30">
        <f t="shared" si="26"/>
        <v>33.586649228264072</v>
      </c>
      <c r="K175" s="30">
        <f t="shared" si="22"/>
        <v>4.1383576218026637E-2</v>
      </c>
      <c r="L175" s="30">
        <f t="shared" si="27"/>
        <v>23.164175535037526</v>
      </c>
      <c r="M175" s="30">
        <f t="shared" si="28"/>
        <v>24.164175535037526</v>
      </c>
      <c r="N175" s="30">
        <f t="shared" si="29"/>
        <v>21.52455234696647</v>
      </c>
      <c r="O175" s="30">
        <f t="shared" si="30"/>
        <v>1.1226331282305655</v>
      </c>
      <c r="P175" s="30">
        <f t="shared" si="31"/>
        <v>0.7194577634348448</v>
      </c>
      <c r="Q175" s="30">
        <f t="shared" si="32"/>
        <v>-2.5645256566126813</v>
      </c>
    </row>
    <row r="176" spans="1:17" x14ac:dyDescent="0.5">
      <c r="A176" s="23" t="str">
        <f>'raw data'!A824</f>
        <v>2015-01</v>
      </c>
      <c r="B176" s="32">
        <f>'raw data'!U824</f>
        <v>1187227</v>
      </c>
      <c r="C176" s="20">
        <f>'raw data'!V824</f>
        <v>625665.4</v>
      </c>
      <c r="D176" s="20">
        <f t="shared" si="23"/>
        <v>14589627.1</v>
      </c>
      <c r="E176" s="18">
        <f>'raw data'!AH824</f>
        <v>15215292.5</v>
      </c>
      <c r="F176" s="18">
        <f>SUM('raw data'!AI824:AK824)</f>
        <v>21041308.200000003</v>
      </c>
      <c r="G176" s="20">
        <f>'raw data'!AO824</f>
        <v>13570480.800000001</v>
      </c>
      <c r="H176" s="20">
        <f t="shared" si="24"/>
        <v>1644811.6999999993</v>
      </c>
      <c r="I176" s="20">
        <f t="shared" si="25"/>
        <v>-5826015.700000003</v>
      </c>
      <c r="J176" s="30">
        <f t="shared" si="26"/>
        <v>33.630288969151884</v>
      </c>
      <c r="K176" s="30">
        <f t="shared" si="22"/>
        <v>4.1120826300250227E-2</v>
      </c>
      <c r="L176" s="30">
        <f t="shared" si="27"/>
        <v>23.318577469682676</v>
      </c>
      <c r="M176" s="30">
        <f t="shared" si="28"/>
        <v>24.318577469682676</v>
      </c>
      <c r="N176" s="30">
        <f t="shared" si="29"/>
        <v>21.689677581659463</v>
      </c>
      <c r="O176" s="30">
        <f t="shared" si="30"/>
        <v>1.1212051160339138</v>
      </c>
      <c r="P176" s="30">
        <f t="shared" si="31"/>
        <v>0.72311532892237174</v>
      </c>
      <c r="Q176" s="30">
        <f t="shared" si="32"/>
        <v>-2.611611997544049</v>
      </c>
    </row>
    <row r="177" spans="1:17" x14ac:dyDescent="0.5">
      <c r="A177" s="23" t="str">
        <f>'raw data'!A825</f>
        <v>2015-02</v>
      </c>
      <c r="B177" s="32">
        <f>'raw data'!U825</f>
        <v>1190670</v>
      </c>
      <c r="C177" s="20">
        <f>'raw data'!V825</f>
        <v>626879.1</v>
      </c>
      <c r="D177" s="20">
        <f t="shared" si="23"/>
        <v>14603396.5</v>
      </c>
      <c r="E177" s="18">
        <f>'raw data'!AH825</f>
        <v>15230275.6</v>
      </c>
      <c r="F177" s="18">
        <f>SUM('raw data'!AI825:AK825)</f>
        <v>21247578</v>
      </c>
      <c r="G177" s="20">
        <f>'raw data'!AO825</f>
        <v>13564347.199999999</v>
      </c>
      <c r="H177" s="20">
        <f t="shared" si="24"/>
        <v>1665928.4000000004</v>
      </c>
      <c r="I177" s="20">
        <f t="shared" si="25"/>
        <v>-6017302.4000000004</v>
      </c>
      <c r="J177" s="30">
        <f t="shared" si="26"/>
        <v>33.894219794534543</v>
      </c>
      <c r="K177" s="30">
        <f t="shared" si="22"/>
        <v>4.1160062789671381E-2</v>
      </c>
      <c r="L177" s="30">
        <f t="shared" si="27"/>
        <v>23.295395396018147</v>
      </c>
      <c r="M177" s="30">
        <f t="shared" si="28"/>
        <v>24.295395396018147</v>
      </c>
      <c r="N177" s="30">
        <f t="shared" si="29"/>
        <v>21.637899875749564</v>
      </c>
      <c r="O177" s="30">
        <f t="shared" si="30"/>
        <v>1.1228167028930076</v>
      </c>
      <c r="P177" s="30">
        <f t="shared" si="31"/>
        <v>0.71680055016152899</v>
      </c>
      <c r="Q177" s="30">
        <f t="shared" si="32"/>
        <v>-2.5310803060188563</v>
      </c>
    </row>
    <row r="178" spans="1:17" x14ac:dyDescent="0.5">
      <c r="A178" s="23" t="str">
        <f>'raw data'!A826</f>
        <v>2015-03</v>
      </c>
      <c r="B178" s="32">
        <f>'raw data'!U826</f>
        <v>1192900.5</v>
      </c>
      <c r="C178" s="20">
        <f>'raw data'!V826</f>
        <v>627253.30000000005</v>
      </c>
      <c r="D178" s="20">
        <f t="shared" si="23"/>
        <v>14722125.899999999</v>
      </c>
      <c r="E178" s="18">
        <f>'raw data'!AH826</f>
        <v>15349379.199999999</v>
      </c>
      <c r="F178" s="18">
        <f>SUM('raw data'!AI826:AK826)</f>
        <v>21355759.800000001</v>
      </c>
      <c r="G178" s="20">
        <f>'raw data'!AO826</f>
        <v>13703044.800000001</v>
      </c>
      <c r="H178" s="20">
        <f t="shared" si="24"/>
        <v>1646334.3999999985</v>
      </c>
      <c r="I178" s="20">
        <f t="shared" si="25"/>
        <v>-6006380.6000000015</v>
      </c>
      <c r="J178" s="30">
        <f t="shared" si="26"/>
        <v>34.046468627586336</v>
      </c>
      <c r="K178" s="30">
        <f t="shared" si="22"/>
        <v>4.086505987160706E-2</v>
      </c>
      <c r="L178" s="30">
        <f t="shared" si="27"/>
        <v>23.470782696559741</v>
      </c>
      <c r="M178" s="30">
        <f t="shared" si="28"/>
        <v>24.470782696559745</v>
      </c>
      <c r="N178" s="30">
        <f t="shared" si="29"/>
        <v>21.846110335330241</v>
      </c>
      <c r="O178" s="30">
        <f t="shared" si="30"/>
        <v>1.1201436924441783</v>
      </c>
      <c r="P178" s="30">
        <f t="shared" si="31"/>
        <v>0.71874657440190903</v>
      </c>
      <c r="Q178" s="30">
        <f t="shared" si="32"/>
        <v>-2.555512249756533</v>
      </c>
    </row>
    <row r="179" spans="1:17" x14ac:dyDescent="0.5">
      <c r="A179" s="23" t="str">
        <f>'raw data'!A827</f>
        <v>2015-04</v>
      </c>
      <c r="B179" s="32">
        <f>'raw data'!U827</f>
        <v>1202066.3999999999</v>
      </c>
      <c r="C179" s="20">
        <f>'raw data'!V827</f>
        <v>632028.69999999995</v>
      </c>
      <c r="D179" s="20">
        <f t="shared" si="23"/>
        <v>14754707.200000001</v>
      </c>
      <c r="E179" s="18">
        <f>'raw data'!AH827</f>
        <v>15386735.9</v>
      </c>
      <c r="F179" s="18">
        <f>SUM('raw data'!AI827:AK827)</f>
        <v>21353933.600000001</v>
      </c>
      <c r="G179" s="20">
        <f>'raw data'!AO827</f>
        <v>13729089.4</v>
      </c>
      <c r="H179" s="20">
        <f t="shared" si="24"/>
        <v>1657646.5</v>
      </c>
      <c r="I179" s="20">
        <f t="shared" si="25"/>
        <v>-5967197.7000000011</v>
      </c>
      <c r="J179" s="30">
        <f t="shared" si="26"/>
        <v>33.786335335721311</v>
      </c>
      <c r="K179" s="30">
        <f t="shared" si="22"/>
        <v>4.1076203823060348E-2</v>
      </c>
      <c r="L179" s="30">
        <f t="shared" si="27"/>
        <v>23.344995567448127</v>
      </c>
      <c r="M179" s="30">
        <f t="shared" si="28"/>
        <v>24.344995567448127</v>
      </c>
      <c r="N179" s="30">
        <f t="shared" si="29"/>
        <v>21.722256283614971</v>
      </c>
      <c r="O179" s="30">
        <f t="shared" si="30"/>
        <v>1.1207397265546251</v>
      </c>
      <c r="P179" s="30">
        <f t="shared" si="31"/>
        <v>0.72055744801978772</v>
      </c>
      <c r="Q179" s="30">
        <f t="shared" si="32"/>
        <v>-2.5785530618501205</v>
      </c>
    </row>
    <row r="180" spans="1:17" x14ac:dyDescent="0.5">
      <c r="A180" s="23" t="str">
        <f>'raw data'!A828</f>
        <v>2015-05</v>
      </c>
      <c r="B180" s="32">
        <f>'raw data'!U828</f>
        <v>1208463.2</v>
      </c>
      <c r="C180" s="20">
        <f>'raw data'!V828</f>
        <v>634533.80000000005</v>
      </c>
      <c r="D180" s="20">
        <f t="shared" si="23"/>
        <v>14718930.699999999</v>
      </c>
      <c r="E180" s="18">
        <f>'raw data'!AH828</f>
        <v>15353464.5</v>
      </c>
      <c r="F180" s="18">
        <f>SUM('raw data'!AI828:AK828)</f>
        <v>21411761.199999999</v>
      </c>
      <c r="G180" s="20">
        <f>'raw data'!AO828</f>
        <v>13686970.1</v>
      </c>
      <c r="H180" s="20">
        <f t="shared" si="24"/>
        <v>1666494.4000000004</v>
      </c>
      <c r="I180" s="20">
        <f t="shared" si="25"/>
        <v>-6058296.6999999993</v>
      </c>
      <c r="J180" s="30">
        <f t="shared" si="26"/>
        <v>33.744082978716023</v>
      </c>
      <c r="K180" s="30">
        <f t="shared" si="22"/>
        <v>4.1328379011785911E-2</v>
      </c>
      <c r="L180" s="30">
        <f t="shared" si="27"/>
        <v>23.196448636778683</v>
      </c>
      <c r="M180" s="30">
        <f t="shared" si="28"/>
        <v>24.196448636778687</v>
      </c>
      <c r="N180" s="30">
        <f t="shared" si="29"/>
        <v>21.570119826556123</v>
      </c>
      <c r="O180" s="30">
        <f t="shared" si="30"/>
        <v>1.1217577292727483</v>
      </c>
      <c r="P180" s="30">
        <f t="shared" si="31"/>
        <v>0.71705752537535306</v>
      </c>
      <c r="Q180" s="30">
        <f t="shared" si="32"/>
        <v>-2.5342873187442274</v>
      </c>
    </row>
    <row r="181" spans="1:17" x14ac:dyDescent="0.5">
      <c r="A181" s="23" t="str">
        <f>'raw data'!A829</f>
        <v>2015-06</v>
      </c>
      <c r="B181" s="32">
        <f>'raw data'!U829</f>
        <v>1214146.2</v>
      </c>
      <c r="C181" s="20">
        <f>'raw data'!V829</f>
        <v>637281.30000000005</v>
      </c>
      <c r="D181" s="20">
        <f t="shared" si="23"/>
        <v>14698187.399999999</v>
      </c>
      <c r="E181" s="18">
        <f>'raw data'!AH829</f>
        <v>15335468.699999999</v>
      </c>
      <c r="F181" s="18">
        <f>SUM('raw data'!AI829:AK829)</f>
        <v>21501260.600000001</v>
      </c>
      <c r="G181" s="20">
        <f>'raw data'!AO829</f>
        <v>13671574.699999999</v>
      </c>
      <c r="H181" s="20">
        <f t="shared" si="24"/>
        <v>1663894</v>
      </c>
      <c r="I181" s="20">
        <f t="shared" si="25"/>
        <v>-6165791.9000000022</v>
      </c>
      <c r="J181" s="30">
        <f t="shared" si="26"/>
        <v>33.739042083927458</v>
      </c>
      <c r="K181" s="30">
        <f t="shared" si="22"/>
        <v>4.1556036692898736E-2</v>
      </c>
      <c r="L181" s="30">
        <f t="shared" si="27"/>
        <v>23.063892507123615</v>
      </c>
      <c r="M181" s="30">
        <f t="shared" si="28"/>
        <v>24.063892507123619</v>
      </c>
      <c r="N181" s="30">
        <f t="shared" si="29"/>
        <v>21.452967002169995</v>
      </c>
      <c r="O181" s="30">
        <f t="shared" si="30"/>
        <v>1.1217046343608099</v>
      </c>
      <c r="P181" s="30">
        <f t="shared" si="31"/>
        <v>0.71323579511426405</v>
      </c>
      <c r="Q181" s="30">
        <f t="shared" si="32"/>
        <v>-2.4871855795198008</v>
      </c>
    </row>
    <row r="182" spans="1:17" x14ac:dyDescent="0.5">
      <c r="A182" s="23" t="str">
        <f>'raw data'!A830</f>
        <v>2015-07</v>
      </c>
      <c r="B182" s="32">
        <f>'raw data'!U830</f>
        <v>1221354.2</v>
      </c>
      <c r="C182" s="20">
        <f>'raw data'!V830</f>
        <v>641110.6</v>
      </c>
      <c r="D182" s="20">
        <f t="shared" si="23"/>
        <v>14730973.1</v>
      </c>
      <c r="E182" s="18">
        <f>'raw data'!AH830</f>
        <v>15372083.699999999</v>
      </c>
      <c r="F182" s="18">
        <f>SUM('raw data'!AI830:AK830)</f>
        <v>21567470.399999999</v>
      </c>
      <c r="G182" s="20">
        <f>'raw data'!AO830</f>
        <v>13695041.9</v>
      </c>
      <c r="H182" s="20">
        <f t="shared" si="24"/>
        <v>1677041.7999999989</v>
      </c>
      <c r="I182" s="20">
        <f t="shared" si="25"/>
        <v>-6195386.6999999993</v>
      </c>
      <c r="J182" s="30">
        <f t="shared" si="26"/>
        <v>33.64079520756637</v>
      </c>
      <c r="K182" s="30">
        <f t="shared" si="22"/>
        <v>4.1706161149773081E-2</v>
      </c>
      <c r="L182" s="30">
        <f t="shared" si="27"/>
        <v>22.977272720182757</v>
      </c>
      <c r="M182" s="30">
        <f t="shared" si="28"/>
        <v>23.977272720182757</v>
      </c>
      <c r="N182" s="30">
        <f t="shared" si="29"/>
        <v>21.361434204956215</v>
      </c>
      <c r="O182" s="30">
        <f t="shared" si="30"/>
        <v>1.1224561277172871</v>
      </c>
      <c r="P182" s="30">
        <f t="shared" si="31"/>
        <v>0.71274393403131786</v>
      </c>
      <c r="Q182" s="30">
        <f t="shared" si="32"/>
        <v>-2.4812145624420832</v>
      </c>
    </row>
    <row r="183" spans="1:17" x14ac:dyDescent="0.5">
      <c r="A183" s="23" t="str">
        <f>'raw data'!A831</f>
        <v>2015-08</v>
      </c>
      <c r="B183" s="32">
        <f>'raw data'!U831</f>
        <v>1228522</v>
      </c>
      <c r="C183" s="20">
        <f>'raw data'!V831</f>
        <v>645291.4</v>
      </c>
      <c r="D183" s="20">
        <f t="shared" si="23"/>
        <v>14781968.4</v>
      </c>
      <c r="E183" s="18">
        <f>'raw data'!AH831</f>
        <v>15427259.800000001</v>
      </c>
      <c r="F183" s="18">
        <f>SUM('raw data'!AI831:AK831)</f>
        <v>21676144.700000003</v>
      </c>
      <c r="G183" s="20">
        <f>'raw data'!AO831</f>
        <v>13748544.9</v>
      </c>
      <c r="H183" s="20">
        <f t="shared" si="24"/>
        <v>1678714.9000000004</v>
      </c>
      <c r="I183" s="20">
        <f t="shared" si="25"/>
        <v>-6248884.9000000022</v>
      </c>
      <c r="J183" s="30">
        <f t="shared" si="26"/>
        <v>33.591249937625079</v>
      </c>
      <c r="K183" s="30">
        <f t="shared" si="22"/>
        <v>4.1827998514681136E-2</v>
      </c>
      <c r="L183" s="30">
        <f t="shared" si="27"/>
        <v>22.907431278334098</v>
      </c>
      <c r="M183" s="30">
        <f t="shared" si="28"/>
        <v>23.907431278334098</v>
      </c>
      <c r="N183" s="30">
        <f t="shared" si="29"/>
        <v>21.305947824502233</v>
      </c>
      <c r="O183" s="30">
        <f t="shared" si="30"/>
        <v>1.1221012777868589</v>
      </c>
      <c r="P183" s="30">
        <f t="shared" si="31"/>
        <v>0.71171603684671836</v>
      </c>
      <c r="Q183" s="30">
        <f t="shared" si="32"/>
        <v>-2.4688020417850862</v>
      </c>
    </row>
    <row r="184" spans="1:17" x14ac:dyDescent="0.5">
      <c r="A184" s="23" t="str">
        <f>'raw data'!A832</f>
        <v>2015-09</v>
      </c>
      <c r="B184" s="32">
        <f>'raw data'!U832</f>
        <v>1236595.8999999999</v>
      </c>
      <c r="C184" s="20">
        <f>'raw data'!V832</f>
        <v>649362.5</v>
      </c>
      <c r="D184" s="20">
        <f t="shared" si="23"/>
        <v>14760760.800000001</v>
      </c>
      <c r="E184" s="18">
        <f>'raw data'!AH832</f>
        <v>15410123.300000001</v>
      </c>
      <c r="F184" s="18">
        <f>SUM('raw data'!AI832:AK832)</f>
        <v>21727930.699999999</v>
      </c>
      <c r="G184" s="20">
        <f>'raw data'!AO832</f>
        <v>13725749.6</v>
      </c>
      <c r="H184" s="20">
        <f t="shared" si="24"/>
        <v>1684373.7000000011</v>
      </c>
      <c r="I184" s="20">
        <f t="shared" si="25"/>
        <v>-6317807.3999999985</v>
      </c>
      <c r="J184" s="30">
        <f t="shared" si="26"/>
        <v>33.46040262565208</v>
      </c>
      <c r="K184" s="30">
        <f t="shared" si="22"/>
        <v>4.2138695931135083E-2</v>
      </c>
      <c r="L184" s="30">
        <f t="shared" si="27"/>
        <v>22.731156788388613</v>
      </c>
      <c r="M184" s="30">
        <f t="shared" si="28"/>
        <v>23.731156788388613</v>
      </c>
      <c r="N184" s="30">
        <f t="shared" si="29"/>
        <v>21.137268628847522</v>
      </c>
      <c r="O184" s="30">
        <f t="shared" si="30"/>
        <v>1.1227163360170873</v>
      </c>
      <c r="P184" s="30">
        <f t="shared" si="31"/>
        <v>0.70923105898897221</v>
      </c>
      <c r="Q184" s="30">
        <f t="shared" si="32"/>
        <v>-2.4391568663520835</v>
      </c>
    </row>
    <row r="185" spans="1:17" x14ac:dyDescent="0.5">
      <c r="A185" s="23" t="str">
        <f>'raw data'!A833</f>
        <v>2015-10</v>
      </c>
      <c r="B185" s="32">
        <f>'raw data'!U833</f>
        <v>1244809.5</v>
      </c>
      <c r="C185" s="20">
        <f>'raw data'!V833</f>
        <v>653260.6</v>
      </c>
      <c r="D185" s="20">
        <f t="shared" si="23"/>
        <v>14964029.5</v>
      </c>
      <c r="E185" s="18">
        <f>'raw data'!AH833</f>
        <v>15617290.1</v>
      </c>
      <c r="F185" s="18">
        <f>SUM('raw data'!AI833:AK833)</f>
        <v>21838149.799999997</v>
      </c>
      <c r="G185" s="20">
        <f>'raw data'!AO833</f>
        <v>13915124.4</v>
      </c>
      <c r="H185" s="20">
        <f t="shared" si="24"/>
        <v>1702165.6999999993</v>
      </c>
      <c r="I185" s="20">
        <f t="shared" si="25"/>
        <v>-6220859.6999999974</v>
      </c>
      <c r="J185" s="30">
        <f t="shared" si="26"/>
        <v>33.429461075717711</v>
      </c>
      <c r="K185" s="30">
        <f t="shared" si="22"/>
        <v>4.1829318391159297E-2</v>
      </c>
      <c r="L185" s="30">
        <f t="shared" si="27"/>
        <v>22.906676906582152</v>
      </c>
      <c r="M185" s="30">
        <f t="shared" si="28"/>
        <v>23.906676906582152</v>
      </c>
      <c r="N185" s="30">
        <f t="shared" si="29"/>
        <v>21.301031165816521</v>
      </c>
      <c r="O185" s="30">
        <f t="shared" si="30"/>
        <v>1.1223248640163073</v>
      </c>
      <c r="P185" s="30">
        <f t="shared" si="31"/>
        <v>0.71513796924316375</v>
      </c>
      <c r="Q185" s="30">
        <f t="shared" si="32"/>
        <v>-2.510471358162925</v>
      </c>
    </row>
    <row r="186" spans="1:17" x14ac:dyDescent="0.5">
      <c r="A186" s="23" t="str">
        <f>'raw data'!A834</f>
        <v>2015-11</v>
      </c>
      <c r="B186" s="32">
        <f>'raw data'!U834</f>
        <v>1251138.2</v>
      </c>
      <c r="C186" s="20">
        <f>'raw data'!V834</f>
        <v>656046.6</v>
      </c>
      <c r="D186" s="20">
        <f t="shared" si="23"/>
        <v>14930575.4</v>
      </c>
      <c r="E186" s="18">
        <f>'raw data'!AH834</f>
        <v>15586622</v>
      </c>
      <c r="F186" s="18">
        <f>SUM('raw data'!AI834:AK834)</f>
        <v>21915188.100000001</v>
      </c>
      <c r="G186" s="20">
        <f>'raw data'!AO834</f>
        <v>13898962.9</v>
      </c>
      <c r="H186" s="20">
        <f t="shared" si="24"/>
        <v>1687659.0999999996</v>
      </c>
      <c r="I186" s="20">
        <f t="shared" si="25"/>
        <v>-6328566.1000000015</v>
      </c>
      <c r="J186" s="30">
        <f t="shared" si="26"/>
        <v>33.404925961052157</v>
      </c>
      <c r="K186" s="30">
        <f t="shared" si="22"/>
        <v>4.2090364416356538E-2</v>
      </c>
      <c r="L186" s="30">
        <f t="shared" si="27"/>
        <v>22.758406796102594</v>
      </c>
      <c r="M186" s="30">
        <f t="shared" si="28"/>
        <v>23.758406796102594</v>
      </c>
      <c r="N186" s="30">
        <f t="shared" si="29"/>
        <v>21.185938468395388</v>
      </c>
      <c r="O186" s="30">
        <f t="shared" si="30"/>
        <v>1.1214233833230822</v>
      </c>
      <c r="P186" s="30">
        <f t="shared" si="31"/>
        <v>0.71122465063395912</v>
      </c>
      <c r="Q186" s="30">
        <f t="shared" si="32"/>
        <v>-2.4628994552178249</v>
      </c>
    </row>
    <row r="187" spans="1:17" x14ac:dyDescent="0.5">
      <c r="A187" s="23" t="str">
        <f>'raw data'!A835</f>
        <v>2015-12</v>
      </c>
      <c r="B187" s="32">
        <f>'raw data'!U835</f>
        <v>1258953.3999999999</v>
      </c>
      <c r="C187" s="20">
        <f>'raw data'!V835</f>
        <v>658906.19999999995</v>
      </c>
      <c r="D187" s="20">
        <f t="shared" si="23"/>
        <v>14918650.600000001</v>
      </c>
      <c r="E187" s="18">
        <f>'raw data'!AH835</f>
        <v>15577556.800000001</v>
      </c>
      <c r="F187" s="18">
        <f>SUM('raw data'!AI835:AK835)</f>
        <v>21849260.600000001</v>
      </c>
      <c r="G187" s="20">
        <f>'raw data'!AO835</f>
        <v>13850134.4</v>
      </c>
      <c r="H187" s="20">
        <f t="shared" si="24"/>
        <v>1727422.4000000004</v>
      </c>
      <c r="I187" s="20">
        <f t="shared" si="25"/>
        <v>-6271703.8000000007</v>
      </c>
      <c r="J187" s="30">
        <f t="shared" si="26"/>
        <v>33.159895293138845</v>
      </c>
      <c r="K187" s="30">
        <f t="shared" si="22"/>
        <v>4.2298430264751143E-2</v>
      </c>
      <c r="L187" s="30">
        <f t="shared" si="27"/>
        <v>22.641539266135304</v>
      </c>
      <c r="M187" s="30">
        <f t="shared" si="28"/>
        <v>23.641539266135304</v>
      </c>
      <c r="N187" s="30">
        <f t="shared" si="29"/>
        <v>21.019887808006665</v>
      </c>
      <c r="O187" s="30">
        <f t="shared" si="30"/>
        <v>1.1247224286863238</v>
      </c>
      <c r="P187" s="30">
        <f t="shared" si="31"/>
        <v>0.71295578762056599</v>
      </c>
      <c r="Q187" s="30">
        <f t="shared" si="32"/>
        <v>-2.4837838802272518</v>
      </c>
    </row>
    <row r="188" spans="1:17" x14ac:dyDescent="0.5">
      <c r="A188" s="23" t="str">
        <f>'raw data'!A836</f>
        <v>2016-01</v>
      </c>
      <c r="B188" s="32">
        <f>'raw data'!U836</f>
        <v>1268405.8</v>
      </c>
      <c r="C188" s="20">
        <f>'raw data'!V836</f>
        <v>663842.30000000005</v>
      </c>
      <c r="D188" s="20">
        <f t="shared" si="23"/>
        <v>14992761.699999999</v>
      </c>
      <c r="E188" s="18">
        <f>'raw data'!AH836</f>
        <v>15656604</v>
      </c>
      <c r="F188" s="18">
        <f>SUM('raw data'!AI836:AK836)</f>
        <v>21920901.399999999</v>
      </c>
      <c r="G188" s="20">
        <f>'raw data'!AO836</f>
        <v>13935222.199999999</v>
      </c>
      <c r="H188" s="20">
        <f t="shared" si="24"/>
        <v>1721381.8000000007</v>
      </c>
      <c r="I188" s="20">
        <f t="shared" si="25"/>
        <v>-6264297.3999999985</v>
      </c>
      <c r="J188" s="30">
        <f t="shared" si="26"/>
        <v>33.021248269355532</v>
      </c>
      <c r="K188" s="30">
        <f t="shared" si="22"/>
        <v>4.2400146289706252E-2</v>
      </c>
      <c r="L188" s="30">
        <f t="shared" si="27"/>
        <v>22.584824287334506</v>
      </c>
      <c r="M188" s="30">
        <f t="shared" si="28"/>
        <v>23.584824287334506</v>
      </c>
      <c r="N188" s="30">
        <f t="shared" si="29"/>
        <v>20.991765966103696</v>
      </c>
      <c r="O188" s="30">
        <f t="shared" si="30"/>
        <v>1.1235274023832933</v>
      </c>
      <c r="P188" s="30">
        <f t="shared" si="31"/>
        <v>0.71423176056072224</v>
      </c>
      <c r="Q188" s="30">
        <f t="shared" si="32"/>
        <v>-2.4993391916545984</v>
      </c>
    </row>
    <row r="189" spans="1:17" x14ac:dyDescent="0.5">
      <c r="A189" s="23" t="str">
        <f>'raw data'!A837</f>
        <v>2016-02</v>
      </c>
      <c r="B189" s="32">
        <f>'raw data'!U837</f>
        <v>1273532.7</v>
      </c>
      <c r="C189" s="20">
        <f>'raw data'!V837</f>
        <v>664930.9</v>
      </c>
      <c r="D189" s="20">
        <f t="shared" si="23"/>
        <v>15049458.6</v>
      </c>
      <c r="E189" s="18">
        <f>'raw data'!AH837</f>
        <v>15714389.5</v>
      </c>
      <c r="F189" s="18">
        <f>SUM('raw data'!AI837:AK837)</f>
        <v>22045350.5</v>
      </c>
      <c r="G189" s="20">
        <f>'raw data'!AO837</f>
        <v>13970348.6</v>
      </c>
      <c r="H189" s="20">
        <f t="shared" si="24"/>
        <v>1744040.9000000004</v>
      </c>
      <c r="I189" s="20">
        <f t="shared" si="25"/>
        <v>-6330961</v>
      </c>
      <c r="J189" s="30">
        <f t="shared" si="26"/>
        <v>33.154348068348156</v>
      </c>
      <c r="K189" s="30">
        <f t="shared" si="22"/>
        <v>4.2313505083986881E-2</v>
      </c>
      <c r="L189" s="30">
        <f t="shared" si="27"/>
        <v>22.633116614072229</v>
      </c>
      <c r="M189" s="30">
        <f t="shared" si="28"/>
        <v>23.633116614072229</v>
      </c>
      <c r="N189" s="30">
        <f t="shared" si="29"/>
        <v>21.010226175381529</v>
      </c>
      <c r="O189" s="30">
        <f t="shared" si="30"/>
        <v>1.1248387531288948</v>
      </c>
      <c r="P189" s="30">
        <f t="shared" si="31"/>
        <v>0.71282103226256255</v>
      </c>
      <c r="Q189" s="30">
        <f t="shared" si="32"/>
        <v>-2.4821491555547412</v>
      </c>
    </row>
    <row r="190" spans="1:17" x14ac:dyDescent="0.5">
      <c r="A190" s="23" t="str">
        <f>'raw data'!A838</f>
        <v>2016-03</v>
      </c>
      <c r="B190" s="32">
        <f>'raw data'!U838</f>
        <v>1284104.7</v>
      </c>
      <c r="C190" s="20">
        <f>'raw data'!V838</f>
        <v>671189.7</v>
      </c>
      <c r="D190" s="20">
        <f t="shared" si="23"/>
        <v>15060246.4</v>
      </c>
      <c r="E190" s="18">
        <f>'raw data'!AH838</f>
        <v>15731436.1</v>
      </c>
      <c r="F190" s="18">
        <f>SUM('raw data'!AI838:AK838)</f>
        <v>22181411.399999999</v>
      </c>
      <c r="G190" s="20">
        <f>'raw data'!AO838</f>
        <v>14007314.699999999</v>
      </c>
      <c r="H190" s="20">
        <f t="shared" si="24"/>
        <v>1724121.4000000004</v>
      </c>
      <c r="I190" s="20">
        <f t="shared" si="25"/>
        <v>-6449975.2999999989</v>
      </c>
      <c r="J190" s="30">
        <f t="shared" si="26"/>
        <v>33.047901956779135</v>
      </c>
      <c r="K190" s="30">
        <f t="shared" si="22"/>
        <v>4.2665507187865701E-2</v>
      </c>
      <c r="L190" s="30">
        <f t="shared" si="27"/>
        <v>22.438136938037044</v>
      </c>
      <c r="M190" s="30">
        <f t="shared" si="28"/>
        <v>23.43813693803704</v>
      </c>
      <c r="N190" s="30">
        <f t="shared" si="29"/>
        <v>20.86938267974017</v>
      </c>
      <c r="O190" s="30">
        <f t="shared" si="30"/>
        <v>1.1230872181375351</v>
      </c>
      <c r="P190" s="30">
        <f t="shared" si="31"/>
        <v>0.70921709247049991</v>
      </c>
      <c r="Q190" s="30">
        <f t="shared" si="32"/>
        <v>-2.4389916810999264</v>
      </c>
    </row>
    <row r="191" spans="1:17" x14ac:dyDescent="0.5">
      <c r="A191" s="23" t="str">
        <f>'raw data'!A839</f>
        <v>2016-04</v>
      </c>
      <c r="B191" s="32">
        <f>'raw data'!U839</f>
        <v>1291793.6000000001</v>
      </c>
      <c r="C191" s="20">
        <f>'raw data'!V839</f>
        <v>675028</v>
      </c>
      <c r="D191" s="20">
        <f t="shared" si="23"/>
        <v>15177783.699999999</v>
      </c>
      <c r="E191" s="18">
        <f>'raw data'!AH839</f>
        <v>15852811.699999999</v>
      </c>
      <c r="F191" s="18">
        <f>SUM('raw data'!AI839:AK839)</f>
        <v>22308990.899999999</v>
      </c>
      <c r="G191" s="20">
        <f>'raw data'!AO839</f>
        <v>14130097.1</v>
      </c>
      <c r="H191" s="20">
        <f t="shared" si="24"/>
        <v>1722714.5999999996</v>
      </c>
      <c r="I191" s="20">
        <f t="shared" si="25"/>
        <v>-6456179.1999999993</v>
      </c>
      <c r="J191" s="30">
        <f t="shared" si="26"/>
        <v>33.048985967989474</v>
      </c>
      <c r="K191" s="30">
        <f t="shared" si="22"/>
        <v>4.2580963728976864E-2</v>
      </c>
      <c r="L191" s="30">
        <f t="shared" si="27"/>
        <v>22.484672783943775</v>
      </c>
      <c r="M191" s="30">
        <f t="shared" si="28"/>
        <v>23.484672783943775</v>
      </c>
      <c r="N191" s="30">
        <f t="shared" si="29"/>
        <v>20.932608869558003</v>
      </c>
      <c r="O191" s="30">
        <f t="shared" si="30"/>
        <v>1.1219181006194217</v>
      </c>
      <c r="P191" s="30">
        <f t="shared" si="31"/>
        <v>0.71060191700557829</v>
      </c>
      <c r="Q191" s="30">
        <f t="shared" si="32"/>
        <v>-2.4554479064025982</v>
      </c>
    </row>
    <row r="192" spans="1:17" x14ac:dyDescent="0.5">
      <c r="A192" s="23" t="str">
        <f>'raw data'!A840</f>
        <v>2016-05</v>
      </c>
      <c r="B192" s="32">
        <f>'raw data'!U840</f>
        <v>1299394.5</v>
      </c>
      <c r="C192" s="20">
        <f>'raw data'!V840</f>
        <v>678397.8</v>
      </c>
      <c r="D192" s="20">
        <f t="shared" si="23"/>
        <v>15228148</v>
      </c>
      <c r="E192" s="18">
        <f>'raw data'!AH840</f>
        <v>15906545.800000001</v>
      </c>
      <c r="F192" s="18">
        <f>SUM('raw data'!AI840:AK840)</f>
        <v>22388972.100000001</v>
      </c>
      <c r="G192" s="20">
        <f>'raw data'!AO840</f>
        <v>14171031.4</v>
      </c>
      <c r="H192" s="20">
        <f t="shared" si="24"/>
        <v>1735514.4000000004</v>
      </c>
      <c r="I192" s="20">
        <f t="shared" si="25"/>
        <v>-6482426.3000000007</v>
      </c>
      <c r="J192" s="30">
        <f t="shared" si="26"/>
        <v>33.002719201035141</v>
      </c>
      <c r="K192" s="30">
        <f t="shared" si="22"/>
        <v>4.2648970337733537E-2</v>
      </c>
      <c r="L192" s="30">
        <f t="shared" si="27"/>
        <v>22.447224917297785</v>
      </c>
      <c r="M192" s="30">
        <f t="shared" si="28"/>
        <v>23.447224917297785</v>
      </c>
      <c r="N192" s="30">
        <f t="shared" si="29"/>
        <v>20.888970158806529</v>
      </c>
      <c r="O192" s="30">
        <f t="shared" si="30"/>
        <v>1.1224691662174993</v>
      </c>
      <c r="P192" s="30">
        <f t="shared" si="31"/>
        <v>0.71046342498233761</v>
      </c>
      <c r="Q192" s="30">
        <f t="shared" si="32"/>
        <v>-2.4537950859541588</v>
      </c>
    </row>
    <row r="193" spans="1:17" x14ac:dyDescent="0.5">
      <c r="A193" s="23" t="str">
        <f>'raw data'!A841</f>
        <v>2016-06</v>
      </c>
      <c r="B193" s="32">
        <f>'raw data'!U841</f>
        <v>1312688.8999999999</v>
      </c>
      <c r="C193" s="20">
        <f>'raw data'!V841</f>
        <v>687848.3</v>
      </c>
      <c r="D193" s="20">
        <f t="shared" si="23"/>
        <v>15273573.399999999</v>
      </c>
      <c r="E193" s="18">
        <f>'raw data'!AH841</f>
        <v>15961421.699999999</v>
      </c>
      <c r="F193" s="18">
        <f>SUM('raw data'!AI841:AK841)</f>
        <v>22537820.399999999</v>
      </c>
      <c r="G193" s="20">
        <f>'raw data'!AO841</f>
        <v>14222387.4</v>
      </c>
      <c r="H193" s="20">
        <f t="shared" si="24"/>
        <v>1739034.2999999989</v>
      </c>
      <c r="I193" s="20">
        <f t="shared" si="25"/>
        <v>-6576398.6999999993</v>
      </c>
      <c r="J193" s="30">
        <f t="shared" si="26"/>
        <v>32.765684526660891</v>
      </c>
      <c r="K193" s="30">
        <f t="shared" si="22"/>
        <v>4.3094425604957236E-2</v>
      </c>
      <c r="L193" s="30">
        <f t="shared" si="27"/>
        <v>22.204857379163396</v>
      </c>
      <c r="M193" s="30">
        <f t="shared" si="28"/>
        <v>23.204857379163396</v>
      </c>
      <c r="N193" s="30">
        <f t="shared" si="29"/>
        <v>20.676633786839336</v>
      </c>
      <c r="O193" s="30">
        <f t="shared" si="30"/>
        <v>1.1222744291158879</v>
      </c>
      <c r="P193" s="30">
        <f t="shared" si="31"/>
        <v>0.70820609165915616</v>
      </c>
      <c r="Q193" s="30">
        <f t="shared" si="32"/>
        <v>-2.4270763419498884</v>
      </c>
    </row>
    <row r="194" spans="1:17" x14ac:dyDescent="0.5">
      <c r="A194" s="23" t="str">
        <f>'raw data'!A842</f>
        <v>2016-07</v>
      </c>
      <c r="B194" s="32">
        <f>'raw data'!U842</f>
        <v>1325892.6000000001</v>
      </c>
      <c r="C194" s="20">
        <f>'raw data'!V842</f>
        <v>697186.4</v>
      </c>
      <c r="D194" s="20">
        <f t="shared" si="23"/>
        <v>15332708.199999999</v>
      </c>
      <c r="E194" s="18">
        <f>'raw data'!AH842</f>
        <v>16029894.6</v>
      </c>
      <c r="F194" s="18">
        <f>SUM('raw data'!AI842:AK842)</f>
        <v>22573314.399999999</v>
      </c>
      <c r="G194" s="20">
        <f>'raw data'!AO842</f>
        <v>14272838.1</v>
      </c>
      <c r="H194" s="20">
        <f t="shared" si="24"/>
        <v>1757056.5</v>
      </c>
      <c r="I194" s="20">
        <f t="shared" si="25"/>
        <v>-6543419.7999999989</v>
      </c>
      <c r="J194" s="30">
        <f t="shared" si="26"/>
        <v>32.377731981002498</v>
      </c>
      <c r="K194" s="30">
        <f t="shared" ref="K194:K257" si="33">C194/E194</f>
        <v>4.3492887345622351E-2</v>
      </c>
      <c r="L194" s="30">
        <f t="shared" si="27"/>
        <v>21.992265196222988</v>
      </c>
      <c r="M194" s="30">
        <f t="shared" si="28"/>
        <v>22.992265196222988</v>
      </c>
      <c r="N194" s="30">
        <f t="shared" si="29"/>
        <v>20.472054675765332</v>
      </c>
      <c r="O194" s="30">
        <f t="shared" si="30"/>
        <v>1.1231049135210187</v>
      </c>
      <c r="P194" s="30">
        <f t="shared" si="31"/>
        <v>0.71012587323020671</v>
      </c>
      <c r="Q194" s="30">
        <f t="shared" si="32"/>
        <v>-2.4497732210303855</v>
      </c>
    </row>
    <row r="195" spans="1:17" x14ac:dyDescent="0.5">
      <c r="A195" s="23" t="str">
        <f>'raw data'!A843</f>
        <v>2016-08</v>
      </c>
      <c r="B195" s="32">
        <f>'raw data'!U843</f>
        <v>1333441.8999999999</v>
      </c>
      <c r="C195" s="20">
        <f>'raw data'!V843</f>
        <v>700233.5</v>
      </c>
      <c r="D195" s="20">
        <f t="shared" ref="D195:D258" si="34">E195-C195</f>
        <v>15349599.9</v>
      </c>
      <c r="E195" s="18">
        <f>'raw data'!AH843</f>
        <v>16049833.4</v>
      </c>
      <c r="F195" s="18">
        <f>SUM('raw data'!AI843:AK843)</f>
        <v>22738875.200000003</v>
      </c>
      <c r="G195" s="20">
        <f>'raw data'!AO843</f>
        <v>14300351.800000001</v>
      </c>
      <c r="H195" s="20">
        <f t="shared" ref="H195:H258" si="35">E195-G195</f>
        <v>1749481.5999999996</v>
      </c>
      <c r="I195" s="20">
        <f t="shared" ref="I195:I258" si="36">E195-F195</f>
        <v>-6689041.8000000026</v>
      </c>
      <c r="J195" s="30">
        <f t="shared" ref="J195:J258" si="37">F195/C195</f>
        <v>32.473275271748641</v>
      </c>
      <c r="K195" s="30">
        <f t="shared" si="33"/>
        <v>4.3628708320424057E-2</v>
      </c>
      <c r="L195" s="30">
        <f t="shared" ref="L195:L258" si="38">D195/C195</f>
        <v>21.920687742017485</v>
      </c>
      <c r="M195" s="30">
        <f t="shared" ref="M195:M258" si="39">E195/C195</f>
        <v>22.920687742017485</v>
      </c>
      <c r="N195" s="30">
        <f t="shared" ref="N195:N258" si="40">G195/C195</f>
        <v>20.422261716984409</v>
      </c>
      <c r="O195" s="30">
        <f t="shared" ref="O195:O258" si="41">E195/G195</f>
        <v>1.1223383609345889</v>
      </c>
      <c r="P195" s="30">
        <f t="shared" ref="P195:P258" si="42">E195/F195</f>
        <v>0.70583233598115702</v>
      </c>
      <c r="Q195" s="30">
        <f t="shared" ref="Q195:Q258" si="43">E195/I195</f>
        <v>-2.3994219022521275</v>
      </c>
    </row>
    <row r="196" spans="1:17" x14ac:dyDescent="0.5">
      <c r="A196" s="23" t="str">
        <f>'raw data'!A844</f>
        <v>2016-09</v>
      </c>
      <c r="B196" s="32">
        <f>'raw data'!U844</f>
        <v>1337581.3</v>
      </c>
      <c r="C196" s="20">
        <f>'raw data'!V844</f>
        <v>703096.4</v>
      </c>
      <c r="D196" s="20">
        <f t="shared" si="34"/>
        <v>15367387.4</v>
      </c>
      <c r="E196" s="18">
        <f>'raw data'!AH844</f>
        <v>16070483.800000001</v>
      </c>
      <c r="F196" s="18">
        <f>SUM('raw data'!AI844:AK844)</f>
        <v>22751321.799999997</v>
      </c>
      <c r="G196" s="20">
        <f>'raw data'!AO844</f>
        <v>14318439.699999999</v>
      </c>
      <c r="H196" s="20">
        <f t="shared" si="35"/>
        <v>1752044.1000000015</v>
      </c>
      <c r="I196" s="20">
        <f t="shared" si="36"/>
        <v>-6680837.9999999963</v>
      </c>
      <c r="J196" s="30">
        <f t="shared" si="37"/>
        <v>32.358751659089698</v>
      </c>
      <c r="K196" s="30">
        <f t="shared" si="33"/>
        <v>4.3750792368802235E-2</v>
      </c>
      <c r="L196" s="30">
        <f t="shared" si="38"/>
        <v>21.856728892368103</v>
      </c>
      <c r="M196" s="30">
        <f t="shared" si="39"/>
        <v>22.856728892368103</v>
      </c>
      <c r="N196" s="30">
        <f t="shared" si="40"/>
        <v>20.364831479723119</v>
      </c>
      <c r="O196" s="30">
        <f t="shared" si="41"/>
        <v>1.1223627809111074</v>
      </c>
      <c r="P196" s="30">
        <f t="shared" si="42"/>
        <v>0.70635385237265658</v>
      </c>
      <c r="Q196" s="30">
        <f t="shared" si="43"/>
        <v>-2.4054592851974572</v>
      </c>
    </row>
    <row r="197" spans="1:17" x14ac:dyDescent="0.5">
      <c r="A197" s="23" t="str">
        <f>'raw data'!A845</f>
        <v>2016-10</v>
      </c>
      <c r="B197" s="32">
        <f>'raw data'!U845</f>
        <v>1344193</v>
      </c>
      <c r="C197" s="20">
        <f>'raw data'!V845</f>
        <v>705674.4</v>
      </c>
      <c r="D197" s="20">
        <f t="shared" si="34"/>
        <v>15319772.6</v>
      </c>
      <c r="E197" s="18">
        <f>'raw data'!AH845</f>
        <v>16025447</v>
      </c>
      <c r="F197" s="18">
        <f>SUM('raw data'!AI845:AK845)</f>
        <v>22754187.700000003</v>
      </c>
      <c r="G197" s="20">
        <f>'raw data'!AO845</f>
        <v>14256750.300000001</v>
      </c>
      <c r="H197" s="20">
        <f t="shared" si="35"/>
        <v>1768696.6999999993</v>
      </c>
      <c r="I197" s="20">
        <f t="shared" si="36"/>
        <v>-6728740.700000003</v>
      </c>
      <c r="J197" s="30">
        <f t="shared" si="37"/>
        <v>32.244598500384882</v>
      </c>
      <c r="K197" s="30">
        <f t="shared" si="33"/>
        <v>4.4034615695899157E-2</v>
      </c>
      <c r="L197" s="30">
        <f t="shared" si="38"/>
        <v>21.709406774569121</v>
      </c>
      <c r="M197" s="30">
        <f t="shared" si="39"/>
        <v>22.709406774569121</v>
      </c>
      <c r="N197" s="30">
        <f t="shared" si="40"/>
        <v>20.203014733140385</v>
      </c>
      <c r="O197" s="30">
        <f t="shared" si="41"/>
        <v>1.124060298650247</v>
      </c>
      <c r="P197" s="30">
        <f t="shared" si="42"/>
        <v>0.70428561156678859</v>
      </c>
      <c r="Q197" s="30">
        <f t="shared" si="43"/>
        <v>-2.3816413374348029</v>
      </c>
    </row>
    <row r="198" spans="1:17" x14ac:dyDescent="0.5">
      <c r="A198" s="23" t="str">
        <f>'raw data'!A846</f>
        <v>2016-11</v>
      </c>
      <c r="B198" s="32">
        <f>'raw data'!U846</f>
        <v>1348930</v>
      </c>
      <c r="C198" s="20">
        <f>'raw data'!V846</f>
        <v>707366.9</v>
      </c>
      <c r="D198" s="20">
        <f t="shared" si="34"/>
        <v>15306585.799999999</v>
      </c>
      <c r="E198" s="18">
        <f>'raw data'!AH846</f>
        <v>16013952.699999999</v>
      </c>
      <c r="F198" s="18">
        <f>SUM('raw data'!AI846:AK846)</f>
        <v>22846852.299999997</v>
      </c>
      <c r="G198" s="20">
        <f>'raw data'!AO846</f>
        <v>14272303.1</v>
      </c>
      <c r="H198" s="20">
        <f t="shared" si="35"/>
        <v>1741649.5999999996</v>
      </c>
      <c r="I198" s="20">
        <f t="shared" si="36"/>
        <v>-6832899.5999999978</v>
      </c>
      <c r="J198" s="30">
        <f t="shared" si="37"/>
        <v>32.298446958714067</v>
      </c>
      <c r="K198" s="30">
        <f t="shared" si="33"/>
        <v>4.4171911410728723E-2</v>
      </c>
      <c r="L198" s="30">
        <f t="shared" si="38"/>
        <v>21.638821098357866</v>
      </c>
      <c r="M198" s="30">
        <f t="shared" si="39"/>
        <v>22.638821098357866</v>
      </c>
      <c r="N198" s="30">
        <f t="shared" si="40"/>
        <v>20.176662351602822</v>
      </c>
      <c r="O198" s="30">
        <f t="shared" si="41"/>
        <v>1.1220300317192675</v>
      </c>
      <c r="P198" s="30">
        <f t="shared" si="42"/>
        <v>0.70092599583181969</v>
      </c>
      <c r="Q198" s="30">
        <f t="shared" si="43"/>
        <v>-2.3436540323232622</v>
      </c>
    </row>
    <row r="199" spans="1:17" x14ac:dyDescent="0.5">
      <c r="A199" s="23" t="str">
        <f>'raw data'!A847</f>
        <v>2016-12</v>
      </c>
      <c r="B199" s="32">
        <f>'raw data'!U847</f>
        <v>1355561.3</v>
      </c>
      <c r="C199" s="20">
        <f>'raw data'!V847</f>
        <v>711573.6</v>
      </c>
      <c r="D199" s="20">
        <f t="shared" si="34"/>
        <v>15318625.5</v>
      </c>
      <c r="E199" s="18">
        <f>'raw data'!AH847</f>
        <v>16030199.1</v>
      </c>
      <c r="F199" s="18">
        <f>SUM('raw data'!AI847:AK847)</f>
        <v>22946924.800000001</v>
      </c>
      <c r="G199" s="20">
        <f>'raw data'!AO847</f>
        <v>14264170.800000001</v>
      </c>
      <c r="H199" s="20">
        <f t="shared" si="35"/>
        <v>1766028.2999999989</v>
      </c>
      <c r="I199" s="20">
        <f t="shared" si="36"/>
        <v>-6916725.7000000011</v>
      </c>
      <c r="J199" s="30">
        <f t="shared" si="37"/>
        <v>32.248139616197115</v>
      </c>
      <c r="K199" s="30">
        <f t="shared" si="33"/>
        <v>4.4389567188844209E-2</v>
      </c>
      <c r="L199" s="30">
        <f t="shared" si="38"/>
        <v>21.527815956072569</v>
      </c>
      <c r="M199" s="30">
        <f t="shared" si="39"/>
        <v>22.527815956072569</v>
      </c>
      <c r="N199" s="30">
        <f t="shared" si="40"/>
        <v>20.045952800947084</v>
      </c>
      <c r="O199" s="30">
        <f t="shared" si="41"/>
        <v>1.1238086899520299</v>
      </c>
      <c r="P199" s="30">
        <f t="shared" si="42"/>
        <v>0.69857722721957061</v>
      </c>
      <c r="Q199" s="30">
        <f t="shared" si="43"/>
        <v>-2.3175993664169736</v>
      </c>
    </row>
    <row r="200" spans="1:17" x14ac:dyDescent="0.5">
      <c r="A200" s="23" t="str">
        <f>'raw data'!A848</f>
        <v>2017-01</v>
      </c>
      <c r="B200" s="32">
        <f>'raw data'!U848</f>
        <v>1360314</v>
      </c>
      <c r="C200" s="20">
        <f>'raw data'!V848</f>
        <v>713383</v>
      </c>
      <c r="D200" s="20">
        <f t="shared" si="34"/>
        <v>15353940.5</v>
      </c>
      <c r="E200" s="18">
        <f>'raw data'!AH848</f>
        <v>16067323.5</v>
      </c>
      <c r="F200" s="18">
        <f>SUM('raw data'!AI848:AK848)</f>
        <v>23071271.5</v>
      </c>
      <c r="G200" s="20">
        <f>'raw data'!AO848</f>
        <v>14305063</v>
      </c>
      <c r="H200" s="20">
        <f t="shared" si="35"/>
        <v>1762260.5</v>
      </c>
      <c r="I200" s="20">
        <f t="shared" si="36"/>
        <v>-7003948</v>
      </c>
      <c r="J200" s="30">
        <f t="shared" si="37"/>
        <v>32.340652216270925</v>
      </c>
      <c r="K200" s="30">
        <f t="shared" si="33"/>
        <v>4.4399616401574291E-2</v>
      </c>
      <c r="L200" s="30">
        <f t="shared" si="38"/>
        <v>21.52271710988347</v>
      </c>
      <c r="M200" s="30">
        <f t="shared" si="39"/>
        <v>22.52271710988347</v>
      </c>
      <c r="N200" s="30">
        <f t="shared" si="40"/>
        <v>20.052430461617391</v>
      </c>
      <c r="O200" s="30">
        <f t="shared" si="41"/>
        <v>1.1231913833584655</v>
      </c>
      <c r="P200" s="30">
        <f t="shared" si="42"/>
        <v>0.69642123972231007</v>
      </c>
      <c r="Q200" s="30">
        <f t="shared" si="43"/>
        <v>-2.2940380910880549</v>
      </c>
    </row>
    <row r="201" spans="1:17" x14ac:dyDescent="0.5">
      <c r="A201" s="23" t="str">
        <f>'raw data'!A849</f>
        <v>2017-02</v>
      </c>
      <c r="B201" s="32">
        <f>'raw data'!U849</f>
        <v>1364031.3</v>
      </c>
      <c r="C201" s="20">
        <f>'raw data'!V849</f>
        <v>715821.6</v>
      </c>
      <c r="D201" s="20">
        <f t="shared" si="34"/>
        <v>15428044.9</v>
      </c>
      <c r="E201" s="18">
        <f>'raw data'!AH849</f>
        <v>16143866.5</v>
      </c>
      <c r="F201" s="18">
        <f>SUM('raw data'!AI849:AK849)</f>
        <v>23152648.399999999</v>
      </c>
      <c r="G201" s="20">
        <f>'raw data'!AO849</f>
        <v>14363569.4</v>
      </c>
      <c r="H201" s="20">
        <f t="shared" si="35"/>
        <v>1780297.0999999996</v>
      </c>
      <c r="I201" s="20">
        <f t="shared" si="36"/>
        <v>-7008781.8999999985</v>
      </c>
      <c r="J201" s="30">
        <f t="shared" si="37"/>
        <v>32.34416005328702</v>
      </c>
      <c r="K201" s="30">
        <f t="shared" si="33"/>
        <v>4.4340158536370453E-2</v>
      </c>
      <c r="L201" s="30">
        <f t="shared" si="38"/>
        <v>21.552918911639438</v>
      </c>
      <c r="M201" s="30">
        <f t="shared" si="39"/>
        <v>22.552918911639438</v>
      </c>
      <c r="N201" s="30">
        <f t="shared" si="40"/>
        <v>20.065850765050957</v>
      </c>
      <c r="O201" s="30">
        <f t="shared" si="41"/>
        <v>1.1239453126463119</v>
      </c>
      <c r="P201" s="30">
        <f t="shared" si="42"/>
        <v>0.6972794740838375</v>
      </c>
      <c r="Q201" s="30">
        <f t="shared" si="43"/>
        <v>-2.3033769248833385</v>
      </c>
    </row>
    <row r="202" spans="1:17" x14ac:dyDescent="0.5">
      <c r="A202" s="23" t="str">
        <f>'raw data'!A850</f>
        <v>2017-03</v>
      </c>
      <c r="B202" s="32">
        <f>'raw data'!U850</f>
        <v>1366723</v>
      </c>
      <c r="C202" s="20">
        <f>'raw data'!V850</f>
        <v>717262.8</v>
      </c>
      <c r="D202" s="20">
        <f t="shared" si="34"/>
        <v>15473420.5</v>
      </c>
      <c r="E202" s="18">
        <f>'raw data'!AH850</f>
        <v>16190683.300000001</v>
      </c>
      <c r="F202" s="18">
        <f>SUM('raw data'!AI850:AK850)</f>
        <v>23264681.600000001</v>
      </c>
      <c r="G202" s="20">
        <f>'raw data'!AO850</f>
        <v>14408409.9</v>
      </c>
      <c r="H202" s="20">
        <f t="shared" si="35"/>
        <v>1782273.4000000004</v>
      </c>
      <c r="I202" s="20">
        <f t="shared" si="36"/>
        <v>-7073998.3000000007</v>
      </c>
      <c r="J202" s="30">
        <f t="shared" si="37"/>
        <v>32.43536622838937</v>
      </c>
      <c r="K202" s="30">
        <f t="shared" si="33"/>
        <v>4.4300959181877146E-2</v>
      </c>
      <c r="L202" s="30">
        <f t="shared" si="38"/>
        <v>21.572874684146452</v>
      </c>
      <c r="M202" s="30">
        <f t="shared" si="39"/>
        <v>22.572874684146452</v>
      </c>
      <c r="N202" s="30">
        <f t="shared" si="40"/>
        <v>20.088048480975175</v>
      </c>
      <c r="O202" s="30">
        <f t="shared" si="41"/>
        <v>1.1236967446352286</v>
      </c>
      <c r="P202" s="30">
        <f t="shared" si="42"/>
        <v>0.69593401613542816</v>
      </c>
      <c r="Q202" s="30">
        <f t="shared" si="43"/>
        <v>-2.2887598516951861</v>
      </c>
    </row>
    <row r="203" spans="1:17" x14ac:dyDescent="0.5">
      <c r="A203" s="23" t="str">
        <f>'raw data'!A851</f>
        <v>2017-04</v>
      </c>
      <c r="B203" s="32">
        <f>'raw data'!U851</f>
        <v>1369558.7</v>
      </c>
      <c r="C203" s="20">
        <f>'raw data'!V851</f>
        <v>719718.1</v>
      </c>
      <c r="D203" s="20">
        <f t="shared" si="34"/>
        <v>15506207.700000001</v>
      </c>
      <c r="E203" s="18">
        <f>'raw data'!AH851</f>
        <v>16225925.800000001</v>
      </c>
      <c r="F203" s="18">
        <f>SUM('raw data'!AI851:AK851)</f>
        <v>23345926.899999999</v>
      </c>
      <c r="G203" s="20">
        <f>'raw data'!AO851</f>
        <v>14437839.199999999</v>
      </c>
      <c r="H203" s="20">
        <f t="shared" si="35"/>
        <v>1788086.6000000015</v>
      </c>
      <c r="I203" s="20">
        <f t="shared" si="36"/>
        <v>-7120001.0999999978</v>
      </c>
      <c r="J203" s="30">
        <f t="shared" si="37"/>
        <v>32.437598693154996</v>
      </c>
      <c r="K203" s="30">
        <f t="shared" si="33"/>
        <v>4.4356057637093348E-2</v>
      </c>
      <c r="L203" s="30">
        <f t="shared" si="38"/>
        <v>21.544834984697484</v>
      </c>
      <c r="M203" s="30">
        <f t="shared" si="39"/>
        <v>22.544834984697484</v>
      </c>
      <c r="N203" s="30">
        <f t="shared" si="40"/>
        <v>20.060408651665146</v>
      </c>
      <c r="O203" s="30">
        <f t="shared" si="41"/>
        <v>1.1238472443992866</v>
      </c>
      <c r="P203" s="30">
        <f t="shared" si="42"/>
        <v>0.6950216999094605</v>
      </c>
      <c r="Q203" s="30">
        <f t="shared" si="43"/>
        <v>-2.2789218108407323</v>
      </c>
    </row>
    <row r="204" spans="1:17" x14ac:dyDescent="0.5">
      <c r="A204" s="23" t="str">
        <f>'raw data'!A852</f>
        <v>2017-05</v>
      </c>
      <c r="B204" s="32">
        <f>'raw data'!U852</f>
        <v>1372422</v>
      </c>
      <c r="C204" s="20">
        <f>'raw data'!V852</f>
        <v>721141.4</v>
      </c>
      <c r="D204" s="20">
        <f t="shared" si="34"/>
        <v>15510554.199999999</v>
      </c>
      <c r="E204" s="18">
        <f>'raw data'!AH852</f>
        <v>16231695.6</v>
      </c>
      <c r="F204" s="18">
        <f>SUM('raw data'!AI852:AK852)</f>
        <v>23455123.5</v>
      </c>
      <c r="G204" s="20">
        <f>'raw data'!AO852</f>
        <v>14437054.9</v>
      </c>
      <c r="H204" s="20">
        <f t="shared" si="35"/>
        <v>1794640.6999999993</v>
      </c>
      <c r="I204" s="20">
        <f t="shared" si="36"/>
        <v>-7223427.9000000004</v>
      </c>
      <c r="J204" s="30">
        <f t="shared" si="37"/>
        <v>32.52499925812053</v>
      </c>
      <c r="K204" s="30">
        <f t="shared" si="33"/>
        <v>4.4427977074680977E-2</v>
      </c>
      <c r="L204" s="30">
        <f t="shared" si="38"/>
        <v>21.50833969593203</v>
      </c>
      <c r="M204" s="30">
        <f t="shared" si="39"/>
        <v>22.50833969593203</v>
      </c>
      <c r="N204" s="30">
        <f t="shared" si="40"/>
        <v>20.0197283084843</v>
      </c>
      <c r="O204" s="30">
        <f t="shared" si="41"/>
        <v>1.1243079500930622</v>
      </c>
      <c r="P204" s="30">
        <f t="shared" si="42"/>
        <v>0.69203198183970338</v>
      </c>
      <c r="Q204" s="30">
        <f t="shared" si="43"/>
        <v>-2.2470904153414475</v>
      </c>
    </row>
    <row r="205" spans="1:17" x14ac:dyDescent="0.5">
      <c r="A205" s="23" t="str">
        <f>'raw data'!A853</f>
        <v>2017-06</v>
      </c>
      <c r="B205" s="32">
        <f>'raw data'!U853</f>
        <v>1373522.7</v>
      </c>
      <c r="C205" s="20">
        <f>'raw data'!V853</f>
        <v>724921.5</v>
      </c>
      <c r="D205" s="20">
        <f t="shared" si="34"/>
        <v>15518588.699999999</v>
      </c>
      <c r="E205" s="18">
        <f>'raw data'!AH853</f>
        <v>16243510.199999999</v>
      </c>
      <c r="F205" s="18">
        <f>SUM('raw data'!AI853:AK853)</f>
        <v>23464627.600000001</v>
      </c>
      <c r="G205" s="20">
        <f>'raw data'!AO853</f>
        <v>14445504.6</v>
      </c>
      <c r="H205" s="20">
        <f t="shared" si="35"/>
        <v>1798005.5999999996</v>
      </c>
      <c r="I205" s="20">
        <f t="shared" si="36"/>
        <v>-7221117.4000000022</v>
      </c>
      <c r="J205" s="30">
        <f t="shared" si="37"/>
        <v>32.368508314348524</v>
      </c>
      <c r="K205" s="30">
        <f t="shared" si="33"/>
        <v>4.4628377184138437E-2</v>
      </c>
      <c r="L205" s="30">
        <f t="shared" si="38"/>
        <v>21.407267821412386</v>
      </c>
      <c r="M205" s="30">
        <f t="shared" si="39"/>
        <v>22.407267821412386</v>
      </c>
      <c r="N205" s="30">
        <f t="shared" si="40"/>
        <v>19.926991543222265</v>
      </c>
      <c r="O205" s="30">
        <f t="shared" si="41"/>
        <v>1.1244681753796264</v>
      </c>
      <c r="P205" s="30">
        <f t="shared" si="42"/>
        <v>0.69225518840111477</v>
      </c>
      <c r="Q205" s="30">
        <f t="shared" si="43"/>
        <v>-2.2494455221016065</v>
      </c>
    </row>
    <row r="206" spans="1:17" x14ac:dyDescent="0.5">
      <c r="A206" s="23" t="str">
        <f>'raw data'!A854</f>
        <v>2017-07</v>
      </c>
      <c r="B206" s="32">
        <f>'raw data'!U854</f>
        <v>1379739.2</v>
      </c>
      <c r="C206" s="20">
        <f>'raw data'!V854</f>
        <v>728831.1</v>
      </c>
      <c r="D206" s="20">
        <f t="shared" si="34"/>
        <v>15627309.200000001</v>
      </c>
      <c r="E206" s="18">
        <f>'raw data'!AH854</f>
        <v>16356140.300000001</v>
      </c>
      <c r="F206" s="18">
        <f>SUM('raw data'!AI854:AK854)</f>
        <v>23577146.600000001</v>
      </c>
      <c r="G206" s="20">
        <f>'raw data'!AO854</f>
        <v>14536053.199999999</v>
      </c>
      <c r="H206" s="20">
        <f t="shared" si="35"/>
        <v>1820087.1000000015</v>
      </c>
      <c r="I206" s="20">
        <f t="shared" si="36"/>
        <v>-7221006.3000000007</v>
      </c>
      <c r="J206" s="30">
        <f t="shared" si="37"/>
        <v>32.349259794210212</v>
      </c>
      <c r="K206" s="30">
        <f t="shared" si="33"/>
        <v>4.4560090989192599E-2</v>
      </c>
      <c r="L206" s="30">
        <f t="shared" si="38"/>
        <v>21.441605880978461</v>
      </c>
      <c r="M206" s="30">
        <f t="shared" si="39"/>
        <v>22.441605880978461</v>
      </c>
      <c r="N206" s="30">
        <f t="shared" si="40"/>
        <v>19.94433717222001</v>
      </c>
      <c r="O206" s="30">
        <f t="shared" si="41"/>
        <v>1.1252119179090512</v>
      </c>
      <c r="P206" s="30">
        <f t="shared" si="42"/>
        <v>0.6937285744323276</v>
      </c>
      <c r="Q206" s="30">
        <f t="shared" si="43"/>
        <v>-2.2650776942266342</v>
      </c>
    </row>
    <row r="207" spans="1:17" x14ac:dyDescent="0.5">
      <c r="A207" s="23" t="str">
        <f>'raw data'!A855</f>
        <v>2017-08</v>
      </c>
      <c r="B207" s="32">
        <f>'raw data'!U855</f>
        <v>1384349.9</v>
      </c>
      <c r="C207" s="20">
        <f>'raw data'!V855</f>
        <v>730485.5</v>
      </c>
      <c r="D207" s="20">
        <f t="shared" si="34"/>
        <v>15737072.9</v>
      </c>
      <c r="E207" s="18">
        <f>'raw data'!AH855</f>
        <v>16467558.4</v>
      </c>
      <c r="F207" s="18">
        <f>SUM('raw data'!AI855:AK855)</f>
        <v>23669864.399999999</v>
      </c>
      <c r="G207" s="20">
        <f>'raw data'!AO855</f>
        <v>14644665</v>
      </c>
      <c r="H207" s="20">
        <f t="shared" si="35"/>
        <v>1822893.4000000004</v>
      </c>
      <c r="I207" s="20">
        <f t="shared" si="36"/>
        <v>-7202305.9999999981</v>
      </c>
      <c r="J207" s="30">
        <f t="shared" si="37"/>
        <v>32.402921618567376</v>
      </c>
      <c r="K207" s="30">
        <f t="shared" si="33"/>
        <v>4.4359065397332975E-2</v>
      </c>
      <c r="L207" s="30">
        <f t="shared" si="38"/>
        <v>21.543306335307136</v>
      </c>
      <c r="M207" s="30">
        <f t="shared" si="39"/>
        <v>22.543306335307136</v>
      </c>
      <c r="N207" s="30">
        <f t="shared" si="40"/>
        <v>20.047851736961242</v>
      </c>
      <c r="O207" s="30">
        <f t="shared" si="41"/>
        <v>1.1244749128778295</v>
      </c>
      <c r="P207" s="30">
        <f t="shared" si="42"/>
        <v>0.69571832443619752</v>
      </c>
      <c r="Q207" s="30">
        <f t="shared" si="43"/>
        <v>-2.2864285966189168</v>
      </c>
    </row>
    <row r="208" spans="1:17" x14ac:dyDescent="0.5">
      <c r="A208" s="23" t="str">
        <f>'raw data'!A856</f>
        <v>2017-09</v>
      </c>
      <c r="B208" s="32">
        <f>'raw data'!U856</f>
        <v>1392919.4</v>
      </c>
      <c r="C208" s="20">
        <f>'raw data'!V856</f>
        <v>736308.3</v>
      </c>
      <c r="D208" s="20">
        <f t="shared" si="34"/>
        <v>15789157.1</v>
      </c>
      <c r="E208" s="18">
        <f>'raw data'!AH856</f>
        <v>16525465.4</v>
      </c>
      <c r="F208" s="18">
        <f>SUM('raw data'!AI856:AK856)</f>
        <v>23785001.800000001</v>
      </c>
      <c r="G208" s="20">
        <f>'raw data'!AO856</f>
        <v>14709839.1</v>
      </c>
      <c r="H208" s="20">
        <f t="shared" si="35"/>
        <v>1815626.3000000007</v>
      </c>
      <c r="I208" s="20">
        <f t="shared" si="36"/>
        <v>-7259536.4000000004</v>
      </c>
      <c r="J208" s="30">
        <f t="shared" si="37"/>
        <v>32.303047242574884</v>
      </c>
      <c r="K208" s="30">
        <f t="shared" si="33"/>
        <v>4.4555979645813787E-2</v>
      </c>
      <c r="L208" s="30">
        <f t="shared" si="38"/>
        <v>21.443676650120608</v>
      </c>
      <c r="M208" s="30">
        <f t="shared" si="39"/>
        <v>22.443676650120608</v>
      </c>
      <c r="N208" s="30">
        <f t="shared" si="40"/>
        <v>19.977826000331653</v>
      </c>
      <c r="O208" s="30">
        <f t="shared" si="41"/>
        <v>1.1234293786394987</v>
      </c>
      <c r="P208" s="30">
        <f t="shared" si="42"/>
        <v>0.69478512295088413</v>
      </c>
      <c r="Q208" s="30">
        <f t="shared" si="43"/>
        <v>-2.2763802658252392</v>
      </c>
    </row>
    <row r="209" spans="1:17" x14ac:dyDescent="0.5">
      <c r="A209" s="23" t="str">
        <f>'raw data'!A857</f>
        <v>2017-10</v>
      </c>
      <c r="B209" s="32">
        <f>'raw data'!U857</f>
        <v>1408093.4</v>
      </c>
      <c r="C209" s="20">
        <f>'raw data'!V857</f>
        <v>748703.2</v>
      </c>
      <c r="D209" s="20">
        <f t="shared" si="34"/>
        <v>15849755.9</v>
      </c>
      <c r="E209" s="18">
        <f>'raw data'!AH857</f>
        <v>16598459.1</v>
      </c>
      <c r="F209" s="18">
        <f>SUM('raw data'!AI857:AK857)</f>
        <v>23922191.300000001</v>
      </c>
      <c r="G209" s="20">
        <f>'raw data'!AO857</f>
        <v>14770214.1</v>
      </c>
      <c r="H209" s="20">
        <f t="shared" si="35"/>
        <v>1828245</v>
      </c>
      <c r="I209" s="20">
        <f t="shared" si="36"/>
        <v>-7323732.2000000011</v>
      </c>
      <c r="J209" s="30">
        <f t="shared" si="37"/>
        <v>31.951501342588095</v>
      </c>
      <c r="K209" s="30">
        <f t="shared" si="33"/>
        <v>4.5106789460956649E-2</v>
      </c>
      <c r="L209" s="30">
        <f t="shared" si="38"/>
        <v>21.169611536320403</v>
      </c>
      <c r="M209" s="30">
        <f t="shared" si="39"/>
        <v>22.169611536320403</v>
      </c>
      <c r="N209" s="30">
        <f t="shared" si="40"/>
        <v>19.727729359244091</v>
      </c>
      <c r="O209" s="30">
        <f t="shared" si="41"/>
        <v>1.1237791806958302</v>
      </c>
      <c r="P209" s="30">
        <f t="shared" si="42"/>
        <v>0.69385195076171802</v>
      </c>
      <c r="Q209" s="30">
        <f t="shared" si="43"/>
        <v>-2.2663935063054321</v>
      </c>
    </row>
    <row r="210" spans="1:17" x14ac:dyDescent="0.5">
      <c r="A210" s="23" t="str">
        <f>'raw data'!A858</f>
        <v>2017-11</v>
      </c>
      <c r="B210" s="32">
        <f>'raw data'!U858</f>
        <v>1420800.4</v>
      </c>
      <c r="C210" s="20">
        <f>'raw data'!V858</f>
        <v>759283.9</v>
      </c>
      <c r="D210" s="20">
        <f t="shared" si="34"/>
        <v>15913246.699999999</v>
      </c>
      <c r="E210" s="18">
        <f>'raw data'!AH858</f>
        <v>16672530.6</v>
      </c>
      <c r="F210" s="18">
        <f>SUM('raw data'!AI858:AK858)</f>
        <v>23932051.600000001</v>
      </c>
      <c r="G210" s="20">
        <f>'raw data'!AO858</f>
        <v>14851839.6</v>
      </c>
      <c r="H210" s="20">
        <f t="shared" si="35"/>
        <v>1820691</v>
      </c>
      <c r="I210" s="20">
        <f t="shared" si="36"/>
        <v>-7259521.0000000019</v>
      </c>
      <c r="J210" s="30">
        <f t="shared" si="37"/>
        <v>31.519240168269075</v>
      </c>
      <c r="K210" s="30">
        <f t="shared" si="33"/>
        <v>4.5541011032842249E-2</v>
      </c>
      <c r="L210" s="30">
        <f t="shared" si="38"/>
        <v>20.958230116561143</v>
      </c>
      <c r="M210" s="30">
        <f t="shared" si="39"/>
        <v>21.958230116561143</v>
      </c>
      <c r="N210" s="30">
        <f t="shared" si="40"/>
        <v>19.560324669073054</v>
      </c>
      <c r="O210" s="30">
        <f t="shared" si="41"/>
        <v>1.1225902682116227</v>
      </c>
      <c r="P210" s="30">
        <f t="shared" si="42"/>
        <v>0.69666115043810117</v>
      </c>
      <c r="Q210" s="30">
        <f t="shared" si="43"/>
        <v>-2.2966433460279259</v>
      </c>
    </row>
    <row r="211" spans="1:17" x14ac:dyDescent="0.5">
      <c r="A211" s="23" t="str">
        <f>'raw data'!A859</f>
        <v>2017-12</v>
      </c>
      <c r="B211" s="32">
        <f>'raw data'!U859</f>
        <v>1426807.8</v>
      </c>
      <c r="C211" s="20">
        <f>'raw data'!V859</f>
        <v>763193</v>
      </c>
      <c r="D211" s="20">
        <f t="shared" si="34"/>
        <v>15993163.4</v>
      </c>
      <c r="E211" s="18">
        <f>'raw data'!AH859</f>
        <v>16756356.4</v>
      </c>
      <c r="F211" s="18">
        <f>SUM('raw data'!AI859:AK859)</f>
        <v>23987068.100000001</v>
      </c>
      <c r="G211" s="20">
        <f>'raw data'!AO859</f>
        <v>14899768.300000001</v>
      </c>
      <c r="H211" s="20">
        <f t="shared" si="35"/>
        <v>1856588.0999999996</v>
      </c>
      <c r="I211" s="20">
        <f t="shared" si="36"/>
        <v>-7230711.7000000011</v>
      </c>
      <c r="J211" s="30">
        <f t="shared" si="37"/>
        <v>31.429884839090509</v>
      </c>
      <c r="K211" s="30">
        <f t="shared" si="33"/>
        <v>4.5546476917857869E-2</v>
      </c>
      <c r="L211" s="30">
        <f t="shared" si="38"/>
        <v>20.95559498056193</v>
      </c>
      <c r="M211" s="30">
        <f t="shared" si="39"/>
        <v>21.95559498056193</v>
      </c>
      <c r="N211" s="30">
        <f t="shared" si="40"/>
        <v>19.522936269069554</v>
      </c>
      <c r="O211" s="30">
        <f t="shared" si="41"/>
        <v>1.124605165840062</v>
      </c>
      <c r="P211" s="30">
        <f t="shared" si="42"/>
        <v>0.69855792004859485</v>
      </c>
      <c r="Q211" s="30">
        <f t="shared" si="43"/>
        <v>-2.31738687631537</v>
      </c>
    </row>
    <row r="212" spans="1:17" x14ac:dyDescent="0.5">
      <c r="A212" s="23" t="str">
        <f>'raw data'!A860</f>
        <v>2018-01</v>
      </c>
      <c r="B212" s="32">
        <f>'raw data'!U860</f>
        <v>1432368</v>
      </c>
      <c r="C212" s="20">
        <f>'raw data'!V860</f>
        <v>767365.1</v>
      </c>
      <c r="D212" s="20">
        <f t="shared" si="34"/>
        <v>15957426.700000001</v>
      </c>
      <c r="E212" s="18">
        <f>'raw data'!AH860</f>
        <v>16724791.800000001</v>
      </c>
      <c r="F212" s="18">
        <f>SUM('raw data'!AI860:AK860)</f>
        <v>24031889.600000001</v>
      </c>
      <c r="G212" s="20">
        <f>'raw data'!AO860</f>
        <v>14910226.9</v>
      </c>
      <c r="H212" s="20">
        <f t="shared" si="35"/>
        <v>1814564.9000000004</v>
      </c>
      <c r="I212" s="20">
        <f t="shared" si="36"/>
        <v>-7307097.8000000007</v>
      </c>
      <c r="J212" s="30">
        <f t="shared" si="37"/>
        <v>31.317412793466893</v>
      </c>
      <c r="K212" s="30">
        <f t="shared" si="33"/>
        <v>4.5881892532736938E-2</v>
      </c>
      <c r="L212" s="30">
        <f t="shared" si="38"/>
        <v>20.795090498642693</v>
      </c>
      <c r="M212" s="30">
        <f t="shared" si="39"/>
        <v>21.795090498642693</v>
      </c>
      <c r="N212" s="30">
        <f t="shared" si="40"/>
        <v>19.430420930011021</v>
      </c>
      <c r="O212" s="30">
        <f t="shared" si="41"/>
        <v>1.1216993485189686</v>
      </c>
      <c r="P212" s="30">
        <f t="shared" si="42"/>
        <v>0.69594160419245599</v>
      </c>
      <c r="Q212" s="30">
        <f t="shared" si="43"/>
        <v>-2.2888419257232329</v>
      </c>
    </row>
    <row r="213" spans="1:17" x14ac:dyDescent="0.5">
      <c r="A213" s="23" t="str">
        <f>'raw data'!A861</f>
        <v>2018-02</v>
      </c>
      <c r="B213" s="32">
        <f>'raw data'!U861</f>
        <v>1436265.9</v>
      </c>
      <c r="C213" s="20">
        <f>'raw data'!V861</f>
        <v>768657.2</v>
      </c>
      <c r="D213" s="20">
        <f t="shared" si="34"/>
        <v>15928543.700000001</v>
      </c>
      <c r="E213" s="18">
        <f>'raw data'!AH861</f>
        <v>16697200.9</v>
      </c>
      <c r="F213" s="18">
        <f>SUM('raw data'!AI861:AK861)</f>
        <v>24017329.199999999</v>
      </c>
      <c r="G213" s="20">
        <f>'raw data'!AO861</f>
        <v>14884557</v>
      </c>
      <c r="H213" s="20">
        <f t="shared" si="35"/>
        <v>1812643.9000000004</v>
      </c>
      <c r="I213" s="20">
        <f t="shared" si="36"/>
        <v>-7320128.2999999989</v>
      </c>
      <c r="J213" s="30">
        <f t="shared" si="37"/>
        <v>31.245826097771545</v>
      </c>
      <c r="K213" s="30">
        <f t="shared" si="33"/>
        <v>4.6035093223319841E-2</v>
      </c>
      <c r="L213" s="30">
        <f t="shared" si="38"/>
        <v>20.722558378429294</v>
      </c>
      <c r="M213" s="30">
        <f t="shared" si="39"/>
        <v>21.722558378429294</v>
      </c>
      <c r="N213" s="30">
        <f t="shared" si="40"/>
        <v>19.364362943585256</v>
      </c>
      <c r="O213" s="30">
        <f t="shared" si="41"/>
        <v>1.1217801712204132</v>
      </c>
      <c r="P213" s="30">
        <f t="shared" si="42"/>
        <v>0.69521472437493181</v>
      </c>
      <c r="Q213" s="30">
        <f t="shared" si="43"/>
        <v>-2.2809983945226757</v>
      </c>
    </row>
    <row r="214" spans="1:17" x14ac:dyDescent="0.5">
      <c r="A214" s="23" t="str">
        <f>'raw data'!A862</f>
        <v>2018-03</v>
      </c>
      <c r="B214" s="32">
        <f>'raw data'!U862</f>
        <v>1442526.6</v>
      </c>
      <c r="C214" s="20">
        <f>'raw data'!V862</f>
        <v>772280.7</v>
      </c>
      <c r="D214" s="20">
        <f t="shared" si="34"/>
        <v>15857886</v>
      </c>
      <c r="E214" s="18">
        <f>'raw data'!AH862</f>
        <v>16630166.699999999</v>
      </c>
      <c r="F214" s="18">
        <f>SUM('raw data'!AI862:AK862)</f>
        <v>24053928.399999999</v>
      </c>
      <c r="G214" s="20">
        <f>'raw data'!AO862</f>
        <v>14807914.9</v>
      </c>
      <c r="H214" s="20">
        <f t="shared" si="35"/>
        <v>1822251.7999999989</v>
      </c>
      <c r="I214" s="20">
        <f t="shared" si="36"/>
        <v>-7423761.6999999993</v>
      </c>
      <c r="J214" s="30">
        <f t="shared" si="37"/>
        <v>31.146613401060002</v>
      </c>
      <c r="K214" s="30">
        <f t="shared" si="33"/>
        <v>4.643854231479231E-2</v>
      </c>
      <c r="L214" s="30">
        <f t="shared" si="38"/>
        <v>20.533836984402175</v>
      </c>
      <c r="M214" s="30">
        <f t="shared" si="39"/>
        <v>21.533836984402175</v>
      </c>
      <c r="N214" s="30">
        <f t="shared" si="40"/>
        <v>19.174265134425866</v>
      </c>
      <c r="O214" s="30">
        <f t="shared" si="41"/>
        <v>1.1230593106663518</v>
      </c>
      <c r="P214" s="30">
        <f t="shared" si="42"/>
        <v>0.69137009237958824</v>
      </c>
      <c r="Q214" s="30">
        <f t="shared" si="43"/>
        <v>-2.2401266867173284</v>
      </c>
    </row>
    <row r="215" spans="1:17" x14ac:dyDescent="0.5">
      <c r="A215" s="23" t="str">
        <f>'raw data'!A863</f>
        <v>2018-04</v>
      </c>
      <c r="B215" s="32">
        <f>'raw data'!U863</f>
        <v>1462875.1</v>
      </c>
      <c r="C215" s="20">
        <f>'raw data'!V863</f>
        <v>787764.8</v>
      </c>
      <c r="D215" s="20">
        <f t="shared" si="34"/>
        <v>15866448.6</v>
      </c>
      <c r="E215" s="18">
        <f>'raw data'!AH863</f>
        <v>16654213.4</v>
      </c>
      <c r="F215" s="18">
        <f>SUM('raw data'!AI863:AK863)</f>
        <v>24196700.100000001</v>
      </c>
      <c r="G215" s="20">
        <f>'raw data'!AO863</f>
        <v>14814263.9</v>
      </c>
      <c r="H215" s="20">
        <f t="shared" si="35"/>
        <v>1839949.5</v>
      </c>
      <c r="I215" s="20">
        <f t="shared" si="36"/>
        <v>-7542486.7000000011</v>
      </c>
      <c r="J215" s="30">
        <f t="shared" si="37"/>
        <v>30.715640125072863</v>
      </c>
      <c r="K215" s="30">
        <f t="shared" si="33"/>
        <v>4.7301231290815572E-2</v>
      </c>
      <c r="L215" s="30">
        <f t="shared" si="38"/>
        <v>20.14109871372775</v>
      </c>
      <c r="M215" s="30">
        <f t="shared" si="39"/>
        <v>21.14109871372775</v>
      </c>
      <c r="N215" s="30">
        <f t="shared" si="40"/>
        <v>18.805440278621234</v>
      </c>
      <c r="O215" s="30">
        <f t="shared" si="41"/>
        <v>1.1242012098893419</v>
      </c>
      <c r="P215" s="30">
        <f t="shared" si="42"/>
        <v>0.68828449049546225</v>
      </c>
      <c r="Q215" s="30">
        <f t="shared" si="43"/>
        <v>-2.2080533996831573</v>
      </c>
    </row>
    <row r="216" spans="1:17" x14ac:dyDescent="0.5">
      <c r="A216" s="23" t="str">
        <f>'raw data'!A864</f>
        <v>2018-05</v>
      </c>
      <c r="B216" s="32">
        <f>'raw data'!U864</f>
        <v>1465360.3</v>
      </c>
      <c r="C216" s="20">
        <f>'raw data'!V864</f>
        <v>789763.9</v>
      </c>
      <c r="D216" s="20">
        <f t="shared" si="34"/>
        <v>15938750.4</v>
      </c>
      <c r="E216" s="18">
        <f>'raw data'!AH864</f>
        <v>16728514.300000001</v>
      </c>
      <c r="F216" s="18">
        <f>SUM('raw data'!AI864:AK864)</f>
        <v>24248881.199999999</v>
      </c>
      <c r="G216" s="20">
        <f>'raw data'!AO864</f>
        <v>14892243.199999999</v>
      </c>
      <c r="H216" s="20">
        <f t="shared" si="35"/>
        <v>1836271.1000000015</v>
      </c>
      <c r="I216" s="20">
        <f t="shared" si="36"/>
        <v>-7520366.8999999985</v>
      </c>
      <c r="J216" s="30">
        <f t="shared" si="37"/>
        <v>30.703962538677697</v>
      </c>
      <c r="K216" s="30">
        <f t="shared" si="33"/>
        <v>4.7210642011406831E-2</v>
      </c>
      <c r="L216" s="30">
        <f t="shared" si="38"/>
        <v>20.181664925428979</v>
      </c>
      <c r="M216" s="30">
        <f t="shared" si="39"/>
        <v>21.181664925428979</v>
      </c>
      <c r="N216" s="30">
        <f t="shared" si="40"/>
        <v>18.856576250193253</v>
      </c>
      <c r="O216" s="30">
        <f t="shared" si="41"/>
        <v>1.123303861972923</v>
      </c>
      <c r="P216" s="30">
        <f t="shared" si="42"/>
        <v>0.68986746901956042</v>
      </c>
      <c r="Q216" s="30">
        <f t="shared" si="43"/>
        <v>-2.2244279464609638</v>
      </c>
    </row>
    <row r="217" spans="1:17" x14ac:dyDescent="0.5">
      <c r="A217" s="23" t="str">
        <f>'raw data'!A865</f>
        <v>2018-06</v>
      </c>
      <c r="B217" s="32">
        <f>'raw data'!U865</f>
        <v>1470312.5</v>
      </c>
      <c r="C217" s="20">
        <f>'raw data'!V865</f>
        <v>792832.5</v>
      </c>
      <c r="D217" s="20">
        <f t="shared" si="34"/>
        <v>15985361.300000001</v>
      </c>
      <c r="E217" s="18">
        <f>'raw data'!AH865</f>
        <v>16778193.800000001</v>
      </c>
      <c r="F217" s="18">
        <f>SUM('raw data'!AI865:AK865)</f>
        <v>24364947.199999999</v>
      </c>
      <c r="G217" s="20">
        <f>'raw data'!AO865</f>
        <v>14940542</v>
      </c>
      <c r="H217" s="20">
        <f t="shared" si="35"/>
        <v>1837651.8000000007</v>
      </c>
      <c r="I217" s="20">
        <f t="shared" si="36"/>
        <v>-7586753.3999999985</v>
      </c>
      <c r="J217" s="30">
        <f t="shared" si="37"/>
        <v>30.731519204876186</v>
      </c>
      <c r="K217" s="30">
        <f t="shared" si="33"/>
        <v>4.7253745513417537E-2</v>
      </c>
      <c r="L217" s="30">
        <f t="shared" si="38"/>
        <v>20.16234362239187</v>
      </c>
      <c r="M217" s="30">
        <f t="shared" si="39"/>
        <v>21.16234362239187</v>
      </c>
      <c r="N217" s="30">
        <f t="shared" si="40"/>
        <v>18.844512554669492</v>
      </c>
      <c r="O217" s="30">
        <f t="shared" si="41"/>
        <v>1.1229976663497214</v>
      </c>
      <c r="P217" s="30">
        <f t="shared" si="42"/>
        <v>0.68862015838885138</v>
      </c>
      <c r="Q217" s="30">
        <f t="shared" si="43"/>
        <v>-2.2115116856177246</v>
      </c>
    </row>
    <row r="218" spans="1:17" x14ac:dyDescent="0.5">
      <c r="A218" s="23" t="str">
        <f>'raw data'!A866</f>
        <v>2018-07</v>
      </c>
      <c r="B218" s="32">
        <f>'raw data'!U866</f>
        <v>1471833.7</v>
      </c>
      <c r="C218" s="20">
        <f>'raw data'!V866</f>
        <v>793010.5</v>
      </c>
      <c r="D218" s="20">
        <f t="shared" si="34"/>
        <v>15998474.300000001</v>
      </c>
      <c r="E218" s="18">
        <f>'raw data'!AH866</f>
        <v>16791484.800000001</v>
      </c>
      <c r="F218" s="18">
        <f>SUM('raw data'!AI866:AK866)</f>
        <v>24426859.799999997</v>
      </c>
      <c r="G218" s="20">
        <f>'raw data'!AO866</f>
        <v>14929129.9</v>
      </c>
      <c r="H218" s="20">
        <f t="shared" si="35"/>
        <v>1862354.9000000004</v>
      </c>
      <c r="I218" s="20">
        <f t="shared" si="36"/>
        <v>-7635374.9999999963</v>
      </c>
      <c r="J218" s="30">
        <f t="shared" si="37"/>
        <v>30.802694037468605</v>
      </c>
      <c r="K218" s="30">
        <f t="shared" si="33"/>
        <v>4.7226943265910586E-2</v>
      </c>
      <c r="L218" s="30">
        <f t="shared" si="38"/>
        <v>20.174353681319481</v>
      </c>
      <c r="M218" s="30">
        <f t="shared" si="39"/>
        <v>21.174353681319481</v>
      </c>
      <c r="N218" s="30">
        <f t="shared" si="40"/>
        <v>18.825891838758757</v>
      </c>
      <c r="O218" s="30">
        <f t="shared" si="41"/>
        <v>1.1247463792246861</v>
      </c>
      <c r="P218" s="30">
        <f t="shared" si="42"/>
        <v>0.68741888795710049</v>
      </c>
      <c r="Q218" s="30">
        <f t="shared" si="43"/>
        <v>-2.1991696282107962</v>
      </c>
    </row>
    <row r="219" spans="1:17" x14ac:dyDescent="0.5">
      <c r="A219" s="23" t="str">
        <f>'raw data'!A867</f>
        <v>2018-08</v>
      </c>
      <c r="B219" s="32">
        <f>'raw data'!U867</f>
        <v>1476129.4</v>
      </c>
      <c r="C219" s="20">
        <f>'raw data'!V867</f>
        <v>795885.4</v>
      </c>
      <c r="D219" s="20">
        <f t="shared" si="34"/>
        <v>15947820</v>
      </c>
      <c r="E219" s="18">
        <f>'raw data'!AH867</f>
        <v>16743705.4</v>
      </c>
      <c r="F219" s="18">
        <f>SUM('raw data'!AI867:AK867)</f>
        <v>24468288.800000001</v>
      </c>
      <c r="G219" s="20">
        <f>'raw data'!AO867</f>
        <v>14878445.300000001</v>
      </c>
      <c r="H219" s="20">
        <f t="shared" si="35"/>
        <v>1865260.0999999996</v>
      </c>
      <c r="I219" s="20">
        <f t="shared" si="36"/>
        <v>-7724583.4000000004</v>
      </c>
      <c r="J219" s="30">
        <f t="shared" si="37"/>
        <v>30.743482415935762</v>
      </c>
      <c r="K219" s="30">
        <f t="shared" si="33"/>
        <v>4.7533409181936513E-2</v>
      </c>
      <c r="L219" s="30">
        <f t="shared" si="38"/>
        <v>20.037834592769261</v>
      </c>
      <c r="M219" s="30">
        <f t="shared" si="39"/>
        <v>21.037834592769261</v>
      </c>
      <c r="N219" s="30">
        <f t="shared" si="40"/>
        <v>18.694205597941615</v>
      </c>
      <c r="O219" s="30">
        <f t="shared" si="41"/>
        <v>1.1253665999632367</v>
      </c>
      <c r="P219" s="30">
        <f t="shared" si="42"/>
        <v>0.68430226309900344</v>
      </c>
      <c r="Q219" s="30">
        <f t="shared" si="43"/>
        <v>-2.1675868500558879</v>
      </c>
    </row>
    <row r="220" spans="1:17" x14ac:dyDescent="0.5">
      <c r="A220" s="23" t="str">
        <f>'raw data'!A868</f>
        <v>2018-09</v>
      </c>
      <c r="B220" s="32">
        <f>'raw data'!U868</f>
        <v>1481373.8</v>
      </c>
      <c r="C220" s="20">
        <f>'raw data'!V868</f>
        <v>798502.6</v>
      </c>
      <c r="D220" s="20">
        <f t="shared" si="34"/>
        <v>15964149.5</v>
      </c>
      <c r="E220" s="18">
        <f>'raw data'!AH868</f>
        <v>16762652.1</v>
      </c>
      <c r="F220" s="18">
        <f>SUM('raw data'!AI868:AK868)</f>
        <v>24541533.800000001</v>
      </c>
      <c r="G220" s="20">
        <f>'raw data'!AO868</f>
        <v>14915639.199999999</v>
      </c>
      <c r="H220" s="20">
        <f t="shared" si="35"/>
        <v>1847012.9000000004</v>
      </c>
      <c r="I220" s="20">
        <f t="shared" si="36"/>
        <v>-7778881.7000000011</v>
      </c>
      <c r="J220" s="30">
        <f t="shared" si="37"/>
        <v>30.734444446392537</v>
      </c>
      <c r="K220" s="30">
        <f t="shared" si="33"/>
        <v>4.7635815337359416E-2</v>
      </c>
      <c r="L220" s="30">
        <f t="shared" si="38"/>
        <v>19.992608039097181</v>
      </c>
      <c r="M220" s="30">
        <f t="shared" si="39"/>
        <v>20.992608039097181</v>
      </c>
      <c r="N220" s="30">
        <f t="shared" si="40"/>
        <v>18.679512377292195</v>
      </c>
      <c r="O220" s="30">
        <f t="shared" si="41"/>
        <v>1.1238306233634292</v>
      </c>
      <c r="P220" s="30">
        <f t="shared" si="42"/>
        <v>0.68303196681211498</v>
      </c>
      <c r="Q220" s="30">
        <f t="shared" si="43"/>
        <v>-2.1548922771251293</v>
      </c>
    </row>
    <row r="221" spans="1:17" x14ac:dyDescent="0.5">
      <c r="A221" s="23" t="str">
        <f>'raw data'!A869</f>
        <v>2018-10</v>
      </c>
      <c r="B221" s="32">
        <f>'raw data'!U869</f>
        <v>1487713.6</v>
      </c>
      <c r="C221" s="20">
        <f>'raw data'!V869</f>
        <v>801567.5</v>
      </c>
      <c r="D221" s="20">
        <f t="shared" si="34"/>
        <v>16039764.100000001</v>
      </c>
      <c r="E221" s="18">
        <f>'raw data'!AH869</f>
        <v>16841331.600000001</v>
      </c>
      <c r="F221" s="18">
        <f>SUM('raw data'!AI869:AK869)</f>
        <v>24642872.399999999</v>
      </c>
      <c r="G221" s="20">
        <f>'raw data'!AO869</f>
        <v>14980216.6</v>
      </c>
      <c r="H221" s="20">
        <f t="shared" si="35"/>
        <v>1861115.0000000019</v>
      </c>
      <c r="I221" s="20">
        <f t="shared" si="36"/>
        <v>-7801540.799999997</v>
      </c>
      <c r="J221" s="30">
        <f t="shared" si="37"/>
        <v>30.743352743218754</v>
      </c>
      <c r="K221" s="30">
        <f t="shared" si="33"/>
        <v>4.7595256660108748E-2</v>
      </c>
      <c r="L221" s="30">
        <f t="shared" si="38"/>
        <v>20.010497057328298</v>
      </c>
      <c r="M221" s="30">
        <f t="shared" si="39"/>
        <v>21.010497057328298</v>
      </c>
      <c r="N221" s="30">
        <f t="shared" si="40"/>
        <v>18.68865267117242</v>
      </c>
      <c r="O221" s="30">
        <f t="shared" si="41"/>
        <v>1.1242381902542051</v>
      </c>
      <c r="P221" s="30">
        <f t="shared" si="42"/>
        <v>0.68341593165900594</v>
      </c>
      <c r="Q221" s="30">
        <f t="shared" si="43"/>
        <v>-2.1587186469626625</v>
      </c>
    </row>
    <row r="222" spans="1:17" x14ac:dyDescent="0.5">
      <c r="A222" s="23" t="str">
        <f>'raw data'!A870</f>
        <v>2018-11</v>
      </c>
      <c r="B222" s="32">
        <f>'raw data'!U870</f>
        <v>1492640.2</v>
      </c>
      <c r="C222" s="20">
        <f>'raw data'!V870</f>
        <v>804021.2</v>
      </c>
      <c r="D222" s="20">
        <f t="shared" si="34"/>
        <v>16049233</v>
      </c>
      <c r="E222" s="18">
        <f>'raw data'!AH870</f>
        <v>16853254.199999999</v>
      </c>
      <c r="F222" s="18">
        <f>SUM('raw data'!AI870:AK870)</f>
        <v>24626002.399999999</v>
      </c>
      <c r="G222" s="20">
        <f>'raw data'!AO870</f>
        <v>14995147.300000001</v>
      </c>
      <c r="H222" s="20">
        <f t="shared" si="35"/>
        <v>1858106.8999999985</v>
      </c>
      <c r="I222" s="20">
        <f t="shared" si="36"/>
        <v>-7772748.1999999993</v>
      </c>
      <c r="J222" s="30">
        <f t="shared" si="37"/>
        <v>30.628548600459787</v>
      </c>
      <c r="K222" s="30">
        <f t="shared" si="33"/>
        <v>4.7707178118751685E-2</v>
      </c>
      <c r="L222" s="30">
        <f t="shared" si="38"/>
        <v>19.961206246800458</v>
      </c>
      <c r="M222" s="30">
        <f t="shared" si="39"/>
        <v>20.961206246800458</v>
      </c>
      <c r="N222" s="30">
        <f t="shared" si="40"/>
        <v>18.650188950241613</v>
      </c>
      <c r="O222" s="30">
        <f t="shared" si="41"/>
        <v>1.1239138811260625</v>
      </c>
      <c r="P222" s="30">
        <f t="shared" si="42"/>
        <v>0.68436825134070478</v>
      </c>
      <c r="Q222" s="30">
        <f t="shared" si="43"/>
        <v>-2.1682490885270154</v>
      </c>
    </row>
    <row r="223" spans="1:17" x14ac:dyDescent="0.5">
      <c r="A223" s="23" t="str">
        <f>'raw data'!A871</f>
        <v>2018-12</v>
      </c>
      <c r="B223" s="32">
        <f>'raw data'!U871</f>
        <v>1496079.5</v>
      </c>
      <c r="C223" s="20">
        <f>'raw data'!V871</f>
        <v>805136</v>
      </c>
      <c r="D223" s="20">
        <f t="shared" si="34"/>
        <v>16192646.899999999</v>
      </c>
      <c r="E223" s="18">
        <f>'raw data'!AH871</f>
        <v>16997782.899999999</v>
      </c>
      <c r="F223" s="18">
        <f>SUM('raw data'!AI871:AK871)</f>
        <v>24877883.399999999</v>
      </c>
      <c r="G223" s="20">
        <f>'raw data'!AO871</f>
        <v>15119836.199999999</v>
      </c>
      <c r="H223" s="20">
        <f t="shared" si="35"/>
        <v>1877946.6999999993</v>
      </c>
      <c r="I223" s="20">
        <f t="shared" si="36"/>
        <v>-7880100.5</v>
      </c>
      <c r="J223" s="30">
        <f t="shared" si="37"/>
        <v>30.898982780548874</v>
      </c>
      <c r="K223" s="30">
        <f t="shared" si="33"/>
        <v>4.7367118684637402E-2</v>
      </c>
      <c r="L223" s="30">
        <f t="shared" si="38"/>
        <v>20.111691565151723</v>
      </c>
      <c r="M223" s="30">
        <f t="shared" si="39"/>
        <v>21.111691565151723</v>
      </c>
      <c r="N223" s="30">
        <f t="shared" si="40"/>
        <v>18.779232576856579</v>
      </c>
      <c r="O223" s="30">
        <f t="shared" si="41"/>
        <v>1.1242041696192449</v>
      </c>
      <c r="P223" s="30">
        <f t="shared" si="42"/>
        <v>0.68324875660443041</v>
      </c>
      <c r="Q223" s="30">
        <f t="shared" si="43"/>
        <v>-2.1570515376041204</v>
      </c>
    </row>
    <row r="224" spans="1:17" x14ac:dyDescent="0.5">
      <c r="A224" s="23" t="str">
        <f>'raw data'!A872</f>
        <v>2019-01</v>
      </c>
      <c r="B224" s="32">
        <f>'raw data'!U872</f>
        <v>1504223</v>
      </c>
      <c r="C224" s="20">
        <f>'raw data'!V872</f>
        <v>808330.4</v>
      </c>
      <c r="D224" s="20">
        <f t="shared" si="34"/>
        <v>16189742.299999999</v>
      </c>
      <c r="E224" s="18">
        <f>'raw data'!AH872</f>
        <v>16998072.699999999</v>
      </c>
      <c r="F224" s="18">
        <f>SUM('raw data'!AI872:AK872)</f>
        <v>24958047</v>
      </c>
      <c r="G224" s="20">
        <f>'raw data'!AO872</f>
        <v>15127337.800000001</v>
      </c>
      <c r="H224" s="20">
        <f t="shared" si="35"/>
        <v>1870734.8999999985</v>
      </c>
      <c r="I224" s="20">
        <f t="shared" si="36"/>
        <v>-7959974.3000000007</v>
      </c>
      <c r="J224" s="30">
        <f t="shared" si="37"/>
        <v>30.876046478024332</v>
      </c>
      <c r="K224" s="30">
        <f t="shared" si="33"/>
        <v>4.755423831079391E-2</v>
      </c>
      <c r="L224" s="30">
        <f t="shared" si="38"/>
        <v>20.02861985643494</v>
      </c>
      <c r="M224" s="30">
        <f t="shared" si="39"/>
        <v>21.02861985643494</v>
      </c>
      <c r="N224" s="30">
        <f t="shared" si="40"/>
        <v>18.714300241584382</v>
      </c>
      <c r="O224" s="30">
        <f t="shared" si="41"/>
        <v>1.1236658376201527</v>
      </c>
      <c r="P224" s="30">
        <f t="shared" si="42"/>
        <v>0.68106581817078871</v>
      </c>
      <c r="Q224" s="30">
        <f t="shared" si="43"/>
        <v>-2.1354431634283038</v>
      </c>
    </row>
    <row r="225" spans="1:17" x14ac:dyDescent="0.5">
      <c r="A225" s="23" t="str">
        <f>'raw data'!A873</f>
        <v>2019-02</v>
      </c>
      <c r="B225" s="32">
        <f>'raw data'!U873</f>
        <v>1512624.1</v>
      </c>
      <c r="C225" s="20">
        <f>'raw data'!V873</f>
        <v>812953.59999999998</v>
      </c>
      <c r="D225" s="20">
        <f t="shared" si="34"/>
        <v>16223065.200000001</v>
      </c>
      <c r="E225" s="18">
        <f>'raw data'!AH873</f>
        <v>17036018.800000001</v>
      </c>
      <c r="F225" s="18">
        <f>SUM('raw data'!AI873:AK873)</f>
        <v>25032058.5</v>
      </c>
      <c r="G225" s="20">
        <f>'raw data'!AO873</f>
        <v>15124785.199999999</v>
      </c>
      <c r="H225" s="20">
        <f t="shared" si="35"/>
        <v>1911233.6000000015</v>
      </c>
      <c r="I225" s="20">
        <f t="shared" si="36"/>
        <v>-7996039.6999999993</v>
      </c>
      <c r="J225" s="30">
        <f t="shared" si="37"/>
        <v>30.791497202300352</v>
      </c>
      <c r="K225" s="30">
        <f t="shared" si="33"/>
        <v>4.7719693758497141E-2</v>
      </c>
      <c r="L225" s="30">
        <f t="shared" si="38"/>
        <v>19.955708665291599</v>
      </c>
      <c r="M225" s="30">
        <f t="shared" si="39"/>
        <v>20.955708665291599</v>
      </c>
      <c r="N225" s="30">
        <f t="shared" si="40"/>
        <v>18.604733652695554</v>
      </c>
      <c r="O225" s="30">
        <f t="shared" si="41"/>
        <v>1.126364346648705</v>
      </c>
      <c r="P225" s="30">
        <f t="shared" si="42"/>
        <v>0.68056803238934582</v>
      </c>
      <c r="Q225" s="30">
        <f t="shared" si="43"/>
        <v>-2.1305570556384308</v>
      </c>
    </row>
    <row r="226" spans="1:17" x14ac:dyDescent="0.5">
      <c r="A226" s="23" t="str">
        <f>'raw data'!A874</f>
        <v>2019-03</v>
      </c>
      <c r="B226" s="32">
        <f>'raw data'!U874</f>
        <v>1520619.3</v>
      </c>
      <c r="C226" s="20">
        <f>'raw data'!V874</f>
        <v>816898.6</v>
      </c>
      <c r="D226" s="20">
        <f t="shared" si="34"/>
        <v>16295764.700000001</v>
      </c>
      <c r="E226" s="18">
        <f>'raw data'!AH874</f>
        <v>17112663.300000001</v>
      </c>
      <c r="F226" s="18">
        <f>SUM('raw data'!AI874:AK874)</f>
        <v>25155833.899999999</v>
      </c>
      <c r="G226" s="20">
        <f>'raw data'!AO874</f>
        <v>15173012.800000001</v>
      </c>
      <c r="H226" s="20">
        <f t="shared" si="35"/>
        <v>1939650.5</v>
      </c>
      <c r="I226" s="20">
        <f t="shared" si="36"/>
        <v>-8043170.5999999978</v>
      </c>
      <c r="J226" s="30">
        <f t="shared" si="37"/>
        <v>30.794316332528908</v>
      </c>
      <c r="K226" s="30">
        <f t="shared" si="33"/>
        <v>4.7736496983494088E-2</v>
      </c>
      <c r="L226" s="30">
        <f t="shared" si="38"/>
        <v>19.948332265473343</v>
      </c>
      <c r="M226" s="30">
        <f t="shared" si="39"/>
        <v>20.948332265473343</v>
      </c>
      <c r="N226" s="30">
        <f t="shared" si="40"/>
        <v>18.57392435242269</v>
      </c>
      <c r="O226" s="30">
        <f t="shared" si="41"/>
        <v>1.1278355541886842</v>
      </c>
      <c r="P226" s="30">
        <f t="shared" si="42"/>
        <v>0.68026619065885952</v>
      </c>
      <c r="Q226" s="30">
        <f t="shared" si="43"/>
        <v>-2.1276016823514854</v>
      </c>
    </row>
    <row r="227" spans="1:17" x14ac:dyDescent="0.5">
      <c r="A227" s="23" t="str">
        <f>'raw data'!A875</f>
        <v>2019-04</v>
      </c>
      <c r="B227" s="32">
        <f>'raw data'!U875</f>
        <v>1531884.6</v>
      </c>
      <c r="C227" s="20">
        <f>'raw data'!V875</f>
        <v>821833.9</v>
      </c>
      <c r="D227" s="20">
        <f t="shared" si="34"/>
        <v>16345630.299999999</v>
      </c>
      <c r="E227" s="18">
        <f>'raw data'!AH875</f>
        <v>17167464.199999999</v>
      </c>
      <c r="F227" s="18">
        <f>SUM('raw data'!AI875:AK875)</f>
        <v>25281695.399999999</v>
      </c>
      <c r="G227" s="20">
        <f>'raw data'!AO875</f>
        <v>15205381.4</v>
      </c>
      <c r="H227" s="20">
        <f t="shared" si="35"/>
        <v>1962082.7999999989</v>
      </c>
      <c r="I227" s="20">
        <f t="shared" si="36"/>
        <v>-8114231.1999999993</v>
      </c>
      <c r="J227" s="30">
        <f t="shared" si="37"/>
        <v>30.762536566087135</v>
      </c>
      <c r="K227" s="30">
        <f t="shared" si="33"/>
        <v>4.7871595386813161E-2</v>
      </c>
      <c r="L227" s="30">
        <f t="shared" si="38"/>
        <v>19.889213988374049</v>
      </c>
      <c r="M227" s="30">
        <f t="shared" si="39"/>
        <v>20.889213988374049</v>
      </c>
      <c r="N227" s="30">
        <f t="shared" si="40"/>
        <v>18.501769518147157</v>
      </c>
      <c r="O227" s="30">
        <f t="shared" si="41"/>
        <v>1.12903870993989</v>
      </c>
      <c r="P227" s="30">
        <f t="shared" si="42"/>
        <v>0.67904718921659024</v>
      </c>
      <c r="Q227" s="30">
        <f t="shared" si="43"/>
        <v>-2.1157228302787332</v>
      </c>
    </row>
    <row r="228" spans="1:17" x14ac:dyDescent="0.5">
      <c r="A228" s="23" t="str">
        <f>'raw data'!A876</f>
        <v>2019-05</v>
      </c>
      <c r="B228" s="32">
        <f>'raw data'!U876</f>
        <v>1538358.6</v>
      </c>
      <c r="C228" s="20">
        <f>'raw data'!V876</f>
        <v>822703.8</v>
      </c>
      <c r="D228" s="20">
        <f t="shared" si="34"/>
        <v>16396868</v>
      </c>
      <c r="E228" s="18">
        <f>'raw data'!AH876</f>
        <v>17219571.800000001</v>
      </c>
      <c r="F228" s="18">
        <f>SUM('raw data'!AI876:AK876)</f>
        <v>25388453.100000001</v>
      </c>
      <c r="G228" s="20">
        <f>'raw data'!AO876</f>
        <v>15268662.800000001</v>
      </c>
      <c r="H228" s="20">
        <f t="shared" si="35"/>
        <v>1950909</v>
      </c>
      <c r="I228" s="20">
        <f t="shared" si="36"/>
        <v>-8168881.3000000007</v>
      </c>
      <c r="J228" s="30">
        <f t="shared" si="37"/>
        <v>30.859773711996954</v>
      </c>
      <c r="K228" s="30">
        <f t="shared" si="33"/>
        <v>4.7777250767641041E-2</v>
      </c>
      <c r="L228" s="30">
        <f t="shared" si="38"/>
        <v>19.930463430459419</v>
      </c>
      <c r="M228" s="30">
        <f t="shared" si="39"/>
        <v>20.930463430459419</v>
      </c>
      <c r="N228" s="30">
        <f t="shared" si="40"/>
        <v>18.559125167526879</v>
      </c>
      <c r="O228" s="30">
        <f t="shared" si="41"/>
        <v>1.1277720927860166</v>
      </c>
      <c r="P228" s="30">
        <f t="shared" si="42"/>
        <v>0.67824422906648063</v>
      </c>
      <c r="Q228" s="30">
        <f t="shared" si="43"/>
        <v>-2.1079473636126895</v>
      </c>
    </row>
    <row r="229" spans="1:17" x14ac:dyDescent="0.5">
      <c r="A229" s="23" t="str">
        <f>'raw data'!A877</f>
        <v>2019-06</v>
      </c>
      <c r="B229" s="32">
        <f>'raw data'!U877</f>
        <v>1543794.5</v>
      </c>
      <c r="C229" s="20">
        <f>'raw data'!V877</f>
        <v>823941.8</v>
      </c>
      <c r="D229" s="20">
        <f t="shared" si="34"/>
        <v>16535550.199999999</v>
      </c>
      <c r="E229" s="18">
        <f>'raw data'!AH877</f>
        <v>17359492</v>
      </c>
      <c r="F229" s="18">
        <f>SUM('raw data'!AI877:AK877)</f>
        <v>25583150.300000001</v>
      </c>
      <c r="G229" s="20">
        <f>'raw data'!AO877</f>
        <v>15416162.300000001</v>
      </c>
      <c r="H229" s="20">
        <f t="shared" si="35"/>
        <v>1943329.6999999993</v>
      </c>
      <c r="I229" s="20">
        <f t="shared" si="36"/>
        <v>-8223658.3000000007</v>
      </c>
      <c r="J229" s="30">
        <f t="shared" si="37"/>
        <v>31.049705573864561</v>
      </c>
      <c r="K229" s="30">
        <f t="shared" si="33"/>
        <v>4.7463474161571088E-2</v>
      </c>
      <c r="L229" s="30">
        <f t="shared" si="38"/>
        <v>20.068832774353719</v>
      </c>
      <c r="M229" s="30">
        <f t="shared" si="39"/>
        <v>21.068832774353723</v>
      </c>
      <c r="N229" s="30">
        <f t="shared" si="40"/>
        <v>18.710256355485303</v>
      </c>
      <c r="O229" s="30">
        <f t="shared" si="41"/>
        <v>1.1260579424491399</v>
      </c>
      <c r="P229" s="30">
        <f t="shared" si="42"/>
        <v>0.67855177319581317</v>
      </c>
      <c r="Q229" s="30">
        <f t="shared" si="43"/>
        <v>-2.1109208781206288</v>
      </c>
    </row>
    <row r="230" spans="1:17" x14ac:dyDescent="0.5">
      <c r="A230" s="23" t="str">
        <f>'raw data'!A878</f>
        <v>2019-07</v>
      </c>
      <c r="B230" s="32">
        <f>'raw data'!U878</f>
        <v>1549682.9</v>
      </c>
      <c r="C230" s="20">
        <f>'raw data'!V878</f>
        <v>825168.2</v>
      </c>
      <c r="D230" s="20">
        <f t="shared" si="34"/>
        <v>16581835.600000001</v>
      </c>
      <c r="E230" s="18">
        <f>'raw data'!AH878</f>
        <v>17407003.800000001</v>
      </c>
      <c r="F230" s="18">
        <f>SUM('raw data'!AI878:AK878)</f>
        <v>25638807</v>
      </c>
      <c r="G230" s="20">
        <f>'raw data'!AO878</f>
        <v>15427411.9</v>
      </c>
      <c r="H230" s="20">
        <f t="shared" si="35"/>
        <v>1979591.9000000004</v>
      </c>
      <c r="I230" s="20">
        <f t="shared" si="36"/>
        <v>-8231803.1999999993</v>
      </c>
      <c r="J230" s="30">
        <f t="shared" si="37"/>
        <v>31.071007098916319</v>
      </c>
      <c r="K230" s="30">
        <f t="shared" si="33"/>
        <v>4.7404378690375185E-2</v>
      </c>
      <c r="L230" s="30">
        <f t="shared" si="38"/>
        <v>20.095097702504777</v>
      </c>
      <c r="M230" s="30">
        <f t="shared" si="39"/>
        <v>21.095097702504777</v>
      </c>
      <c r="N230" s="30">
        <f t="shared" si="40"/>
        <v>18.696081477691457</v>
      </c>
      <c r="O230" s="30">
        <f t="shared" si="41"/>
        <v>1.1283165259883934</v>
      </c>
      <c r="P230" s="30">
        <f t="shared" si="42"/>
        <v>0.67893189414000432</v>
      </c>
      <c r="Q230" s="30">
        <f t="shared" si="43"/>
        <v>-2.1146039788706323</v>
      </c>
    </row>
    <row r="231" spans="1:17" x14ac:dyDescent="0.5">
      <c r="A231" s="23" t="str">
        <f>'raw data'!A879</f>
        <v>2019-08</v>
      </c>
      <c r="B231" s="32">
        <f>'raw data'!U879</f>
        <v>1558581.3</v>
      </c>
      <c r="C231" s="20">
        <f>'raw data'!V879</f>
        <v>829199.2</v>
      </c>
      <c r="D231" s="20">
        <f t="shared" si="34"/>
        <v>16680830.5</v>
      </c>
      <c r="E231" s="18">
        <f>'raw data'!AH879</f>
        <v>17510029.699999999</v>
      </c>
      <c r="F231" s="18">
        <f>SUM('raw data'!AI879:AK879)</f>
        <v>25747644.200000003</v>
      </c>
      <c r="G231" s="20">
        <f>'raw data'!AO879</f>
        <v>15526493.9</v>
      </c>
      <c r="H231" s="20">
        <f t="shared" si="35"/>
        <v>1983535.7999999989</v>
      </c>
      <c r="I231" s="20">
        <f t="shared" si="36"/>
        <v>-8237614.5000000037</v>
      </c>
      <c r="J231" s="30">
        <f t="shared" si="37"/>
        <v>31.051216884917405</v>
      </c>
      <c r="K231" s="30">
        <f t="shared" si="33"/>
        <v>4.7355670675989774E-2</v>
      </c>
      <c r="L231" s="30">
        <f t="shared" si="38"/>
        <v>20.116795216396735</v>
      </c>
      <c r="M231" s="30">
        <f t="shared" si="39"/>
        <v>21.116795216396735</v>
      </c>
      <c r="N231" s="30">
        <f t="shared" si="40"/>
        <v>18.724685093762755</v>
      </c>
      <c r="O231" s="30">
        <f t="shared" si="41"/>
        <v>1.1277516877136053</v>
      </c>
      <c r="P231" s="30">
        <f t="shared" si="42"/>
        <v>0.68006337061314515</v>
      </c>
      <c r="Q231" s="30">
        <f t="shared" si="43"/>
        <v>-2.1256189762218165</v>
      </c>
    </row>
    <row r="232" spans="1:17" x14ac:dyDescent="0.5">
      <c r="A232" s="23" t="str">
        <f>'raw data'!A880</f>
        <v>2019-09</v>
      </c>
      <c r="B232" s="32">
        <f>'raw data'!U880</f>
        <v>1563920.4</v>
      </c>
      <c r="C232" s="20">
        <f>'raw data'!V880</f>
        <v>830221.4</v>
      </c>
      <c r="D232" s="20">
        <f t="shared" si="34"/>
        <v>16688056.499999998</v>
      </c>
      <c r="E232" s="18">
        <f>'raw data'!AH880</f>
        <v>17518277.899999999</v>
      </c>
      <c r="F232" s="18">
        <f>SUM('raw data'!AI880:AK880)</f>
        <v>25942841.200000003</v>
      </c>
      <c r="G232" s="20">
        <f>'raw data'!AO880</f>
        <v>15571688.9</v>
      </c>
      <c r="H232" s="20">
        <f t="shared" si="35"/>
        <v>1946588.9999999981</v>
      </c>
      <c r="I232" s="20">
        <f t="shared" si="36"/>
        <v>-8424563.3000000045</v>
      </c>
      <c r="J232" s="30">
        <f t="shared" si="37"/>
        <v>31.248099844210234</v>
      </c>
      <c r="K232" s="30">
        <f t="shared" si="33"/>
        <v>4.7391724502783464E-2</v>
      </c>
      <c r="L232" s="30">
        <f t="shared" si="38"/>
        <v>20.100730359395694</v>
      </c>
      <c r="M232" s="30">
        <f t="shared" si="39"/>
        <v>21.100730359395698</v>
      </c>
      <c r="N232" s="30">
        <f t="shared" si="40"/>
        <v>18.756067839253483</v>
      </c>
      <c r="O232" s="30">
        <f t="shared" si="41"/>
        <v>1.1250082128214107</v>
      </c>
      <c r="P232" s="30">
        <f t="shared" si="42"/>
        <v>0.67526443094444089</v>
      </c>
      <c r="Q232" s="30">
        <f t="shared" si="43"/>
        <v>-2.079428603735459</v>
      </c>
    </row>
    <row r="233" spans="1:17" x14ac:dyDescent="0.5">
      <c r="A233" s="23" t="str">
        <f>'raw data'!A881</f>
        <v>2019-10</v>
      </c>
      <c r="B233" s="32">
        <f>'raw data'!U881</f>
        <v>1573619.2</v>
      </c>
      <c r="C233" s="20">
        <f>'raw data'!V881</f>
        <v>836203.7</v>
      </c>
      <c r="D233" s="20">
        <f t="shared" si="34"/>
        <v>16762253</v>
      </c>
      <c r="E233" s="18">
        <f>'raw data'!AH881</f>
        <v>17598456.699999999</v>
      </c>
      <c r="F233" s="18">
        <f>SUM('raw data'!AI881:AK881)</f>
        <v>26172270.600000001</v>
      </c>
      <c r="G233" s="20">
        <f>'raw data'!AO881</f>
        <v>15655972.800000001</v>
      </c>
      <c r="H233" s="20">
        <f t="shared" si="35"/>
        <v>1942483.8999999985</v>
      </c>
      <c r="I233" s="20">
        <f t="shared" si="36"/>
        <v>-8573813.9000000022</v>
      </c>
      <c r="J233" s="30">
        <f t="shared" si="37"/>
        <v>31.298917476686604</v>
      </c>
      <c r="K233" s="30">
        <f t="shared" si="33"/>
        <v>4.75157404001227E-2</v>
      </c>
      <c r="L233" s="30">
        <f t="shared" si="38"/>
        <v>20.045657535358909</v>
      </c>
      <c r="M233" s="30">
        <f t="shared" si="39"/>
        <v>21.045657535358909</v>
      </c>
      <c r="N233" s="30">
        <f t="shared" si="40"/>
        <v>18.722678218237974</v>
      </c>
      <c r="O233" s="30">
        <f t="shared" si="41"/>
        <v>1.1240730247053059</v>
      </c>
      <c r="P233" s="30">
        <f t="shared" si="42"/>
        <v>0.67240848029440736</v>
      </c>
      <c r="Q233" s="30">
        <f t="shared" si="43"/>
        <v>-2.0525820720228127</v>
      </c>
    </row>
    <row r="234" spans="1:17" x14ac:dyDescent="0.5">
      <c r="A234" s="23" t="str">
        <f>'raw data'!A882</f>
        <v>2019-11</v>
      </c>
      <c r="B234" s="32">
        <f>'raw data'!U882</f>
        <v>1578461.1</v>
      </c>
      <c r="C234" s="20">
        <f>'raw data'!V882</f>
        <v>836889.3</v>
      </c>
      <c r="D234" s="20">
        <f t="shared" si="34"/>
        <v>16822597.199999999</v>
      </c>
      <c r="E234" s="18">
        <f>'raw data'!AH882</f>
        <v>17659486.5</v>
      </c>
      <c r="F234" s="18">
        <f>SUM('raw data'!AI882:AK882)</f>
        <v>26388590.399999999</v>
      </c>
      <c r="G234" s="20">
        <f>'raw data'!AO882</f>
        <v>15730224.4</v>
      </c>
      <c r="H234" s="20">
        <f t="shared" si="35"/>
        <v>1929262.0999999996</v>
      </c>
      <c r="I234" s="20">
        <f t="shared" si="36"/>
        <v>-8729103.8999999985</v>
      </c>
      <c r="J234" s="30">
        <f t="shared" si="37"/>
        <v>31.531757425982143</v>
      </c>
      <c r="K234" s="30">
        <f t="shared" si="33"/>
        <v>4.7390353054716512E-2</v>
      </c>
      <c r="L234" s="30">
        <f t="shared" si="38"/>
        <v>20.101341001731051</v>
      </c>
      <c r="M234" s="30">
        <f t="shared" si="39"/>
        <v>21.101341001731051</v>
      </c>
      <c r="N234" s="30">
        <f t="shared" si="40"/>
        <v>18.796063469804189</v>
      </c>
      <c r="O234" s="30">
        <f t="shared" si="41"/>
        <v>1.1226468263224523</v>
      </c>
      <c r="P234" s="30">
        <f t="shared" si="42"/>
        <v>0.66920916321472024</v>
      </c>
      <c r="Q234" s="30">
        <f t="shared" si="43"/>
        <v>-2.0230583462295599</v>
      </c>
    </row>
    <row r="235" spans="1:17" x14ac:dyDescent="0.5">
      <c r="A235" s="23" t="str">
        <f>'raw data'!A883</f>
        <v>2019-12</v>
      </c>
      <c r="B235" s="32">
        <f>'raw data'!U883</f>
        <v>1586136.2</v>
      </c>
      <c r="C235" s="20">
        <f>'raw data'!V883</f>
        <v>841099.7</v>
      </c>
      <c r="D235" s="20">
        <f t="shared" si="34"/>
        <v>16941577.400000002</v>
      </c>
      <c r="E235" s="18">
        <f>'raw data'!AH883</f>
        <v>17782677.100000001</v>
      </c>
      <c r="F235" s="18">
        <f>SUM('raw data'!AI883:AK883)</f>
        <v>26537085.600000001</v>
      </c>
      <c r="G235" s="20">
        <f>'raw data'!AO883</f>
        <v>15825140.6</v>
      </c>
      <c r="H235" s="20">
        <f t="shared" si="35"/>
        <v>1957536.5000000019</v>
      </c>
      <c r="I235" s="20">
        <f t="shared" si="36"/>
        <v>-8754408.5</v>
      </c>
      <c r="J235" s="30">
        <f t="shared" si="37"/>
        <v>31.550463755961395</v>
      </c>
      <c r="K235" s="30">
        <f t="shared" si="33"/>
        <v>4.7298823190125849E-2</v>
      </c>
      <c r="L235" s="30">
        <f t="shared" si="38"/>
        <v>20.142175059627299</v>
      </c>
      <c r="M235" s="30">
        <f t="shared" si="39"/>
        <v>21.142175059627299</v>
      </c>
      <c r="N235" s="30">
        <f t="shared" si="40"/>
        <v>18.814821358276554</v>
      </c>
      <c r="O235" s="30">
        <f t="shared" si="41"/>
        <v>1.1236978899258565</v>
      </c>
      <c r="P235" s="30">
        <f t="shared" si="42"/>
        <v>0.67010663371414081</v>
      </c>
      <c r="Q235" s="30">
        <f t="shared" si="43"/>
        <v>-2.0312825361073799</v>
      </c>
    </row>
    <row r="236" spans="1:17" x14ac:dyDescent="0.5">
      <c r="A236" s="23" t="str">
        <f>'raw data'!A884</f>
        <v>2020-01</v>
      </c>
      <c r="B236" s="32">
        <f>'raw data'!U884</f>
        <v>1595473</v>
      </c>
      <c r="C236" s="20">
        <f>'raw data'!V884</f>
        <v>846851.9</v>
      </c>
      <c r="D236" s="20">
        <f t="shared" si="34"/>
        <v>16973075.800000001</v>
      </c>
      <c r="E236" s="18">
        <f>'raw data'!AH884</f>
        <v>17819927.699999999</v>
      </c>
      <c r="F236" s="18">
        <f>SUM('raw data'!AI884:AK884)</f>
        <v>26681918.300000001</v>
      </c>
      <c r="G236" s="20">
        <f>'raw data'!AO884</f>
        <v>15875874.1</v>
      </c>
      <c r="H236" s="20">
        <f t="shared" si="35"/>
        <v>1944053.5999999996</v>
      </c>
      <c r="I236" s="20">
        <f t="shared" si="36"/>
        <v>-8861990.6000000015</v>
      </c>
      <c r="J236" s="30">
        <f t="shared" si="37"/>
        <v>31.507183605539527</v>
      </c>
      <c r="K236" s="30">
        <f t="shared" si="33"/>
        <v>4.7522746122028323E-2</v>
      </c>
      <c r="L236" s="30">
        <f t="shared" si="38"/>
        <v>20.042555020541371</v>
      </c>
      <c r="M236" s="30">
        <f t="shared" si="39"/>
        <v>21.042555020541371</v>
      </c>
      <c r="N236" s="30">
        <f t="shared" si="40"/>
        <v>18.746930956876874</v>
      </c>
      <c r="O236" s="30">
        <f t="shared" si="41"/>
        <v>1.1224533268376069</v>
      </c>
      <c r="P236" s="30">
        <f t="shared" si="42"/>
        <v>0.66786531236773927</v>
      </c>
      <c r="Q236" s="30">
        <f t="shared" si="43"/>
        <v>-2.0108267435986669</v>
      </c>
    </row>
    <row r="237" spans="1:17" x14ac:dyDescent="0.5">
      <c r="A237" s="23" t="str">
        <f>'raw data'!A885</f>
        <v>2020-02</v>
      </c>
      <c r="B237" s="32">
        <f>'raw data'!U885</f>
        <v>1603084.7</v>
      </c>
      <c r="C237" s="20">
        <f>'raw data'!V885</f>
        <v>851230.7</v>
      </c>
      <c r="D237" s="20">
        <f t="shared" si="34"/>
        <v>17110029.100000001</v>
      </c>
      <c r="E237" s="18">
        <f>'raw data'!AH885</f>
        <v>17961259.800000001</v>
      </c>
      <c r="F237" s="18">
        <f>SUM('raw data'!AI885:AK885)</f>
        <v>26819237.5</v>
      </c>
      <c r="G237" s="20">
        <f>'raw data'!AO885</f>
        <v>15960218.800000001</v>
      </c>
      <c r="H237" s="20">
        <f t="shared" si="35"/>
        <v>2001041</v>
      </c>
      <c r="I237" s="20">
        <f t="shared" si="36"/>
        <v>-8857977.6999999993</v>
      </c>
      <c r="J237" s="30">
        <f t="shared" si="37"/>
        <v>31.506426518686418</v>
      </c>
      <c r="K237" s="30">
        <f t="shared" si="33"/>
        <v>4.7392594365791643E-2</v>
      </c>
      <c r="L237" s="30">
        <f t="shared" si="38"/>
        <v>20.100343067983804</v>
      </c>
      <c r="M237" s="30">
        <f t="shared" si="39"/>
        <v>21.100343067983804</v>
      </c>
      <c r="N237" s="30">
        <f t="shared" si="40"/>
        <v>18.749580812816081</v>
      </c>
      <c r="O237" s="30">
        <f t="shared" si="41"/>
        <v>1.1253767899472655</v>
      </c>
      <c r="P237" s="30">
        <f t="shared" si="42"/>
        <v>0.66971552789299105</v>
      </c>
      <c r="Q237" s="30">
        <f t="shared" si="43"/>
        <v>-2.0276930478160948</v>
      </c>
    </row>
    <row r="238" spans="1:17" x14ac:dyDescent="0.5">
      <c r="A238" s="23" t="str">
        <f>'raw data'!A886</f>
        <v>2020-03</v>
      </c>
      <c r="B238" s="32">
        <f>'raw data'!U886</f>
        <v>1608201</v>
      </c>
      <c r="C238" s="20">
        <f>'raw data'!V886</f>
        <v>853098.4</v>
      </c>
      <c r="D238" s="20">
        <f t="shared" si="34"/>
        <v>18094582.900000002</v>
      </c>
      <c r="E238" s="18">
        <f>'raw data'!AH886</f>
        <v>18947681.300000001</v>
      </c>
      <c r="F238" s="18">
        <f>SUM('raw data'!AI886:AK886)</f>
        <v>27746910.600000001</v>
      </c>
      <c r="G238" s="20">
        <f>'raw data'!AO886</f>
        <v>16917798.5</v>
      </c>
      <c r="H238" s="20">
        <f t="shared" si="35"/>
        <v>2029882.8000000007</v>
      </c>
      <c r="I238" s="20">
        <f t="shared" si="36"/>
        <v>-8799229.3000000007</v>
      </c>
      <c r="J238" s="30">
        <f t="shared" si="37"/>
        <v>32.524865361369805</v>
      </c>
      <c r="K238" s="30">
        <f t="shared" si="33"/>
        <v>4.5023894295709944E-2</v>
      </c>
      <c r="L238" s="30">
        <f t="shared" si="38"/>
        <v>21.210428832125345</v>
      </c>
      <c r="M238" s="30">
        <f t="shared" si="39"/>
        <v>22.210428832125345</v>
      </c>
      <c r="N238" s="30">
        <f t="shared" si="40"/>
        <v>19.831004840707706</v>
      </c>
      <c r="O238" s="30">
        <f t="shared" si="41"/>
        <v>1.1199850441533514</v>
      </c>
      <c r="P238" s="30">
        <f t="shared" si="42"/>
        <v>0.68287535045433134</v>
      </c>
      <c r="Q238" s="30">
        <f t="shared" si="43"/>
        <v>-2.1533341903023255</v>
      </c>
    </row>
    <row r="239" spans="1:17" x14ac:dyDescent="0.5">
      <c r="A239" s="23" t="str">
        <f>'raw data'!A887</f>
        <v>2020-04</v>
      </c>
      <c r="B239" s="32">
        <f>'raw data'!U887</f>
        <v>1558503.6</v>
      </c>
      <c r="C239" s="20">
        <f>'raw data'!V887</f>
        <v>804800.6</v>
      </c>
      <c r="D239" s="20">
        <f t="shared" si="34"/>
        <v>19377612</v>
      </c>
      <c r="E239" s="18">
        <f>'raw data'!AH887</f>
        <v>20182412.600000001</v>
      </c>
      <c r="F239" s="18">
        <f>SUM('raw data'!AI887:AK887)</f>
        <v>29446515.399999999</v>
      </c>
      <c r="G239" s="20">
        <f>'raw data'!AO887</f>
        <v>18140317.5</v>
      </c>
      <c r="H239" s="20">
        <f t="shared" si="35"/>
        <v>2042095.1000000015</v>
      </c>
      <c r="I239" s="20">
        <f t="shared" si="36"/>
        <v>-9264102.799999997</v>
      </c>
      <c r="J239" s="30">
        <f t="shared" si="37"/>
        <v>36.588585296780344</v>
      </c>
      <c r="K239" s="30">
        <f t="shared" si="33"/>
        <v>3.987633272347231E-2</v>
      </c>
      <c r="L239" s="30">
        <f t="shared" si="38"/>
        <v>24.077531751343127</v>
      </c>
      <c r="M239" s="30">
        <f t="shared" si="39"/>
        <v>25.07753175134313</v>
      </c>
      <c r="N239" s="30">
        <f t="shared" si="40"/>
        <v>22.540139135085138</v>
      </c>
      <c r="O239" s="30">
        <f t="shared" si="41"/>
        <v>1.1125721807239592</v>
      </c>
      <c r="P239" s="30">
        <f t="shared" si="42"/>
        <v>0.68539222131525968</v>
      </c>
      <c r="Q239" s="30">
        <f t="shared" si="43"/>
        <v>-2.1785609503383325</v>
      </c>
    </row>
    <row r="240" spans="1:17" x14ac:dyDescent="0.5">
      <c r="A240" s="23" t="str">
        <f>'raw data'!A888</f>
        <v>2020-05</v>
      </c>
      <c r="B240" s="32">
        <f>'raw data'!U888</f>
        <v>1523753.9</v>
      </c>
      <c r="C240" s="20">
        <f>'raw data'!V888</f>
        <v>772953.1</v>
      </c>
      <c r="D240" s="20">
        <f t="shared" si="34"/>
        <v>19620119.299999997</v>
      </c>
      <c r="E240" s="18">
        <f>'raw data'!AH888</f>
        <v>20393072.399999999</v>
      </c>
      <c r="F240" s="18">
        <f>SUM('raw data'!AI888:AK888)</f>
        <v>30633926.600000001</v>
      </c>
      <c r="G240" s="20">
        <f>'raw data'!AO888</f>
        <v>18412465.899999999</v>
      </c>
      <c r="H240" s="20">
        <f t="shared" si="35"/>
        <v>1980606.5</v>
      </c>
      <c r="I240" s="20">
        <f t="shared" si="36"/>
        <v>-10240854.200000003</v>
      </c>
      <c r="J240" s="30">
        <f t="shared" si="37"/>
        <v>39.632322582055757</v>
      </c>
      <c r="K240" s="30">
        <f t="shared" si="33"/>
        <v>3.7902729164046904E-2</v>
      </c>
      <c r="L240" s="30">
        <f t="shared" si="38"/>
        <v>25.383324421624025</v>
      </c>
      <c r="M240" s="30">
        <f t="shared" si="39"/>
        <v>26.383324421624028</v>
      </c>
      <c r="N240" s="30">
        <f t="shared" si="40"/>
        <v>23.820935448735504</v>
      </c>
      <c r="O240" s="30">
        <f t="shared" si="41"/>
        <v>1.107568780344625</v>
      </c>
      <c r="P240" s="30">
        <f t="shared" si="42"/>
        <v>0.66570220221132204</v>
      </c>
      <c r="Q240" s="30">
        <f t="shared" si="43"/>
        <v>-1.9913448626189789</v>
      </c>
    </row>
    <row r="241" spans="1:17" x14ac:dyDescent="0.5">
      <c r="A241" s="23" t="str">
        <f>'raw data'!A889</f>
        <v>2020-06</v>
      </c>
      <c r="B241" s="32">
        <f>'raw data'!U889</f>
        <v>1515847.3</v>
      </c>
      <c r="C241" s="20">
        <f>'raw data'!V889</f>
        <v>762602.9</v>
      </c>
      <c r="D241" s="20">
        <f t="shared" si="34"/>
        <v>19532965.5</v>
      </c>
      <c r="E241" s="18">
        <f>'raw data'!AH889</f>
        <v>20295568.399999999</v>
      </c>
      <c r="F241" s="18">
        <f>SUM('raw data'!AI889:AK889)</f>
        <v>31073046.600000001</v>
      </c>
      <c r="G241" s="20">
        <f>'raw data'!AO889</f>
        <v>18312128.699999999</v>
      </c>
      <c r="H241" s="20">
        <f t="shared" si="35"/>
        <v>1983439.6999999993</v>
      </c>
      <c r="I241" s="20">
        <f t="shared" si="36"/>
        <v>-10777478.200000003</v>
      </c>
      <c r="J241" s="30">
        <f t="shared" si="37"/>
        <v>40.74603781338886</v>
      </c>
      <c r="K241" s="30">
        <f t="shared" si="33"/>
        <v>3.7574848113147701E-2</v>
      </c>
      <c r="L241" s="30">
        <f t="shared" si="38"/>
        <v>25.613547365214583</v>
      </c>
      <c r="M241" s="30">
        <f t="shared" si="39"/>
        <v>26.613547365214579</v>
      </c>
      <c r="N241" s="30">
        <f t="shared" si="40"/>
        <v>24.012665962849077</v>
      </c>
      <c r="O241" s="30">
        <f t="shared" si="41"/>
        <v>1.1083128964684483</v>
      </c>
      <c r="P241" s="30">
        <f t="shared" si="42"/>
        <v>0.65315669432941914</v>
      </c>
      <c r="Q241" s="30">
        <f t="shared" si="43"/>
        <v>-1.8831463189598465</v>
      </c>
    </row>
    <row r="242" spans="1:17" x14ac:dyDescent="0.5">
      <c r="A242" s="23" t="str">
        <f>'raw data'!A890</f>
        <v>2020-07</v>
      </c>
      <c r="B242" s="32">
        <f>'raw data'!U890</f>
        <v>1516804.4</v>
      </c>
      <c r="C242" s="20">
        <f>'raw data'!V890</f>
        <v>758893</v>
      </c>
      <c r="D242" s="20">
        <f t="shared" si="34"/>
        <v>19337725.300000001</v>
      </c>
      <c r="E242" s="18">
        <f>'raw data'!AH890</f>
        <v>20096618.300000001</v>
      </c>
      <c r="F242" s="18">
        <f>SUM('raw data'!AI890:AK890)</f>
        <v>31117498.399999999</v>
      </c>
      <c r="G242" s="20">
        <f>'raw data'!AO890</f>
        <v>18170575.5</v>
      </c>
      <c r="H242" s="20">
        <f t="shared" si="35"/>
        <v>1926042.8000000007</v>
      </c>
      <c r="I242" s="20">
        <f t="shared" si="36"/>
        <v>-11020880.099999998</v>
      </c>
      <c r="J242" s="30">
        <f t="shared" si="37"/>
        <v>41.003802117030986</v>
      </c>
      <c r="K242" s="30">
        <f t="shared" si="33"/>
        <v>3.7762223906098666E-2</v>
      </c>
      <c r="L242" s="30">
        <f t="shared" si="38"/>
        <v>25.481491198363933</v>
      </c>
      <c r="M242" s="30">
        <f t="shared" si="39"/>
        <v>26.481491198363933</v>
      </c>
      <c r="N242" s="30">
        <f t="shared" si="40"/>
        <v>23.943527611929483</v>
      </c>
      <c r="O242" s="30">
        <f t="shared" si="41"/>
        <v>1.105997897534946</v>
      </c>
      <c r="P242" s="30">
        <f t="shared" si="42"/>
        <v>0.6458301384535462</v>
      </c>
      <c r="Q242" s="30">
        <f t="shared" si="43"/>
        <v>-1.8235039413957517</v>
      </c>
    </row>
    <row r="243" spans="1:17" x14ac:dyDescent="0.5">
      <c r="A243" s="23" t="str">
        <f>'raw data'!A891</f>
        <v>2020-08</v>
      </c>
      <c r="B243" s="32">
        <f>'raw data'!U891</f>
        <v>1512617.3</v>
      </c>
      <c r="C243" s="20">
        <f>'raw data'!V891</f>
        <v>752910</v>
      </c>
      <c r="D243" s="20">
        <f t="shared" si="34"/>
        <v>19314889.300000001</v>
      </c>
      <c r="E243" s="18">
        <f>'raw data'!AH891</f>
        <v>20067799.300000001</v>
      </c>
      <c r="F243" s="18">
        <f>SUM('raw data'!AI891:AK891)</f>
        <v>31159583.300000001</v>
      </c>
      <c r="G243" s="20">
        <f>'raw data'!AO891</f>
        <v>18159448.100000001</v>
      </c>
      <c r="H243" s="20">
        <f t="shared" si="35"/>
        <v>1908351.1999999993</v>
      </c>
      <c r="I243" s="20">
        <f t="shared" si="36"/>
        <v>-11091784</v>
      </c>
      <c r="J243" s="30">
        <f t="shared" si="37"/>
        <v>41.385535190128969</v>
      </c>
      <c r="K243" s="30">
        <f t="shared" si="33"/>
        <v>3.7518314227908391E-2</v>
      </c>
      <c r="L243" s="30">
        <f t="shared" si="38"/>
        <v>25.653649572990133</v>
      </c>
      <c r="M243" s="30">
        <f t="shared" si="39"/>
        <v>26.653649572990133</v>
      </c>
      <c r="N243" s="30">
        <f t="shared" si="40"/>
        <v>24.119015685805742</v>
      </c>
      <c r="O243" s="30">
        <f t="shared" si="41"/>
        <v>1.1050886122469767</v>
      </c>
      <c r="P243" s="30">
        <f t="shared" si="42"/>
        <v>0.64403298037685885</v>
      </c>
      <c r="Q243" s="30">
        <f t="shared" si="43"/>
        <v>-1.8092490171103224</v>
      </c>
    </row>
    <row r="244" spans="1:17" x14ac:dyDescent="0.5">
      <c r="A244" s="23" t="str">
        <f>'raw data'!A892</f>
        <v>2020-09</v>
      </c>
      <c r="B244" s="32">
        <f>'raw data'!U892</f>
        <v>1513634.8</v>
      </c>
      <c r="C244" s="20">
        <f>'raw data'!V892</f>
        <v>751037.1</v>
      </c>
      <c r="D244" s="20">
        <f t="shared" si="34"/>
        <v>19393041.299999997</v>
      </c>
      <c r="E244" s="18">
        <f>'raw data'!AH892</f>
        <v>20144078.399999999</v>
      </c>
      <c r="F244" s="18">
        <f>SUM('raw data'!AI892:AK892)</f>
        <v>31426415.700000003</v>
      </c>
      <c r="G244" s="20">
        <f>'raw data'!AO892</f>
        <v>18230852.600000001</v>
      </c>
      <c r="H244" s="20">
        <f t="shared" si="35"/>
        <v>1913225.799999997</v>
      </c>
      <c r="I244" s="20">
        <f t="shared" si="36"/>
        <v>-11282337.300000004</v>
      </c>
      <c r="J244" s="30">
        <f t="shared" si="37"/>
        <v>41.844025681287917</v>
      </c>
      <c r="K244" s="30">
        <f t="shared" si="33"/>
        <v>3.7283269310548359E-2</v>
      </c>
      <c r="L244" s="30">
        <f t="shared" si="38"/>
        <v>25.821682177884419</v>
      </c>
      <c r="M244" s="30">
        <f t="shared" si="39"/>
        <v>26.821682177884419</v>
      </c>
      <c r="N244" s="30">
        <f t="shared" si="40"/>
        <v>24.274237051671619</v>
      </c>
      <c r="O244" s="30">
        <f t="shared" si="41"/>
        <v>1.1049443951952087</v>
      </c>
      <c r="P244" s="30">
        <f t="shared" si="42"/>
        <v>0.64099191560047986</v>
      </c>
      <c r="Q244" s="30">
        <f t="shared" si="43"/>
        <v>-1.7854525941180637</v>
      </c>
    </row>
    <row r="245" spans="1:17" x14ac:dyDescent="0.5">
      <c r="A245" s="23" t="str">
        <f>'raw data'!A893</f>
        <v>2020-10</v>
      </c>
      <c r="B245" s="32">
        <f>'raw data'!U893</f>
        <v>1513453.1</v>
      </c>
      <c r="C245" s="20">
        <f>'raw data'!V893</f>
        <v>748996.5</v>
      </c>
      <c r="D245" s="20">
        <f t="shared" si="34"/>
        <v>19447102.800000001</v>
      </c>
      <c r="E245" s="18">
        <f>'raw data'!AH893</f>
        <v>20196099.300000001</v>
      </c>
      <c r="F245" s="18">
        <f>SUM('raw data'!AI893:AK893)</f>
        <v>31612483.200000003</v>
      </c>
      <c r="G245" s="20">
        <f>'raw data'!AO893</f>
        <v>18272352.699999999</v>
      </c>
      <c r="H245" s="20">
        <f t="shared" si="35"/>
        <v>1923746.6000000015</v>
      </c>
      <c r="I245" s="20">
        <f t="shared" si="36"/>
        <v>-11416383.900000002</v>
      </c>
      <c r="J245" s="30">
        <f t="shared" si="37"/>
        <v>42.206449829872376</v>
      </c>
      <c r="K245" s="30">
        <f t="shared" si="33"/>
        <v>3.7086196144816931E-2</v>
      </c>
      <c r="L245" s="30">
        <f t="shared" si="38"/>
        <v>25.964210513667286</v>
      </c>
      <c r="M245" s="30">
        <f t="shared" si="39"/>
        <v>26.964210513667286</v>
      </c>
      <c r="N245" s="30">
        <f t="shared" si="40"/>
        <v>24.395778484946192</v>
      </c>
      <c r="O245" s="30">
        <f t="shared" si="41"/>
        <v>1.1052818228492274</v>
      </c>
      <c r="P245" s="30">
        <f t="shared" si="42"/>
        <v>0.63886469064220808</v>
      </c>
      <c r="Q245" s="30">
        <f t="shared" si="43"/>
        <v>-1.7690452140454034</v>
      </c>
    </row>
    <row r="246" spans="1:17" x14ac:dyDescent="0.5">
      <c r="A246" s="23" t="str">
        <f>'raw data'!A894</f>
        <v>2020-11</v>
      </c>
      <c r="B246" s="32">
        <f>'raw data'!U894</f>
        <v>1514714.1</v>
      </c>
      <c r="C246" s="20">
        <f>'raw data'!V894</f>
        <v>747777.1</v>
      </c>
      <c r="D246" s="20">
        <f t="shared" si="34"/>
        <v>19564670.199999999</v>
      </c>
      <c r="E246" s="18">
        <f>'raw data'!AH894</f>
        <v>20312447.300000001</v>
      </c>
      <c r="F246" s="18">
        <f>SUM('raw data'!AI894:AK894)</f>
        <v>31928164.799999997</v>
      </c>
      <c r="G246" s="20">
        <f>'raw data'!AO894</f>
        <v>18403191.399999999</v>
      </c>
      <c r="H246" s="20">
        <f t="shared" si="35"/>
        <v>1909255.9000000022</v>
      </c>
      <c r="I246" s="20">
        <f t="shared" si="36"/>
        <v>-11615717.499999996</v>
      </c>
      <c r="J246" s="30">
        <f t="shared" si="37"/>
        <v>42.697435907037004</v>
      </c>
      <c r="K246" s="30">
        <f t="shared" si="33"/>
        <v>3.6813737357979506E-2</v>
      </c>
      <c r="L246" s="30">
        <f t="shared" si="38"/>
        <v>26.163772867609879</v>
      </c>
      <c r="M246" s="30">
        <f t="shared" si="39"/>
        <v>27.163772867609882</v>
      </c>
      <c r="N246" s="30">
        <f t="shared" si="40"/>
        <v>24.610530865414304</v>
      </c>
      <c r="O246" s="30">
        <f t="shared" si="41"/>
        <v>1.1037459133310976</v>
      </c>
      <c r="P246" s="30">
        <f t="shared" si="42"/>
        <v>0.63619213403709329</v>
      </c>
      <c r="Q246" s="30">
        <f t="shared" si="43"/>
        <v>-1.7487036250666399</v>
      </c>
    </row>
    <row r="247" spans="1:17" x14ac:dyDescent="0.5">
      <c r="A247" s="23" t="str">
        <f>'raw data'!A895</f>
        <v>2020-12</v>
      </c>
      <c r="B247" s="32">
        <f>'raw data'!U895</f>
        <v>1520527.1</v>
      </c>
      <c r="C247" s="20">
        <f>'raw data'!V895</f>
        <v>748925.6</v>
      </c>
      <c r="D247" s="20">
        <f t="shared" si="34"/>
        <v>19773513.199999999</v>
      </c>
      <c r="E247" s="18">
        <f>'raw data'!AH895</f>
        <v>20522438.800000001</v>
      </c>
      <c r="F247" s="18">
        <f>SUM('raw data'!AI895:AK895)</f>
        <v>32219991.600000001</v>
      </c>
      <c r="G247" s="20">
        <f>'raw data'!AO895</f>
        <v>18545757.300000001</v>
      </c>
      <c r="H247" s="20">
        <f t="shared" si="35"/>
        <v>1976681.5</v>
      </c>
      <c r="I247" s="20">
        <f t="shared" si="36"/>
        <v>-11697552.800000001</v>
      </c>
      <c r="J247" s="30">
        <f t="shared" si="37"/>
        <v>43.021618702845785</v>
      </c>
      <c r="K247" s="30">
        <f t="shared" si="33"/>
        <v>3.6493011736987123E-2</v>
      </c>
      <c r="L247" s="30">
        <f t="shared" si="38"/>
        <v>26.402506737651912</v>
      </c>
      <c r="M247" s="30">
        <f t="shared" si="39"/>
        <v>27.402506737651912</v>
      </c>
      <c r="N247" s="30">
        <f t="shared" si="40"/>
        <v>24.763150438441418</v>
      </c>
      <c r="O247" s="30">
        <f t="shared" si="41"/>
        <v>1.1065840271726191</v>
      </c>
      <c r="P247" s="30">
        <f t="shared" si="42"/>
        <v>0.63694736655362749</v>
      </c>
      <c r="Q247" s="30">
        <f t="shared" si="43"/>
        <v>-1.7544215573021393</v>
      </c>
    </row>
    <row r="248" spans="1:17" x14ac:dyDescent="0.5">
      <c r="A248" s="23" t="str">
        <f>'raw data'!A896</f>
        <v>2021-01</v>
      </c>
      <c r="B248" s="32">
        <f>'raw data'!U896</f>
        <v>1521507</v>
      </c>
      <c r="C248" s="20">
        <f>'raw data'!V896</f>
        <v>744898.8</v>
      </c>
      <c r="D248" s="20">
        <f t="shared" si="34"/>
        <v>19853045.699999999</v>
      </c>
      <c r="E248" s="18">
        <f>'raw data'!AH896</f>
        <v>20597944.5</v>
      </c>
      <c r="F248" s="18">
        <f>SUM('raw data'!AI896:AK896)</f>
        <v>32526873</v>
      </c>
      <c r="G248" s="20">
        <f>'raw data'!AO896</f>
        <v>18653064.399999999</v>
      </c>
      <c r="H248" s="20">
        <f t="shared" si="35"/>
        <v>1944880.1000000015</v>
      </c>
      <c r="I248" s="20">
        <f t="shared" si="36"/>
        <v>-11928928.5</v>
      </c>
      <c r="J248" s="30">
        <f t="shared" si="37"/>
        <v>43.666163779563071</v>
      </c>
      <c r="K248" s="30">
        <f t="shared" si="33"/>
        <v>3.6163744396922715E-2</v>
      </c>
      <c r="L248" s="30">
        <f t="shared" si="38"/>
        <v>26.652003869518918</v>
      </c>
      <c r="M248" s="30">
        <f t="shared" si="39"/>
        <v>27.652003869518918</v>
      </c>
      <c r="N248" s="30">
        <f t="shared" si="40"/>
        <v>25.041071887885973</v>
      </c>
      <c r="O248" s="30">
        <f t="shared" si="41"/>
        <v>1.1042659832343689</v>
      </c>
      <c r="P248" s="30">
        <f t="shared" si="42"/>
        <v>0.63325928994158154</v>
      </c>
      <c r="Q248" s="30">
        <f t="shared" si="43"/>
        <v>-1.7267221024922732</v>
      </c>
    </row>
    <row r="249" spans="1:17" x14ac:dyDescent="0.5">
      <c r="A249" s="23" t="str">
        <f>'raw data'!A897</f>
        <v>2021-02</v>
      </c>
      <c r="B249" s="32">
        <f>'raw data'!U897</f>
        <v>1526866.5</v>
      </c>
      <c r="C249" s="20">
        <f>'raw data'!V897</f>
        <v>745524.9</v>
      </c>
      <c r="D249" s="20">
        <f t="shared" si="34"/>
        <v>20046032.600000001</v>
      </c>
      <c r="E249" s="18">
        <f>'raw data'!AH897</f>
        <v>20791557.5</v>
      </c>
      <c r="F249" s="18">
        <f>SUM('raw data'!AI897:AK897)</f>
        <v>32896965.600000001</v>
      </c>
      <c r="G249" s="20">
        <f>'raw data'!AO897</f>
        <v>18836994</v>
      </c>
      <c r="H249" s="20">
        <f t="shared" si="35"/>
        <v>1954563.5</v>
      </c>
      <c r="I249" s="20">
        <f t="shared" si="36"/>
        <v>-12105408.100000001</v>
      </c>
      <c r="J249" s="30">
        <f t="shared" si="37"/>
        <v>44.125911287470075</v>
      </c>
      <c r="K249" s="30">
        <f t="shared" si="33"/>
        <v>3.5857097285761301E-2</v>
      </c>
      <c r="L249" s="30">
        <f t="shared" si="38"/>
        <v>26.888481659029768</v>
      </c>
      <c r="M249" s="30">
        <f t="shared" si="39"/>
        <v>27.888481659029765</v>
      </c>
      <c r="N249" s="30">
        <f t="shared" si="40"/>
        <v>25.266753665772931</v>
      </c>
      <c r="O249" s="30">
        <f t="shared" si="41"/>
        <v>1.103761964355884</v>
      </c>
      <c r="P249" s="30">
        <f t="shared" si="42"/>
        <v>0.63202052592960123</v>
      </c>
      <c r="Q249" s="30">
        <f t="shared" si="43"/>
        <v>-1.7175428806898296</v>
      </c>
    </row>
    <row r="250" spans="1:17" x14ac:dyDescent="0.5">
      <c r="A250" s="23" t="str">
        <f>'raw data'!A898</f>
        <v>2021-03</v>
      </c>
      <c r="B250" s="32">
        <f>'raw data'!U898</f>
        <v>1532904.2</v>
      </c>
      <c r="C250" s="20">
        <f>'raw data'!V898</f>
        <v>746706.1</v>
      </c>
      <c r="D250" s="20">
        <f t="shared" si="34"/>
        <v>20322966.299999997</v>
      </c>
      <c r="E250" s="18">
        <f>'raw data'!AH898</f>
        <v>21069672.399999999</v>
      </c>
      <c r="F250" s="18">
        <f>SUM('raw data'!AI898:AK898)</f>
        <v>33387714</v>
      </c>
      <c r="G250" s="20">
        <f>'raw data'!AO898</f>
        <v>19088160.899999999</v>
      </c>
      <c r="H250" s="20">
        <f t="shared" si="35"/>
        <v>1981511.5</v>
      </c>
      <c r="I250" s="20">
        <f t="shared" si="36"/>
        <v>-12318041.600000001</v>
      </c>
      <c r="J250" s="30">
        <f t="shared" si="37"/>
        <v>44.713326970276526</v>
      </c>
      <c r="K250" s="30">
        <f t="shared" si="33"/>
        <v>3.5439853350543789E-2</v>
      </c>
      <c r="L250" s="30">
        <f t="shared" si="38"/>
        <v>27.216821049138339</v>
      </c>
      <c r="M250" s="30">
        <f t="shared" si="39"/>
        <v>28.216821049138343</v>
      </c>
      <c r="N250" s="30">
        <f t="shared" si="40"/>
        <v>25.563151151436955</v>
      </c>
      <c r="O250" s="30">
        <f t="shared" si="41"/>
        <v>1.1038084030400226</v>
      </c>
      <c r="P250" s="30">
        <f t="shared" si="42"/>
        <v>0.63106064703920728</v>
      </c>
      <c r="Q250" s="30">
        <f t="shared" si="43"/>
        <v>-1.7104725803166629</v>
      </c>
    </row>
    <row r="251" spans="1:17" x14ac:dyDescent="0.5">
      <c r="A251" s="23" t="str">
        <f>'raw data'!A899</f>
        <v>2021-04</v>
      </c>
      <c r="B251" s="32">
        <f>'raw data'!U899</f>
        <v>1538867.6</v>
      </c>
      <c r="C251" s="20">
        <f>'raw data'!V899</f>
        <v>745811.2</v>
      </c>
      <c r="D251" s="20">
        <f t="shared" si="34"/>
        <v>20669518.900000002</v>
      </c>
      <c r="E251" s="18">
        <f>'raw data'!AH899</f>
        <v>21415330.100000001</v>
      </c>
      <c r="F251" s="18">
        <f>SUM('raw data'!AI899:AK899)</f>
        <v>33835346.399999999</v>
      </c>
      <c r="G251" s="20">
        <f>'raw data'!AO899</f>
        <v>19369140.199999999</v>
      </c>
      <c r="H251" s="20">
        <f t="shared" si="35"/>
        <v>2046189.9000000022</v>
      </c>
      <c r="I251" s="20">
        <f t="shared" si="36"/>
        <v>-12420016.299999997</v>
      </c>
      <c r="J251" s="30">
        <f t="shared" si="37"/>
        <v>45.367173890657583</v>
      </c>
      <c r="K251" s="30">
        <f t="shared" si="33"/>
        <v>3.48260426767832E-2</v>
      </c>
      <c r="L251" s="30">
        <f t="shared" si="38"/>
        <v>27.714143874481913</v>
      </c>
      <c r="M251" s="30">
        <f t="shared" si="39"/>
        <v>28.714143874481909</v>
      </c>
      <c r="N251" s="30">
        <f t="shared" si="40"/>
        <v>25.970567618185406</v>
      </c>
      <c r="O251" s="30">
        <f t="shared" si="41"/>
        <v>1.1056417517180241</v>
      </c>
      <c r="P251" s="30">
        <f t="shared" si="42"/>
        <v>0.63292776278477825</v>
      </c>
      <c r="Q251" s="30">
        <f t="shared" si="43"/>
        <v>-1.7242594198527748</v>
      </c>
    </row>
    <row r="252" spans="1:17" x14ac:dyDescent="0.5">
      <c r="A252" s="23" t="str">
        <f>'raw data'!A900</f>
        <v>2021-05</v>
      </c>
      <c r="B252" s="32">
        <f>'raw data'!U900</f>
        <v>1553253.2</v>
      </c>
      <c r="C252" s="20">
        <f>'raw data'!V900</f>
        <v>750806.4</v>
      </c>
      <c r="D252" s="20">
        <f t="shared" si="34"/>
        <v>20758331.300000001</v>
      </c>
      <c r="E252" s="18">
        <f>'raw data'!AH900</f>
        <v>21509137.699999999</v>
      </c>
      <c r="F252" s="18">
        <f>SUM('raw data'!AI900:AK900)</f>
        <v>34183667.399999999</v>
      </c>
      <c r="G252" s="20">
        <f>'raw data'!AO900</f>
        <v>19519981.300000001</v>
      </c>
      <c r="H252" s="20">
        <f t="shared" si="35"/>
        <v>1989156.3999999985</v>
      </c>
      <c r="I252" s="20">
        <f t="shared" si="36"/>
        <v>-12674529.699999999</v>
      </c>
      <c r="J252" s="30">
        <f t="shared" si="37"/>
        <v>45.52927012875756</v>
      </c>
      <c r="K252" s="30">
        <f t="shared" si="33"/>
        <v>3.4906392365510776E-2</v>
      </c>
      <c r="L252" s="30">
        <f t="shared" si="38"/>
        <v>27.648047885580091</v>
      </c>
      <c r="M252" s="30">
        <f t="shared" si="39"/>
        <v>28.648047885580088</v>
      </c>
      <c r="N252" s="30">
        <f t="shared" si="40"/>
        <v>25.998687944055884</v>
      </c>
      <c r="O252" s="30">
        <f t="shared" si="41"/>
        <v>1.1019036017211759</v>
      </c>
      <c r="P252" s="30">
        <f t="shared" si="42"/>
        <v>0.62922264742138234</v>
      </c>
      <c r="Q252" s="30">
        <f t="shared" si="43"/>
        <v>-1.6970363563075639</v>
      </c>
    </row>
    <row r="253" spans="1:17" x14ac:dyDescent="0.5">
      <c r="A253" s="23" t="str">
        <f>'raw data'!A901</f>
        <v>2021-06</v>
      </c>
      <c r="B253" s="32">
        <f>'raw data'!U901</f>
        <v>1566534.6</v>
      </c>
      <c r="C253" s="20">
        <f>'raw data'!V901</f>
        <v>756575.6</v>
      </c>
      <c r="D253" s="20">
        <f t="shared" si="34"/>
        <v>20835640.599999998</v>
      </c>
      <c r="E253" s="18">
        <f>'raw data'!AH901</f>
        <v>21592216.199999999</v>
      </c>
      <c r="F253" s="18">
        <f>SUM('raw data'!AI901:AK901)</f>
        <v>34274605</v>
      </c>
      <c r="G253" s="20">
        <f>'raw data'!AO901</f>
        <v>19564733.600000001</v>
      </c>
      <c r="H253" s="20">
        <f t="shared" si="35"/>
        <v>2027482.5999999978</v>
      </c>
      <c r="I253" s="20">
        <f t="shared" si="36"/>
        <v>-12682388.800000001</v>
      </c>
      <c r="J253" s="30">
        <f t="shared" si="37"/>
        <v>45.302287041770846</v>
      </c>
      <c r="K253" s="30">
        <f t="shared" si="33"/>
        <v>3.5039274940198123E-2</v>
      </c>
      <c r="L253" s="30">
        <f t="shared" si="38"/>
        <v>27.539403332594915</v>
      </c>
      <c r="M253" s="30">
        <f t="shared" si="39"/>
        <v>28.539403332594919</v>
      </c>
      <c r="N253" s="30">
        <f t="shared" si="40"/>
        <v>25.859588387465841</v>
      </c>
      <c r="O253" s="30">
        <f t="shared" si="41"/>
        <v>1.1036294509013911</v>
      </c>
      <c r="P253" s="30">
        <f t="shared" si="42"/>
        <v>0.62997709820434111</v>
      </c>
      <c r="Q253" s="30">
        <f t="shared" si="43"/>
        <v>-1.7025354245566102</v>
      </c>
    </row>
    <row r="254" spans="1:17" x14ac:dyDescent="0.5">
      <c r="A254" s="23" t="str">
        <f>'raw data'!A902</f>
        <v>2021-07</v>
      </c>
      <c r="B254" s="32">
        <f>'raw data'!U902</f>
        <v>1579282.6</v>
      </c>
      <c r="C254" s="20">
        <f>'raw data'!V902</f>
        <v>762522.8</v>
      </c>
      <c r="D254" s="20">
        <f t="shared" si="34"/>
        <v>21040703.5</v>
      </c>
      <c r="E254" s="18">
        <f>'raw data'!AH902</f>
        <v>21803226.300000001</v>
      </c>
      <c r="F254" s="18">
        <f>SUM('raw data'!AI902:AK902)</f>
        <v>34506721.399999999</v>
      </c>
      <c r="G254" s="20">
        <f>'raw data'!AO902</f>
        <v>19741019.5</v>
      </c>
      <c r="H254" s="20">
        <f t="shared" si="35"/>
        <v>2062206.8000000007</v>
      </c>
      <c r="I254" s="20">
        <f t="shared" si="36"/>
        <v>-12703495.099999998</v>
      </c>
      <c r="J254" s="30">
        <f t="shared" si="37"/>
        <v>45.253363440411221</v>
      </c>
      <c r="K254" s="30">
        <f t="shared" si="33"/>
        <v>3.4972934257899255E-2</v>
      </c>
      <c r="L254" s="30">
        <f t="shared" si="38"/>
        <v>27.593540153815727</v>
      </c>
      <c r="M254" s="30">
        <f t="shared" si="39"/>
        <v>28.593540153815727</v>
      </c>
      <c r="N254" s="30">
        <f t="shared" si="40"/>
        <v>25.889087513186489</v>
      </c>
      <c r="O254" s="30">
        <f t="shared" si="41"/>
        <v>1.1044630344445989</v>
      </c>
      <c r="P254" s="30">
        <f t="shared" si="42"/>
        <v>0.63185447400980843</v>
      </c>
      <c r="Q254" s="30">
        <f t="shared" si="43"/>
        <v>-1.7163171338571228</v>
      </c>
    </row>
    <row r="255" spans="1:17" x14ac:dyDescent="0.5">
      <c r="A255" s="23" t="str">
        <f>'raw data'!A903</f>
        <v>2021-08</v>
      </c>
      <c r="B255" s="32">
        <f>'raw data'!U903</f>
        <v>1591805.6</v>
      </c>
      <c r="C255" s="20">
        <f>'raw data'!V903</f>
        <v>768405.8</v>
      </c>
      <c r="D255" s="20">
        <f t="shared" si="34"/>
        <v>21244173</v>
      </c>
      <c r="E255" s="18">
        <f>'raw data'!AH903</f>
        <v>22012578.800000001</v>
      </c>
      <c r="F255" s="18">
        <f>SUM('raw data'!AI903:AK903)</f>
        <v>34886427.600000001</v>
      </c>
      <c r="G255" s="20">
        <f>'raw data'!AO903</f>
        <v>19985048.899999999</v>
      </c>
      <c r="H255" s="20">
        <f t="shared" si="35"/>
        <v>2027529.9000000022</v>
      </c>
      <c r="I255" s="20">
        <f t="shared" si="36"/>
        <v>-12873848.800000001</v>
      </c>
      <c r="J255" s="30">
        <f t="shared" si="37"/>
        <v>45.401046686529433</v>
      </c>
      <c r="K255" s="30">
        <f t="shared" si="33"/>
        <v>3.4907577480199639E-2</v>
      </c>
      <c r="L255" s="30">
        <f t="shared" si="38"/>
        <v>27.647075282357314</v>
      </c>
      <c r="M255" s="30">
        <f t="shared" si="39"/>
        <v>28.647075282357317</v>
      </c>
      <c r="N255" s="30">
        <f t="shared" si="40"/>
        <v>26.00845659936455</v>
      </c>
      <c r="O255" s="30">
        <f t="shared" si="41"/>
        <v>1.101452336201189</v>
      </c>
      <c r="P255" s="30">
        <f t="shared" si="42"/>
        <v>0.63097830056981818</v>
      </c>
      <c r="Q255" s="30">
        <f t="shared" si="43"/>
        <v>-1.7098677436696319</v>
      </c>
    </row>
    <row r="256" spans="1:17" x14ac:dyDescent="0.5">
      <c r="A256" s="23" t="str">
        <f>'raw data'!A904</f>
        <v>2021-09</v>
      </c>
      <c r="B256" s="32">
        <f>'raw data'!U904</f>
        <v>1600650.2</v>
      </c>
      <c r="C256" s="20">
        <f>'raw data'!V904</f>
        <v>772218.1</v>
      </c>
      <c r="D256" s="20">
        <f t="shared" si="34"/>
        <v>21424251.199999999</v>
      </c>
      <c r="E256" s="18">
        <f>'raw data'!AH904</f>
        <v>22196469.300000001</v>
      </c>
      <c r="F256" s="18">
        <f>SUM('raw data'!AI904:AK904)</f>
        <v>35128831.799999997</v>
      </c>
      <c r="G256" s="20">
        <f>'raw data'!AO904</f>
        <v>20174171.199999999</v>
      </c>
      <c r="H256" s="20">
        <f t="shared" si="35"/>
        <v>2022298.1000000015</v>
      </c>
      <c r="I256" s="20">
        <f t="shared" si="36"/>
        <v>-12932362.499999996</v>
      </c>
      <c r="J256" s="30">
        <f t="shared" si="37"/>
        <v>45.490816389825618</v>
      </c>
      <c r="K256" s="30">
        <f t="shared" si="33"/>
        <v>3.4790132140520201E-2</v>
      </c>
      <c r="L256" s="30">
        <f t="shared" si="38"/>
        <v>27.743782747387041</v>
      </c>
      <c r="M256" s="30">
        <f t="shared" si="39"/>
        <v>28.743782747387041</v>
      </c>
      <c r="N256" s="30">
        <f t="shared" si="40"/>
        <v>26.124965472837271</v>
      </c>
      <c r="O256" s="30">
        <f t="shared" si="41"/>
        <v>1.1002419420332867</v>
      </c>
      <c r="P256" s="30">
        <f t="shared" si="42"/>
        <v>0.63185902185338261</v>
      </c>
      <c r="Q256" s="30">
        <f t="shared" si="43"/>
        <v>-1.7163506899841392</v>
      </c>
    </row>
    <row r="257" spans="1:17" x14ac:dyDescent="0.5">
      <c r="A257" s="23" t="str">
        <f>'raw data'!A905</f>
        <v>2021-10</v>
      </c>
      <c r="B257" s="32">
        <f>'raw data'!U905</f>
        <v>1613177.9</v>
      </c>
      <c r="C257" s="20">
        <f>'raw data'!V905</f>
        <v>778969.4</v>
      </c>
      <c r="D257" s="20">
        <f t="shared" si="34"/>
        <v>21612249.200000003</v>
      </c>
      <c r="E257" s="18">
        <f>'raw data'!AH905</f>
        <v>22391218.600000001</v>
      </c>
      <c r="F257" s="18">
        <f>SUM('raw data'!AI905:AK905)</f>
        <v>35359844.100000001</v>
      </c>
      <c r="G257" s="20">
        <f>'raw data'!AO905</f>
        <v>20352227.199999999</v>
      </c>
      <c r="H257" s="20">
        <f t="shared" si="35"/>
        <v>2038991.4000000022</v>
      </c>
      <c r="I257" s="20">
        <f t="shared" si="36"/>
        <v>-12968625.5</v>
      </c>
      <c r="J257" s="30">
        <f t="shared" si="37"/>
        <v>45.393110563778244</v>
      </c>
      <c r="K257" s="30">
        <f t="shared" si="33"/>
        <v>3.4789057885397982E-2</v>
      </c>
      <c r="L257" s="30">
        <f t="shared" si="38"/>
        <v>27.744670329797298</v>
      </c>
      <c r="M257" s="30">
        <f t="shared" si="39"/>
        <v>28.744670329797295</v>
      </c>
      <c r="N257" s="30">
        <f t="shared" si="40"/>
        <v>26.127120269422647</v>
      </c>
      <c r="O257" s="30">
        <f t="shared" si="41"/>
        <v>1.1001851728542025</v>
      </c>
      <c r="P257" s="30">
        <f t="shared" si="42"/>
        <v>0.63323861204467247</v>
      </c>
      <c r="Q257" s="30">
        <f t="shared" si="43"/>
        <v>-1.7265683707190096</v>
      </c>
    </row>
    <row r="258" spans="1:17" x14ac:dyDescent="0.5">
      <c r="A258" s="23" t="str">
        <f>'raw data'!A906</f>
        <v>2021-11</v>
      </c>
      <c r="B258" s="32">
        <f>'raw data'!U906</f>
        <v>1629257.8</v>
      </c>
      <c r="C258" s="20">
        <f>'raw data'!V906</f>
        <v>788971.8</v>
      </c>
      <c r="D258" s="20">
        <f t="shared" si="34"/>
        <v>21812111</v>
      </c>
      <c r="E258" s="18">
        <f>'raw data'!AH906</f>
        <v>22601082.800000001</v>
      </c>
      <c r="F258" s="18">
        <f>SUM('raw data'!AI906:AK906)</f>
        <v>35719484.699999996</v>
      </c>
      <c r="G258" s="20">
        <f>'raw data'!AO906</f>
        <v>20611029.899999999</v>
      </c>
      <c r="H258" s="20">
        <f t="shared" si="35"/>
        <v>1990052.9000000022</v>
      </c>
      <c r="I258" s="20">
        <f t="shared" si="36"/>
        <v>-13118401.899999995</v>
      </c>
      <c r="J258" s="30">
        <f t="shared" si="37"/>
        <v>45.27346186517692</v>
      </c>
      <c r="K258" s="30">
        <f t="shared" ref="K258:K261" si="44">C258/E258</f>
        <v>3.4908584114385882E-2</v>
      </c>
      <c r="L258" s="30">
        <f t="shared" si="38"/>
        <v>27.64624920687913</v>
      </c>
      <c r="M258" s="30">
        <f t="shared" si="39"/>
        <v>28.64624920687913</v>
      </c>
      <c r="N258" s="30">
        <f t="shared" si="40"/>
        <v>26.123912033357843</v>
      </c>
      <c r="O258" s="30">
        <f t="shared" si="41"/>
        <v>1.0965528122396253</v>
      </c>
      <c r="P258" s="30">
        <f t="shared" si="42"/>
        <v>0.6327382096864349</v>
      </c>
      <c r="Q258" s="30">
        <f t="shared" si="43"/>
        <v>-1.7228533606673546</v>
      </c>
    </row>
    <row r="259" spans="1:17" x14ac:dyDescent="0.5">
      <c r="A259" s="23" t="str">
        <f>'raw data'!A907</f>
        <v>2021-12</v>
      </c>
      <c r="B259" s="32">
        <f>'raw data'!U907</f>
        <v>1645814.8</v>
      </c>
      <c r="C259" s="20">
        <f>'raw data'!V907</f>
        <v>798605.4</v>
      </c>
      <c r="D259" s="20">
        <f t="shared" ref="D259:D261" si="45">E259-C259</f>
        <v>21948824.900000002</v>
      </c>
      <c r="E259" s="18">
        <f>'raw data'!AH907</f>
        <v>22747430.300000001</v>
      </c>
      <c r="F259" s="18">
        <f>SUM('raw data'!AI907:AK907)</f>
        <v>35991930</v>
      </c>
      <c r="G259" s="20">
        <f>'raw data'!AO907</f>
        <v>20715547.300000001</v>
      </c>
      <c r="H259" s="20">
        <f t="shared" ref="H259:H261" si="46">E259-G259</f>
        <v>2031883</v>
      </c>
      <c r="I259" s="20">
        <f t="shared" ref="I259:I261" si="47">E259-F259</f>
        <v>-13244499.699999999</v>
      </c>
      <c r="J259" s="30">
        <f t="shared" ref="J259:J261" si="48">F259/C259</f>
        <v>45.068478124490518</v>
      </c>
      <c r="K259" s="30">
        <f t="shared" si="44"/>
        <v>3.5107499593041942E-2</v>
      </c>
      <c r="L259" s="30">
        <f t="shared" ref="L259:L261" si="49">D259/C259</f>
        <v>27.483942507776685</v>
      </c>
      <c r="M259" s="30">
        <f t="shared" ref="M259:M261" si="50">E259/C259</f>
        <v>28.483942507776682</v>
      </c>
      <c r="N259" s="30">
        <f t="shared" ref="N259:N261" si="51">G259/C259</f>
        <v>25.939653425834585</v>
      </c>
      <c r="O259" s="30">
        <f t="shared" ref="O259:O261" si="52">E259/G259</f>
        <v>1.0980849296701902</v>
      </c>
      <c r="P259" s="30">
        <f t="shared" ref="P259:P261" si="53">E259/F259</f>
        <v>0.63201474052655693</v>
      </c>
      <c r="Q259" s="30">
        <f t="shared" ref="Q259:Q261" si="54">E259/I259</f>
        <v>-1.717500155932655</v>
      </c>
    </row>
    <row r="260" spans="1:17" x14ac:dyDescent="0.5">
      <c r="A260" s="23" t="str">
        <f>'raw data'!A908</f>
        <v>2022-01</v>
      </c>
      <c r="B260" s="32">
        <f>'raw data'!U908</f>
        <v>1660589.3</v>
      </c>
      <c r="C260" s="20">
        <f>'raw data'!V908</f>
        <v>808673.7</v>
      </c>
      <c r="D260" s="20">
        <f t="shared" si="45"/>
        <v>21876229</v>
      </c>
      <c r="E260" s="18">
        <f>'raw data'!AH908</f>
        <v>22684902.699999999</v>
      </c>
      <c r="F260" s="18">
        <f>SUM('raw data'!AI908:AK908)</f>
        <v>36140406.700000003</v>
      </c>
      <c r="G260" s="20">
        <f>'raw data'!AO908</f>
        <v>20696563</v>
      </c>
      <c r="H260" s="20">
        <f t="shared" si="46"/>
        <v>1988339.6999999993</v>
      </c>
      <c r="I260" s="20">
        <f t="shared" si="47"/>
        <v>-13455504.000000004</v>
      </c>
      <c r="J260" s="30">
        <f t="shared" si="48"/>
        <v>44.690963363838847</v>
      </c>
      <c r="K260" s="30">
        <f t="shared" si="44"/>
        <v>3.5648100884294293E-2</v>
      </c>
      <c r="L260" s="30">
        <f t="shared" si="49"/>
        <v>27.05198524448118</v>
      </c>
      <c r="M260" s="30">
        <f t="shared" si="50"/>
        <v>28.05198524448118</v>
      </c>
      <c r="N260" s="30">
        <f t="shared" si="51"/>
        <v>25.593218871839163</v>
      </c>
      <c r="O260" s="30">
        <f t="shared" si="52"/>
        <v>1.0960710094714761</v>
      </c>
      <c r="P260" s="30">
        <f t="shared" si="53"/>
        <v>0.62768808575693191</v>
      </c>
      <c r="Q260" s="30">
        <f t="shared" si="54"/>
        <v>-1.6859199551350876</v>
      </c>
    </row>
    <row r="261" spans="1:17" x14ac:dyDescent="0.5">
      <c r="A261" s="23" t="str">
        <f>'raw data'!A909</f>
        <v>2022-02</v>
      </c>
      <c r="B261" s="32">
        <f>'raw data'!U909</f>
        <v>1680648.9</v>
      </c>
      <c r="C261" s="20">
        <f>'raw data'!V909</f>
        <v>820644.5</v>
      </c>
      <c r="D261" s="20">
        <f t="shared" si="45"/>
        <v>21842259</v>
      </c>
      <c r="E261" s="18">
        <f>'raw data'!AH909</f>
        <v>22662903.5</v>
      </c>
      <c r="F261" s="18">
        <f>SUM('raw data'!AI909:AK909)</f>
        <v>36246796.399999999</v>
      </c>
      <c r="G261" s="20">
        <f>'raw data'!AO909</f>
        <v>20681666.5</v>
      </c>
      <c r="H261" s="20">
        <f t="shared" si="46"/>
        <v>1981237</v>
      </c>
      <c r="I261" s="20">
        <f t="shared" si="47"/>
        <v>-13583892.899999999</v>
      </c>
      <c r="J261" s="30">
        <f t="shared" si="48"/>
        <v>44.168694727132149</v>
      </c>
      <c r="K261" s="30">
        <f t="shared" si="44"/>
        <v>3.621091622262787E-2</v>
      </c>
      <c r="L261" s="30">
        <f t="shared" si="49"/>
        <v>26.61598170706073</v>
      </c>
      <c r="M261" s="30">
        <f t="shared" si="50"/>
        <v>27.61598170706073</v>
      </c>
      <c r="N261" s="30">
        <f t="shared" si="51"/>
        <v>25.201736561933945</v>
      </c>
      <c r="O261" s="30">
        <f t="shared" si="52"/>
        <v>1.0957967773051558</v>
      </c>
      <c r="P261" s="30">
        <f t="shared" si="53"/>
        <v>0.62523880041437263</v>
      </c>
      <c r="Q261" s="30">
        <f t="shared" si="54"/>
        <v>-1.668365885010769</v>
      </c>
    </row>
  </sheetData>
  <phoneticPr fontId="2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results</vt:lpstr>
      <vt:lpstr>results_new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2022-03-21T13:04:26Z</dcterms:created>
  <dcterms:modified xsi:type="dcterms:W3CDTF">2025-10-13T06:11:09Z</dcterms:modified>
</cp:coreProperties>
</file>