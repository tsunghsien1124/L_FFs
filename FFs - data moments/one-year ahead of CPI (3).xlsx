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EE149A-CAF2-45B7-94B6-E7C5A99E7CE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BLS Data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4" i="1" l="1"/>
  <c r="Q13" i="1"/>
  <c r="R15" i="1"/>
  <c r="Q15" i="1"/>
  <c r="Q14" i="1"/>
</calcChain>
</file>

<file path=xl/sharedStrings.xml><?xml version="1.0" encoding="utf-8"?>
<sst xmlns="http://schemas.openxmlformats.org/spreadsheetml/2006/main" count="31" uniqueCount="31">
  <si>
    <t>CPI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</si>
  <si>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</si>
  <si>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</si>
  <si>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</si>
  <si>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</si>
  <si>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</si>
  <si>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</si>
  <si>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</si>
  <si>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</si>
  <si>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</si>
  <si>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</si>
  <si>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</si>
  <si>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</si>
  <si>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</si>
  <si>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2003 to 2006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</si>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</sst>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166" fontId="0" fillId="0" borderId="0" xfId="0" applyNumberFormat="1"/>
    <xf numFmtId="2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pane ySplit="12" topLeftCell="A13" activePane="bottomLeft" state="frozen"/>
      <selection pane="bottomLeft" activeCell="U17" sqref="U17"/>
    </sheetView>
  </sheetViews>
  <sheetFormatPr defaultRowHeight="15" x14ac:dyDescent="0.25"/>
  <cols>
    <col min="1" max="1" width="20" customWidth="1"/>
    <col min="2" max="2" width="8" customWidth="1"/>
  </cols>
  <sheetData>
    <row r="1" spans="1:18" ht="15.75" x14ac:dyDescent="0.25">
      <c r="A1" s="5" t="s">
        <v>0</v>
      </c>
      <c r="B1" s="6"/>
      <c r="C1" s="6"/>
      <c r="D1" s="6"/>
      <c r="E1" s="6"/>
      <c r="F1" s="6"/>
    </row>
    <row r="2" spans="1:18" ht="15.75" x14ac:dyDescent="0.25">
      <c r="A2" s="5" t="s">
        <v>1</v>
      </c>
      <c r="B2" s="6"/>
      <c r="C2" s="6"/>
      <c r="D2" s="6"/>
      <c r="E2" s="6"/>
      <c r="F2" s="6"/>
    </row>
    <row r="3" spans="1:18" x14ac:dyDescent="0.25">
      <c r="A3" s="6"/>
      <c r="B3" s="6"/>
      <c r="C3" s="6"/>
      <c r="D3" s="6"/>
      <c r="E3" s="6"/>
      <c r="F3" s="6"/>
    </row>
    <row r="4" spans="1:18" x14ac:dyDescent="0.25">
      <c r="A4" s="4" t="s">
        <v>2</v>
      </c>
      <c r="B4" s="7" t="s">
        <v>3</v>
      </c>
      <c r="C4" s="6"/>
      <c r="D4" s="6"/>
      <c r="E4" s="6"/>
      <c r="F4" s="6"/>
    </row>
    <row r="5" spans="1:18" x14ac:dyDescent="0.25">
      <c r="A5" s="8" t="s">
        <v>4</v>
      </c>
      <c r="B5" s="6"/>
      <c r="C5" s="6"/>
      <c r="D5" s="6"/>
      <c r="E5" s="6"/>
      <c r="F5" s="6"/>
    </row>
    <row r="6" spans="1:18" x14ac:dyDescent="0.25">
      <c r="A6" s="4" t="s">
        <v>5</v>
      </c>
      <c r="B6" s="7" t="s">
        <v>6</v>
      </c>
      <c r="C6" s="6"/>
      <c r="D6" s="6"/>
      <c r="E6" s="6"/>
      <c r="F6" s="6"/>
    </row>
    <row r="7" spans="1:18" x14ac:dyDescent="0.25">
      <c r="A7" s="4" t="s">
        <v>7</v>
      </c>
      <c r="B7" s="7" t="s">
        <v>8</v>
      </c>
      <c r="C7" s="6"/>
      <c r="D7" s="6"/>
      <c r="E7" s="6"/>
      <c r="F7" s="6"/>
    </row>
    <row r="8" spans="1:18" x14ac:dyDescent="0.25">
      <c r="A8" s="4" t="s">
        <v>9</v>
      </c>
      <c r="B8" s="7" t="s">
        <v>10</v>
      </c>
      <c r="C8" s="6"/>
      <c r="D8" s="6"/>
      <c r="E8" s="6"/>
      <c r="F8" s="6"/>
    </row>
    <row r="9" spans="1:18" x14ac:dyDescent="0.25">
      <c r="A9" s="4" t="s">
        <v>11</v>
      </c>
      <c r="B9" s="7" t="s">
        <v>12</v>
      </c>
      <c r="C9" s="6"/>
      <c r="D9" s="6"/>
      <c r="E9" s="6"/>
      <c r="F9" s="6"/>
    </row>
    <row r="10" spans="1:18" x14ac:dyDescent="0.25">
      <c r="A10" s="4" t="s">
        <v>13</v>
      </c>
      <c r="B10" s="9" t="s">
        <v>14</v>
      </c>
      <c r="C10" s="6"/>
      <c r="D10" s="6"/>
      <c r="E10" s="6"/>
      <c r="F10" s="6"/>
    </row>
    <row r="12" spans="1:18" x14ac:dyDescent="0.2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30</v>
      </c>
    </row>
    <row r="13" spans="1:18" x14ac:dyDescent="0.25">
      <c r="A13" s="2">
        <v>2003</v>
      </c>
      <c r="B13" s="3">
        <v>181.7</v>
      </c>
      <c r="C13" s="3">
        <v>183.1</v>
      </c>
      <c r="D13" s="3">
        <v>184.2</v>
      </c>
      <c r="E13" s="3">
        <v>183.8</v>
      </c>
      <c r="F13" s="3">
        <v>183.5</v>
      </c>
      <c r="G13" s="3">
        <v>183.7</v>
      </c>
      <c r="H13" s="3">
        <v>183.9</v>
      </c>
      <c r="I13" s="3">
        <v>184.6</v>
      </c>
      <c r="J13" s="3">
        <v>185.2</v>
      </c>
      <c r="K13" s="3">
        <v>185</v>
      </c>
      <c r="L13" s="3">
        <v>184.5</v>
      </c>
      <c r="M13" s="3">
        <v>184.3</v>
      </c>
      <c r="N13" s="3">
        <v>184</v>
      </c>
      <c r="O13" s="3">
        <v>183.3</v>
      </c>
      <c r="P13" s="3">
        <v>184.6</v>
      </c>
      <c r="Q13" s="10">
        <f>AVERAGE(B13:P13)</f>
        <v>183.96</v>
      </c>
    </row>
    <row r="14" spans="1:18" x14ac:dyDescent="0.25">
      <c r="A14" s="2">
        <v>2004</v>
      </c>
      <c r="B14" s="3">
        <v>185.2</v>
      </c>
      <c r="C14" s="3">
        <v>186.2</v>
      </c>
      <c r="D14" s="3">
        <v>187.4</v>
      </c>
      <c r="E14" s="3">
        <v>188</v>
      </c>
      <c r="F14" s="3">
        <v>189.1</v>
      </c>
      <c r="G14" s="3">
        <v>189.7</v>
      </c>
      <c r="H14" s="3">
        <v>189.4</v>
      </c>
      <c r="I14" s="3">
        <v>189.5</v>
      </c>
      <c r="J14" s="3">
        <v>189.9</v>
      </c>
      <c r="K14" s="3">
        <v>190.9</v>
      </c>
      <c r="L14" s="3">
        <v>191</v>
      </c>
      <c r="M14" s="3">
        <v>190.3</v>
      </c>
      <c r="N14" s="3">
        <v>188.9</v>
      </c>
      <c r="O14" s="3">
        <v>187.6</v>
      </c>
      <c r="P14" s="3">
        <v>190.2</v>
      </c>
      <c r="Q14" s="10">
        <f>AVERAGE(B14:P14)</f>
        <v>188.88666666666668</v>
      </c>
      <c r="R14" s="11">
        <f>(Q14/Q13-1)*100</f>
        <v>2.6781184315430862</v>
      </c>
    </row>
    <row r="15" spans="1:18" x14ac:dyDescent="0.25">
      <c r="A15" s="2">
        <v>2005</v>
      </c>
      <c r="B15" s="3">
        <v>190.7</v>
      </c>
      <c r="C15" s="3">
        <v>191.8</v>
      </c>
      <c r="D15" s="3">
        <v>193.3</v>
      </c>
      <c r="E15" s="3">
        <v>194.6</v>
      </c>
      <c r="F15" s="3">
        <v>194.4</v>
      </c>
      <c r="G15" s="3">
        <v>194.5</v>
      </c>
      <c r="H15" s="3">
        <v>195.4</v>
      </c>
      <c r="I15" s="3">
        <v>196.4</v>
      </c>
      <c r="J15" s="3">
        <v>198.8</v>
      </c>
      <c r="K15" s="3">
        <v>199.2</v>
      </c>
      <c r="L15" s="3">
        <v>197.6</v>
      </c>
      <c r="M15" s="3">
        <v>196.8</v>
      </c>
      <c r="N15" s="3">
        <v>195.3</v>
      </c>
      <c r="O15" s="3">
        <v>193.2</v>
      </c>
      <c r="P15" s="3">
        <v>197.4</v>
      </c>
      <c r="Q15" s="10">
        <f>AVERAGE(B15:P15)</f>
        <v>195.29333333333338</v>
      </c>
      <c r="R15" s="11">
        <f>(Q15/Q14-1)*100</f>
        <v>3.3918046094659982</v>
      </c>
    </row>
    <row r="16" spans="1:18" x14ac:dyDescent="0.25">
      <c r="A16" s="2">
        <v>2006</v>
      </c>
      <c r="B16" s="3">
        <v>198.3</v>
      </c>
      <c r="C16" s="3">
        <v>198.7</v>
      </c>
      <c r="D16" s="3">
        <v>199.8</v>
      </c>
      <c r="E16" s="3">
        <v>201.5</v>
      </c>
      <c r="F16" s="3">
        <v>202.5</v>
      </c>
      <c r="G16" s="3">
        <v>202.9</v>
      </c>
      <c r="H16" s="3">
        <v>203.5</v>
      </c>
      <c r="I16" s="3">
        <v>203.9</v>
      </c>
      <c r="J16" s="3">
        <v>202.9</v>
      </c>
      <c r="K16" s="3">
        <v>201.8</v>
      </c>
      <c r="L16" s="3">
        <v>201.5</v>
      </c>
      <c r="M16" s="3">
        <v>201.8</v>
      </c>
      <c r="N16" s="3">
        <v>201.6</v>
      </c>
      <c r="O16" s="3">
        <v>200.6</v>
      </c>
      <c r="P16" s="3">
        <v>202.6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June 6, 2022 (11:20:05 AM)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Tsung-Hsien Li</cp:lastModifiedBy>
  <dcterms:created xsi:type="dcterms:W3CDTF">2022-06-06T15:20:05Z</dcterms:created>
  <dcterms:modified xsi:type="dcterms:W3CDTF">2022-06-06T15:47:30Z</dcterms:modified>
</cp:coreProperties>
</file>